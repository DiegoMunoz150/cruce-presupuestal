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RESOS" sheetId="1" state="visible" r:id="rId1"/>
    <sheet name="EGRESOS" sheetId="2" state="visible" r:id="rId2"/>
    <sheet name="CRUCE INFORMACION" sheetId="3" state="visible" r:id="rId3"/>
    <sheet name="INFORME RAPI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7F7F7F"/>
      </patternFill>
    </fill>
    <fill>
      <patternFill patternType="solid">
        <fgColor rgb="00385D8A"/>
      </patternFill>
    </fill>
    <fill>
      <patternFill patternType="solid">
        <fgColor rgb="007030A0"/>
      </patternFill>
    </fill>
    <fill>
      <patternFill patternType="solid">
        <fgColor rgb="000070C0"/>
      </patternFill>
    </fill>
    <fill>
      <patternFill patternType="solid">
        <fgColor rgb="00ED7D31"/>
      </patternFill>
    </fill>
    <fill>
      <patternFill patternType="solid">
        <fgColor rgb="0092D05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FF00"/>
          <bgColor rgb="00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RUBRO</t>
        </is>
      </c>
      <c r="B1" t="inlineStr">
        <is>
          <t>NOMBRE</t>
        </is>
      </c>
      <c r="C1" t="inlineStr">
        <is>
          <t>SSF</t>
        </is>
      </c>
      <c r="D1" t="inlineStr">
        <is>
          <t>DETALLE SECTORIAL</t>
        </is>
      </c>
      <c r="E1" t="inlineStr">
        <is>
          <t>PRESUPUESTO INICIAL</t>
        </is>
      </c>
      <c r="F1" t="inlineStr">
        <is>
          <t>ADICIONES</t>
        </is>
      </c>
      <c r="G1" t="inlineStr">
        <is>
          <t>REDUCCIONES</t>
        </is>
      </c>
      <c r="H1" t="inlineStr">
        <is>
          <t>CREDITOS</t>
        </is>
      </c>
      <c r="I1" t="inlineStr">
        <is>
          <t>CONTRACRED.</t>
        </is>
      </c>
      <c r="J1" t="inlineStr">
        <is>
          <t>LIBERACIONES</t>
        </is>
      </c>
      <c r="K1" t="inlineStr">
        <is>
          <t>APLAZAM.</t>
        </is>
      </c>
      <c r="L1" t="inlineStr">
        <is>
          <t>PRESUPUESTO  DEFINITIVO</t>
        </is>
      </c>
      <c r="M1" t="inlineStr">
        <is>
          <t>RECONOCIM.</t>
        </is>
      </c>
      <c r="N1" t="inlineStr">
        <is>
          <t>RECAUDOS</t>
        </is>
      </c>
      <c r="O1" t="inlineStr">
        <is>
          <t>PORCENTAJE EJECUTADO</t>
        </is>
      </c>
      <c r="P1" t="inlineStr">
        <is>
          <t>NO AFORADO</t>
        </is>
      </c>
      <c r="Q1" t="inlineStr">
        <is>
          <t>SALDO POR EJECUTAR</t>
        </is>
      </c>
      <c r="R1" t="inlineStr">
        <is>
          <t>FUENTE DE RECURSO</t>
        </is>
      </c>
    </row>
    <row r="2">
      <c r="A2" t="inlineStr">
        <is>
          <t>1</t>
        </is>
      </c>
      <c r="B2" t="inlineStr">
        <is>
          <t>Ingresos</t>
        </is>
      </c>
      <c r="C2" t="inlineStr">
        <is>
          <t>C</t>
        </is>
      </c>
      <c r="E2" t="n">
        <v>25022900237</v>
      </c>
      <c r="F2" t="n">
        <v>2696518395</v>
      </c>
      <c r="G2" t="n">
        <v>918409614</v>
      </c>
      <c r="H2" t="n">
        <v>0</v>
      </c>
      <c r="I2" t="n">
        <v>0</v>
      </c>
      <c r="J2" t="n">
        <v>0</v>
      </c>
      <c r="K2" t="n">
        <v>0</v>
      </c>
      <c r="L2" t="n">
        <v>26801009018</v>
      </c>
      <c r="M2" t="n">
        <v>10141229502.06</v>
      </c>
      <c r="N2" t="n">
        <v>10141229502.06</v>
      </c>
      <c r="O2" t="inlineStr">
        <is>
          <t>37.84 %</t>
        </is>
      </c>
      <c r="P2" t="n">
        <v>30269649.18</v>
      </c>
      <c r="Q2" t="n">
        <v>16659779515.94</v>
      </c>
      <c r="R2" t="inlineStr">
        <is>
          <t>00</t>
        </is>
      </c>
    </row>
    <row r="3">
      <c r="A3" t="inlineStr">
        <is>
          <t>1.1</t>
        </is>
      </c>
      <c r="B3" t="inlineStr">
        <is>
          <t>Ingresos corrientes</t>
        </is>
      </c>
      <c r="C3" t="inlineStr">
        <is>
          <t>C</t>
        </is>
      </c>
      <c r="E3" t="n">
        <v>25020700237</v>
      </c>
      <c r="F3" t="n">
        <v>23761460</v>
      </c>
      <c r="G3" t="n">
        <v>918409614</v>
      </c>
      <c r="H3" t="n">
        <v>0</v>
      </c>
      <c r="I3" t="n">
        <v>0</v>
      </c>
      <c r="J3" t="n">
        <v>0</v>
      </c>
      <c r="K3" t="n">
        <v>0</v>
      </c>
      <c r="L3" t="n">
        <v>24126052083</v>
      </c>
      <c r="M3" t="n">
        <v>10140777008.14</v>
      </c>
      <c r="N3" t="n">
        <v>10140777008.14</v>
      </c>
      <c r="O3" t="inlineStr">
        <is>
          <t>42.03 %</t>
        </is>
      </c>
      <c r="P3" t="n">
        <v>30163256</v>
      </c>
      <c r="Q3" t="n">
        <v>13985275074.86</v>
      </c>
      <c r="R3" t="inlineStr">
        <is>
          <t>00</t>
        </is>
      </c>
    </row>
    <row r="4">
      <c r="A4" t="inlineStr">
        <is>
          <t>1.1.01</t>
        </is>
      </c>
      <c r="B4" t="inlineStr">
        <is>
          <t>Ingresos tributarios</t>
        </is>
      </c>
      <c r="C4" t="inlineStr">
        <is>
          <t>C</t>
        </is>
      </c>
      <c r="E4" t="n">
        <v>1058210195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1058210195</v>
      </c>
      <c r="M4" t="n">
        <v>466350603.05</v>
      </c>
      <c r="N4" t="n">
        <v>466350603.05</v>
      </c>
      <c r="O4" t="inlineStr">
        <is>
          <t>44.07 %</t>
        </is>
      </c>
      <c r="P4" t="n">
        <v>12252156</v>
      </c>
      <c r="Q4" t="n">
        <v>591859591.95</v>
      </c>
      <c r="R4" t="inlineStr">
        <is>
          <t>00</t>
        </is>
      </c>
    </row>
    <row r="5">
      <c r="A5" t="inlineStr">
        <is>
          <t>1.1.01.01</t>
        </is>
      </c>
      <c r="B5" t="inlineStr">
        <is>
          <t>Impuestos directos</t>
        </is>
      </c>
      <c r="C5" t="inlineStr">
        <is>
          <t>C</t>
        </is>
      </c>
      <c r="E5" t="n">
        <v>219958465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219958465</v>
      </c>
      <c r="M5" t="n">
        <v>207444500</v>
      </c>
      <c r="N5" t="n">
        <v>207444500</v>
      </c>
      <c r="O5" t="inlineStr">
        <is>
          <t>94.31 %</t>
        </is>
      </c>
      <c r="P5" t="n">
        <v>12252156</v>
      </c>
      <c r="Q5" t="n">
        <v>12513965</v>
      </c>
      <c r="R5" t="inlineStr">
        <is>
          <t>00</t>
        </is>
      </c>
    </row>
    <row r="6">
      <c r="A6" t="inlineStr">
        <is>
          <t>1.1.01.01.014</t>
        </is>
      </c>
      <c r="B6" t="inlineStr">
        <is>
          <t xml:space="preserve">Sobretasa ambiental </t>
        </is>
      </c>
      <c r="C6" t="inlineStr">
        <is>
          <t>C</t>
        </is>
      </c>
      <c r="E6" t="n">
        <v>54319147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54319147</v>
      </c>
      <c r="M6" t="n">
        <v>42503100</v>
      </c>
      <c r="N6" t="n">
        <v>42503100</v>
      </c>
      <c r="O6" t="inlineStr">
        <is>
          <t>78.25 %</t>
        </is>
      </c>
      <c r="P6" t="n">
        <v>0</v>
      </c>
      <c r="Q6" t="n">
        <v>11816047</v>
      </c>
      <c r="R6" t="inlineStr">
        <is>
          <t>00</t>
        </is>
      </c>
    </row>
    <row r="7">
      <c r="A7" t="inlineStr">
        <is>
          <t>1.1.01.01.014.01</t>
        </is>
      </c>
      <c r="B7" t="inlineStr">
        <is>
          <t>Sobretasa ambiental - urbano</t>
        </is>
      </c>
      <c r="C7" t="inlineStr">
        <is>
          <t>C</t>
        </is>
      </c>
      <c r="E7" t="n">
        <v>25675660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25675660</v>
      </c>
      <c r="M7" t="n">
        <v>16917800</v>
      </c>
      <c r="N7" t="n">
        <v>16917800</v>
      </c>
      <c r="O7" t="inlineStr">
        <is>
          <t>65.89 %</t>
        </is>
      </c>
      <c r="P7" t="n">
        <v>0</v>
      </c>
      <c r="Q7" t="n">
        <v>8757860</v>
      </c>
      <c r="R7" t="inlineStr">
        <is>
          <t>101.2</t>
        </is>
      </c>
    </row>
    <row r="8">
      <c r="A8" t="inlineStr">
        <is>
          <t>1.1.01.01.014.02</t>
        </is>
      </c>
      <c r="B8" t="inlineStr">
        <is>
          <t>Sobretasa ambiental -rural</t>
        </is>
      </c>
      <c r="C8" t="inlineStr">
        <is>
          <t>C</t>
        </is>
      </c>
      <c r="E8" t="n">
        <v>28643487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28643487</v>
      </c>
      <c r="M8" t="n">
        <v>25585300</v>
      </c>
      <c r="N8" t="n">
        <v>25585300</v>
      </c>
      <c r="O8" t="inlineStr">
        <is>
          <t>89.32 %</t>
        </is>
      </c>
      <c r="P8" t="n">
        <v>0</v>
      </c>
      <c r="Q8" t="n">
        <v>3058187</v>
      </c>
      <c r="R8" t="inlineStr">
        <is>
          <t>101.2</t>
        </is>
      </c>
    </row>
    <row r="9">
      <c r="A9" t="inlineStr">
        <is>
          <t>1.1.01.01.200</t>
        </is>
      </c>
      <c r="B9" t="inlineStr">
        <is>
          <t>Impuesto predial unificado</t>
        </is>
      </c>
      <c r="C9" t="inlineStr">
        <is>
          <t>C</t>
        </is>
      </c>
      <c r="E9" t="n">
        <v>165639318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165639318</v>
      </c>
      <c r="M9" t="n">
        <v>164941400</v>
      </c>
      <c r="N9" t="n">
        <v>164941400</v>
      </c>
      <c r="O9" t="inlineStr">
        <is>
          <t>99.58 %</t>
        </is>
      </c>
      <c r="P9" t="n">
        <v>12252156</v>
      </c>
      <c r="Q9" t="n">
        <v>697918</v>
      </c>
      <c r="R9" t="inlineStr">
        <is>
          <t>00</t>
        </is>
      </c>
    </row>
    <row r="10">
      <c r="A10" t="inlineStr">
        <is>
          <t>1.1.01.01.200.01</t>
        </is>
      </c>
      <c r="B10" t="inlineStr">
        <is>
          <t>Impuesto predial unificado - urbano</t>
        </is>
      </c>
      <c r="C10" t="inlineStr">
        <is>
          <t>C</t>
        </is>
      </c>
      <c r="E10" t="n">
        <v>82490774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82490774</v>
      </c>
      <c r="M10" t="n">
        <v>69540700</v>
      </c>
      <c r="N10" t="n">
        <v>69540700</v>
      </c>
      <c r="O10" t="inlineStr">
        <is>
          <t>84.3 %</t>
        </is>
      </c>
      <c r="P10" t="n">
        <v>0</v>
      </c>
      <c r="Q10" t="n">
        <v>12950074</v>
      </c>
      <c r="R10" t="inlineStr">
        <is>
          <t>100</t>
        </is>
      </c>
    </row>
    <row r="11">
      <c r="A11" t="inlineStr">
        <is>
          <t>1.1.01.01.200.02</t>
        </is>
      </c>
      <c r="B11" t="inlineStr">
        <is>
          <t>Impuesto predial unificado - rural</t>
        </is>
      </c>
      <c r="C11" t="inlineStr">
        <is>
          <t>C</t>
        </is>
      </c>
      <c r="E11" t="n">
        <v>83148544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83148544</v>
      </c>
      <c r="M11" t="n">
        <v>95400700</v>
      </c>
      <c r="N11" t="n">
        <v>95400700</v>
      </c>
      <c r="O11" t="inlineStr">
        <is>
          <t>114.74 %</t>
        </is>
      </c>
      <c r="P11" t="n">
        <v>12252156</v>
      </c>
      <c r="Q11" t="n">
        <v>-12252156</v>
      </c>
      <c r="R11" t="inlineStr">
        <is>
          <t>100</t>
        </is>
      </c>
    </row>
    <row r="12">
      <c r="A12" t="inlineStr">
        <is>
          <t>1.1.01.02</t>
        </is>
      </c>
      <c r="B12" t="inlineStr">
        <is>
          <t>Impuestos indirectos</t>
        </is>
      </c>
      <c r="C12" t="inlineStr">
        <is>
          <t>C</t>
        </is>
      </c>
      <c r="E12" t="n">
        <v>838251730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838251730</v>
      </c>
      <c r="M12" t="n">
        <v>258906103.05</v>
      </c>
      <c r="N12" t="n">
        <v>258906103.05</v>
      </c>
      <c r="O12" t="inlineStr">
        <is>
          <t>30.89 %</t>
        </is>
      </c>
      <c r="P12" t="n">
        <v>0</v>
      </c>
      <c r="Q12" t="n">
        <v>579345626.95</v>
      </c>
      <c r="R12" t="inlineStr">
        <is>
          <t>00</t>
        </is>
      </c>
    </row>
    <row r="13">
      <c r="A13" t="inlineStr">
        <is>
          <t>1.1.01.02.109</t>
        </is>
      </c>
      <c r="B13" t="inlineStr">
        <is>
          <t xml:space="preserve">Sobretasa a la gasolina </t>
        </is>
      </c>
      <c r="C13" t="inlineStr">
        <is>
          <t>C</t>
        </is>
      </c>
      <c r="E13" t="n">
        <v>81106000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81106000</v>
      </c>
      <c r="M13" t="n">
        <v>21346000</v>
      </c>
      <c r="N13" t="n">
        <v>21346000</v>
      </c>
      <c r="O13" t="inlineStr">
        <is>
          <t>26.32 %</t>
        </is>
      </c>
      <c r="P13" t="n">
        <v>0</v>
      </c>
      <c r="Q13" t="n">
        <v>59760000</v>
      </c>
      <c r="R13" t="inlineStr">
        <is>
          <t>100</t>
        </is>
      </c>
    </row>
    <row r="14">
      <c r="A14" t="inlineStr">
        <is>
          <t>1.1.01.02.200</t>
        </is>
      </c>
      <c r="B14" t="inlineStr">
        <is>
          <t>Impuesto de industria y comercio</t>
        </is>
      </c>
      <c r="C14" t="inlineStr">
        <is>
          <t>C</t>
        </is>
      </c>
      <c r="E14" t="n">
        <v>338354538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338354538</v>
      </c>
      <c r="M14" t="n">
        <v>82685871.05</v>
      </c>
      <c r="N14" t="n">
        <v>82685871.05</v>
      </c>
      <c r="O14" t="inlineStr">
        <is>
          <t>24.44 %</t>
        </is>
      </c>
      <c r="P14" t="n">
        <v>0</v>
      </c>
      <c r="Q14" t="n">
        <v>255668666.95</v>
      </c>
      <c r="R14" t="inlineStr">
        <is>
          <t>00</t>
        </is>
      </c>
    </row>
    <row r="15">
      <c r="A15" t="inlineStr">
        <is>
          <t>1.1.01.02.200.01</t>
        </is>
      </c>
      <c r="B15" t="inlineStr">
        <is>
          <t>Impuesto de industria y comercio - sobre actividades comerciales</t>
        </is>
      </c>
      <c r="C15" t="inlineStr">
        <is>
          <t>C</t>
        </is>
      </c>
      <c r="E15" t="n">
        <v>301246263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301246263</v>
      </c>
      <c r="M15" t="n">
        <v>72715570</v>
      </c>
      <c r="N15" t="n">
        <v>72715570</v>
      </c>
      <c r="O15" t="inlineStr">
        <is>
          <t>24.14 %</t>
        </is>
      </c>
      <c r="P15" t="n">
        <v>0</v>
      </c>
      <c r="Q15" t="n">
        <v>228530693</v>
      </c>
      <c r="R15" t="inlineStr">
        <is>
          <t>100</t>
        </is>
      </c>
    </row>
    <row r="16">
      <c r="A16" t="inlineStr">
        <is>
          <t>1.1.01.02.200.02</t>
        </is>
      </c>
      <c r="B16" t="inlineStr">
        <is>
          <t>Impuesto de industria y comercio - sobre actividades industriales</t>
        </is>
      </c>
      <c r="C16" t="inlineStr">
        <is>
          <t>C</t>
        </is>
      </c>
      <c r="E16" t="n">
        <v>9465275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9465275</v>
      </c>
      <c r="M16" t="n">
        <v>0</v>
      </c>
      <c r="N16" t="n">
        <v>0</v>
      </c>
      <c r="O16" t="inlineStr">
        <is>
          <t>0 %</t>
        </is>
      </c>
      <c r="P16" t="n">
        <v>0</v>
      </c>
      <c r="Q16" t="n">
        <v>9465275</v>
      </c>
      <c r="R16" t="inlineStr">
        <is>
          <t>100</t>
        </is>
      </c>
    </row>
    <row r="17">
      <c r="A17" t="inlineStr">
        <is>
          <t>1.1.01.02.200.03</t>
        </is>
      </c>
      <c r="B17" t="inlineStr">
        <is>
          <t>Impuesto de industria y comercio - sobre actividades de servicios</t>
        </is>
      </c>
      <c r="C17" t="inlineStr">
        <is>
          <t>C</t>
        </is>
      </c>
      <c r="E17" t="n">
        <v>27643000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27643000</v>
      </c>
      <c r="M17" t="n">
        <v>9970301.049999999</v>
      </c>
      <c r="N17" t="n">
        <v>9970301.049999999</v>
      </c>
      <c r="O17" t="inlineStr">
        <is>
          <t>36.07 %</t>
        </is>
      </c>
      <c r="P17" t="n">
        <v>0</v>
      </c>
      <c r="Q17" t="n">
        <v>17672698.95</v>
      </c>
      <c r="R17" t="inlineStr">
        <is>
          <t>100</t>
        </is>
      </c>
    </row>
    <row r="18">
      <c r="A18" t="inlineStr">
        <is>
          <t>1.1.01.02.201</t>
        </is>
      </c>
      <c r="B18" t="inlineStr">
        <is>
          <t>Impuesto complementario de avisos y tableros</t>
        </is>
      </c>
      <c r="C18" t="inlineStr">
        <is>
          <t>C</t>
        </is>
      </c>
      <c r="E18" t="n">
        <v>21035690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21035690</v>
      </c>
      <c r="M18" t="n">
        <v>0</v>
      </c>
      <c r="N18" t="n">
        <v>0</v>
      </c>
      <c r="O18" t="inlineStr">
        <is>
          <t>0 %</t>
        </is>
      </c>
      <c r="P18" t="n">
        <v>0</v>
      </c>
      <c r="Q18" t="n">
        <v>21035690</v>
      </c>
      <c r="R18" t="inlineStr">
        <is>
          <t>100</t>
        </is>
      </c>
    </row>
    <row r="19">
      <c r="A19" t="inlineStr">
        <is>
          <t>1.1.01.02.202</t>
        </is>
      </c>
      <c r="B19" t="inlineStr">
        <is>
          <t>Impuesto a la publicidad exterior visual</t>
        </is>
      </c>
      <c r="C19" t="inlineStr">
        <is>
          <t>C</t>
        </is>
      </c>
      <c r="E19" t="n">
        <v>1000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1000</v>
      </c>
      <c r="M19" t="n">
        <v>0</v>
      </c>
      <c r="N19" t="n">
        <v>0</v>
      </c>
      <c r="O19" t="inlineStr">
        <is>
          <t>0 %</t>
        </is>
      </c>
      <c r="P19" t="n">
        <v>0</v>
      </c>
      <c r="Q19" t="n">
        <v>1000</v>
      </c>
      <c r="R19" t="inlineStr">
        <is>
          <t>100</t>
        </is>
      </c>
    </row>
    <row r="20">
      <c r="A20" t="inlineStr">
        <is>
          <t>1.1.01.02.204</t>
        </is>
      </c>
      <c r="B20" t="inlineStr">
        <is>
          <t>Impuesto de delineacion</t>
        </is>
      </c>
      <c r="C20" t="inlineStr">
        <is>
          <t>C</t>
        </is>
      </c>
      <c r="E20" t="n">
        <v>4417284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4417284</v>
      </c>
      <c r="M20" t="n">
        <v>0</v>
      </c>
      <c r="N20" t="n">
        <v>0</v>
      </c>
      <c r="O20" t="inlineStr">
        <is>
          <t>0 %</t>
        </is>
      </c>
      <c r="P20" t="n">
        <v>0</v>
      </c>
      <c r="Q20" t="n">
        <v>4417284</v>
      </c>
      <c r="R20" t="inlineStr">
        <is>
          <t>100</t>
        </is>
      </c>
    </row>
    <row r="21">
      <c r="A21" t="inlineStr">
        <is>
          <t>1.1.01.02.209</t>
        </is>
      </c>
      <c r="B21" t="inlineStr">
        <is>
          <t>Impuesto al degãœello de ganado menor</t>
        </is>
      </c>
      <c r="C21" t="inlineStr">
        <is>
          <t>C</t>
        </is>
      </c>
      <c r="E21" t="n">
        <v>46625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46625</v>
      </c>
      <c r="M21" t="n">
        <v>0</v>
      </c>
      <c r="N21" t="n">
        <v>0</v>
      </c>
      <c r="O21" t="inlineStr">
        <is>
          <t>0 %</t>
        </is>
      </c>
      <c r="P21" t="n">
        <v>0</v>
      </c>
      <c r="Q21" t="n">
        <v>46625</v>
      </c>
      <c r="R21" t="inlineStr">
        <is>
          <t>100</t>
        </is>
      </c>
    </row>
    <row r="22">
      <c r="A22" t="inlineStr">
        <is>
          <t>1.1.01.02.211</t>
        </is>
      </c>
      <c r="B22" t="inlineStr">
        <is>
          <t>Impuesto de alumbrado publico</t>
        </is>
      </c>
      <c r="C22" t="inlineStr">
        <is>
          <t>C</t>
        </is>
      </c>
      <c r="E22" t="n">
        <v>39745508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39745508</v>
      </c>
      <c r="M22" t="n">
        <v>0</v>
      </c>
      <c r="N22" t="n">
        <v>0</v>
      </c>
      <c r="O22" t="inlineStr">
        <is>
          <t>0 %</t>
        </is>
      </c>
      <c r="P22" t="n">
        <v>0</v>
      </c>
      <c r="Q22" t="n">
        <v>39745508</v>
      </c>
      <c r="R22" t="inlineStr">
        <is>
          <t>115</t>
        </is>
      </c>
    </row>
    <row r="23">
      <c r="A23" t="inlineStr">
        <is>
          <t>1.1.01.02.212</t>
        </is>
      </c>
      <c r="B23" t="inlineStr">
        <is>
          <t>Sobretasa bomberil</t>
        </is>
      </c>
      <c r="C23" t="inlineStr">
        <is>
          <t>C</t>
        </is>
      </c>
      <c r="E23" t="n">
        <v>6349424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6349424</v>
      </c>
      <c r="M23" t="n">
        <v>0</v>
      </c>
      <c r="N23" t="n">
        <v>0</v>
      </c>
      <c r="O23" t="inlineStr">
        <is>
          <t>0 %</t>
        </is>
      </c>
      <c r="P23" t="n">
        <v>0</v>
      </c>
      <c r="Q23" t="n">
        <v>6349424</v>
      </c>
      <c r="R23" t="inlineStr">
        <is>
          <t>114</t>
        </is>
      </c>
    </row>
    <row r="24">
      <c r="A24" t="inlineStr">
        <is>
          <t>1.1.01.02.218</t>
        </is>
      </c>
      <c r="B24" t="inlineStr">
        <is>
          <t>Tasa prodeporte y recreacion</t>
        </is>
      </c>
      <c r="C24" t="inlineStr">
        <is>
          <t>C</t>
        </is>
      </c>
      <c r="E24" t="n">
        <v>58663920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58663920</v>
      </c>
      <c r="M24" t="n">
        <v>18415984</v>
      </c>
      <c r="N24" t="n">
        <v>18415984</v>
      </c>
      <c r="O24" t="inlineStr">
        <is>
          <t>31.39 %</t>
        </is>
      </c>
      <c r="P24" t="n">
        <v>0</v>
      </c>
      <c r="Q24" t="n">
        <v>40247936</v>
      </c>
      <c r="R24" t="inlineStr">
        <is>
          <t>117</t>
        </is>
      </c>
    </row>
    <row r="25">
      <c r="A25" t="inlineStr">
        <is>
          <t>1.1.01.02.300</t>
        </is>
      </c>
      <c r="B25" t="inlineStr">
        <is>
          <t>Estampillas</t>
        </is>
      </c>
      <c r="C25" t="inlineStr">
        <is>
          <t>C</t>
        </is>
      </c>
      <c r="E25" t="n">
        <v>288531741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288531741</v>
      </c>
      <c r="M25" t="n">
        <v>136458248</v>
      </c>
      <c r="N25" t="n">
        <v>136458248</v>
      </c>
      <c r="O25" t="inlineStr">
        <is>
          <t>47.29 %</t>
        </is>
      </c>
      <c r="P25" t="n">
        <v>0</v>
      </c>
      <c r="Q25" t="n">
        <v>152073493</v>
      </c>
      <c r="R25" t="inlineStr">
        <is>
          <t>00</t>
        </is>
      </c>
    </row>
    <row r="26">
      <c r="A26" t="inlineStr">
        <is>
          <t>1.1.01.02.300.01</t>
        </is>
      </c>
      <c r="B26" t="inlineStr">
        <is>
          <t>Estampilla para el bienestar del adulto mayor</t>
        </is>
      </c>
      <c r="C26" t="inlineStr">
        <is>
          <t>C</t>
        </is>
      </c>
      <c r="E26" t="n">
        <v>175509125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175509125</v>
      </c>
      <c r="M26" t="n">
        <v>83235618</v>
      </c>
      <c r="N26" t="n">
        <v>83235618</v>
      </c>
      <c r="O26" t="inlineStr">
        <is>
          <t>47.43 %</t>
        </is>
      </c>
      <c r="P26" t="n">
        <v>0</v>
      </c>
      <c r="Q26" t="n">
        <v>92273507</v>
      </c>
      <c r="R26" t="inlineStr">
        <is>
          <t>151</t>
        </is>
      </c>
    </row>
    <row r="27">
      <c r="A27" t="inlineStr">
        <is>
          <t>1.1.01.02.300.55</t>
        </is>
      </c>
      <c r="B27" t="inlineStr">
        <is>
          <t>Estampilla pro cultura</t>
        </is>
      </c>
      <c r="C27" t="inlineStr">
        <is>
          <t>C</t>
        </is>
      </c>
      <c r="E27" t="n">
        <v>58472757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58472757</v>
      </c>
      <c r="M27" t="n">
        <v>28667978</v>
      </c>
      <c r="N27" t="n">
        <v>28667978</v>
      </c>
      <c r="O27" t="inlineStr">
        <is>
          <t>49.03 %</t>
        </is>
      </c>
      <c r="P27" t="n">
        <v>0</v>
      </c>
      <c r="Q27" t="n">
        <v>29804779</v>
      </c>
      <c r="R27" t="inlineStr">
        <is>
          <t>152</t>
        </is>
      </c>
    </row>
    <row r="28">
      <c r="A28" t="inlineStr">
        <is>
          <t>1.1.01.02.300.61</t>
        </is>
      </c>
      <c r="B28" t="inlineStr">
        <is>
          <t>Estampilla para la justicia familiar</t>
        </is>
      </c>
      <c r="C28" t="inlineStr">
        <is>
          <t>C</t>
        </is>
      </c>
      <c r="E28" t="n">
        <v>54549859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54549859</v>
      </c>
      <c r="M28" t="n">
        <v>24554652</v>
      </c>
      <c r="N28" t="n">
        <v>24554652</v>
      </c>
      <c r="O28" t="inlineStr">
        <is>
          <t>45.01 %</t>
        </is>
      </c>
      <c r="P28" t="n">
        <v>0</v>
      </c>
      <c r="Q28" t="n">
        <v>29995207</v>
      </c>
      <c r="R28" t="inlineStr">
        <is>
          <t>153</t>
        </is>
      </c>
    </row>
    <row r="29">
      <c r="A29" t="inlineStr">
        <is>
          <t>1.1.02</t>
        </is>
      </c>
      <c r="B29" t="inlineStr">
        <is>
          <t>Ingresos no tributarios</t>
        </is>
      </c>
      <c r="C29" t="inlineStr">
        <is>
          <t>C</t>
        </is>
      </c>
      <c r="E29" t="n">
        <v>23962490042</v>
      </c>
      <c r="F29" t="n">
        <v>23761460</v>
      </c>
      <c r="G29" t="n">
        <v>918409614</v>
      </c>
      <c r="H29" t="n">
        <v>0</v>
      </c>
      <c r="I29" t="n">
        <v>0</v>
      </c>
      <c r="J29" t="n">
        <v>0</v>
      </c>
      <c r="K29" t="n">
        <v>0</v>
      </c>
      <c r="L29" t="n">
        <v>23067841888</v>
      </c>
      <c r="M29" t="n">
        <v>9674426405.09</v>
      </c>
      <c r="N29" t="n">
        <v>9674426405.09</v>
      </c>
      <c r="O29" t="inlineStr">
        <is>
          <t>41.94 %</t>
        </is>
      </c>
      <c r="P29" t="n">
        <v>17911100</v>
      </c>
      <c r="Q29" t="n">
        <v>13393415482.91</v>
      </c>
      <c r="R29" t="inlineStr">
        <is>
          <t>00</t>
        </is>
      </c>
    </row>
    <row r="30">
      <c r="A30" t="inlineStr">
        <is>
          <t>1.1.02.01</t>
        </is>
      </c>
      <c r="B30" t="inlineStr">
        <is>
          <t>Contribuciones</t>
        </is>
      </c>
      <c r="C30" t="inlineStr">
        <is>
          <t>C</t>
        </is>
      </c>
      <c r="E30" t="n">
        <v>58996857</v>
      </c>
      <c r="F30" t="n">
        <v>12255460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71252317</v>
      </c>
      <c r="M30" t="n">
        <v>35935648</v>
      </c>
      <c r="N30" t="n">
        <v>35935648</v>
      </c>
      <c r="O30" t="inlineStr">
        <is>
          <t>50.43 %</t>
        </is>
      </c>
      <c r="P30" t="n">
        <v>0</v>
      </c>
      <c r="Q30" t="n">
        <v>35316669</v>
      </c>
      <c r="R30" t="inlineStr">
        <is>
          <t>00</t>
        </is>
      </c>
    </row>
    <row r="31">
      <c r="A31" t="inlineStr">
        <is>
          <t>1.1.02.01.005</t>
        </is>
      </c>
      <c r="B31" t="inlineStr">
        <is>
          <t>Contribuciones diversas</t>
        </is>
      </c>
      <c r="C31" t="inlineStr">
        <is>
          <t>C</t>
        </is>
      </c>
      <c r="E31" t="n">
        <v>58996857</v>
      </c>
      <c r="F31" t="n">
        <v>12255460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71252317</v>
      </c>
      <c r="M31" t="n">
        <v>35935648</v>
      </c>
      <c r="N31" t="n">
        <v>35935648</v>
      </c>
      <c r="O31" t="inlineStr">
        <is>
          <t>50.43 %</t>
        </is>
      </c>
      <c r="P31" t="n">
        <v>0</v>
      </c>
      <c r="Q31" t="n">
        <v>35316669</v>
      </c>
      <c r="R31" t="inlineStr">
        <is>
          <t>00</t>
        </is>
      </c>
    </row>
    <row r="32">
      <c r="A32" t="inlineStr">
        <is>
          <t>1.1.02.01.005.59</t>
        </is>
      </c>
      <c r="B32" t="inlineStr">
        <is>
          <t>Contribucion especial sobre contratos de obras publicas</t>
        </is>
      </c>
      <c r="C32" t="inlineStr">
        <is>
          <t>C</t>
        </is>
      </c>
      <c r="E32" t="n">
        <v>58996857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58996857</v>
      </c>
      <c r="M32" t="n">
        <v>35935648</v>
      </c>
      <c r="N32" t="n">
        <v>35935648</v>
      </c>
      <c r="O32" t="inlineStr">
        <is>
          <t>60.91 %</t>
        </is>
      </c>
      <c r="P32" t="n">
        <v>0</v>
      </c>
      <c r="Q32" t="n">
        <v>23061209</v>
      </c>
      <c r="R32" t="inlineStr">
        <is>
          <t>676</t>
        </is>
      </c>
    </row>
    <row r="33">
      <c r="A33" t="inlineStr">
        <is>
          <t>1.1.02.01.005.65</t>
        </is>
      </c>
      <c r="B33" t="inlineStr">
        <is>
          <t>Concursos económico - estratificacion</t>
        </is>
      </c>
      <c r="C33" t="inlineStr">
        <is>
          <t>C</t>
        </is>
      </c>
      <c r="E33" t="n">
        <v>0</v>
      </c>
      <c r="F33" t="n">
        <v>12255460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12255460</v>
      </c>
      <c r="M33" t="n">
        <v>0</v>
      </c>
      <c r="N33" t="n">
        <v>0</v>
      </c>
      <c r="O33" t="inlineStr">
        <is>
          <t>0 %</t>
        </is>
      </c>
      <c r="P33" t="n">
        <v>0</v>
      </c>
      <c r="Q33" t="n">
        <v>12255460</v>
      </c>
      <c r="R33" t="inlineStr">
        <is>
          <t>00</t>
        </is>
      </c>
    </row>
    <row r="34">
      <c r="A34" t="inlineStr">
        <is>
          <t>1.1.02.01.005.65.01</t>
        </is>
      </c>
      <c r="B34" t="inlineStr">
        <is>
          <t>Concursos económico - estratificacion (USP)</t>
        </is>
      </c>
      <c r="C34" t="inlineStr">
        <is>
          <t>C</t>
        </is>
      </c>
      <c r="E34" t="n">
        <v>0</v>
      </c>
      <c r="F34" t="n">
        <v>3788626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3788626</v>
      </c>
      <c r="M34" t="n">
        <v>0</v>
      </c>
      <c r="N34" t="n">
        <v>0</v>
      </c>
      <c r="O34" t="inlineStr">
        <is>
          <t>0 %</t>
        </is>
      </c>
      <c r="P34" t="n">
        <v>0</v>
      </c>
      <c r="Q34" t="n">
        <v>3788626</v>
      </c>
      <c r="R34" t="inlineStr">
        <is>
          <t>690.</t>
        </is>
      </c>
    </row>
    <row r="35">
      <c r="A35" t="inlineStr">
        <is>
          <t>1.1.02.01.005.65.02</t>
        </is>
      </c>
      <c r="B35" t="inlineStr">
        <is>
          <t>Concursos económico - estratificacion (CENS)</t>
        </is>
      </c>
      <c r="C35" t="inlineStr">
        <is>
          <t>C</t>
        </is>
      </c>
      <c r="E35" t="n">
        <v>0</v>
      </c>
      <c r="F35" t="n">
        <v>4233417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4233417</v>
      </c>
      <c r="M35" t="n">
        <v>0</v>
      </c>
      <c r="N35" t="n">
        <v>0</v>
      </c>
      <c r="O35" t="inlineStr">
        <is>
          <t>0 %</t>
        </is>
      </c>
      <c r="P35" t="n">
        <v>0</v>
      </c>
      <c r="Q35" t="n">
        <v>4233417</v>
      </c>
      <c r="R35" t="inlineStr">
        <is>
          <t>690.</t>
        </is>
      </c>
    </row>
    <row r="36">
      <c r="A36" t="inlineStr">
        <is>
          <t>1.1.02.01.005.65.03</t>
        </is>
      </c>
      <c r="B36" t="inlineStr">
        <is>
          <t>Concursos económico - estratificacion (GRENCOL)</t>
        </is>
      </c>
      <c r="C36" t="inlineStr">
        <is>
          <t>C</t>
        </is>
      </c>
      <c r="E36" t="n">
        <v>0</v>
      </c>
      <c r="F36" t="n">
        <v>4233417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4233417</v>
      </c>
      <c r="M36" t="n">
        <v>0</v>
      </c>
      <c r="N36" t="n">
        <v>0</v>
      </c>
      <c r="O36" t="inlineStr">
        <is>
          <t>0 %</t>
        </is>
      </c>
      <c r="P36" t="n">
        <v>0</v>
      </c>
      <c r="Q36" t="n">
        <v>4233417</v>
      </c>
      <c r="R36" t="inlineStr">
        <is>
          <t>690.</t>
        </is>
      </c>
    </row>
    <row r="37">
      <c r="A37" t="inlineStr">
        <is>
          <t>1.1.02.02</t>
        </is>
      </c>
      <c r="B37" t="inlineStr">
        <is>
          <t>Tasas y derechos administrativos</t>
        </is>
      </c>
      <c r="C37" t="inlineStr">
        <is>
          <t>C</t>
        </is>
      </c>
      <c r="E37" t="n">
        <v>58996857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58996857</v>
      </c>
      <c r="M37" t="n">
        <v>32998456</v>
      </c>
      <c r="N37" t="n">
        <v>32998456</v>
      </c>
      <c r="O37" t="inlineStr">
        <is>
          <t>55.93 %</t>
        </is>
      </c>
      <c r="P37" t="n">
        <v>0</v>
      </c>
      <c r="Q37" t="n">
        <v>25998401</v>
      </c>
      <c r="R37" t="inlineStr">
        <is>
          <t>00</t>
        </is>
      </c>
    </row>
    <row r="38">
      <c r="A38" t="inlineStr">
        <is>
          <t>1.1.02.02.015</t>
        </is>
      </c>
      <c r="B38" t="inlineStr">
        <is>
          <t>Certificaciones y constancias</t>
        </is>
      </c>
      <c r="C38" t="inlineStr">
        <is>
          <t>C</t>
        </is>
      </c>
      <c r="E38" t="n">
        <v>58996857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58996857</v>
      </c>
      <c r="M38" t="n">
        <v>32998456</v>
      </c>
      <c r="N38" t="n">
        <v>32998456</v>
      </c>
      <c r="O38" t="inlineStr">
        <is>
          <t>55.93 %</t>
        </is>
      </c>
      <c r="P38" t="n">
        <v>0</v>
      </c>
      <c r="Q38" t="n">
        <v>25998401</v>
      </c>
      <c r="R38" t="inlineStr">
        <is>
          <t>00</t>
        </is>
      </c>
    </row>
    <row r="39">
      <c r="A39" t="inlineStr">
        <is>
          <t>1.1.02.02.015.01</t>
        </is>
      </c>
      <c r="B39" t="inlineStr">
        <is>
          <t>Certificaciones y constancias-Expedición de certificados, paz y salvos entre otros</t>
        </is>
      </c>
      <c r="C39" t="inlineStr">
        <is>
          <t>C</t>
        </is>
      </c>
      <c r="E39" t="n">
        <v>58996857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58996857</v>
      </c>
      <c r="M39" t="n">
        <v>32998456</v>
      </c>
      <c r="N39" t="n">
        <v>32998456</v>
      </c>
      <c r="O39" t="inlineStr">
        <is>
          <t>55.93 %</t>
        </is>
      </c>
      <c r="P39" t="n">
        <v>0</v>
      </c>
      <c r="Q39" t="n">
        <v>25998401</v>
      </c>
      <c r="R39" t="inlineStr">
        <is>
          <t>100</t>
        </is>
      </c>
    </row>
    <row r="40">
      <c r="A40" t="inlineStr">
        <is>
          <t>1.1.02.03</t>
        </is>
      </c>
      <c r="B40" t="inlineStr">
        <is>
          <t>Multas, sanciones e intereses de mora</t>
        </is>
      </c>
      <c r="C40" t="inlineStr">
        <is>
          <t>C</t>
        </is>
      </c>
      <c r="E40" t="n">
        <v>25228609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25228609</v>
      </c>
      <c r="M40" t="n">
        <v>18411100</v>
      </c>
      <c r="N40" t="n">
        <v>18411100</v>
      </c>
      <c r="O40" t="inlineStr">
        <is>
          <t>72.98 %</t>
        </is>
      </c>
      <c r="P40" t="n">
        <v>17911100</v>
      </c>
      <c r="Q40" t="n">
        <v>6817509</v>
      </c>
      <c r="R40" t="inlineStr">
        <is>
          <t>00</t>
        </is>
      </c>
    </row>
    <row r="41">
      <c r="A41" t="inlineStr">
        <is>
          <t>1.1.02.03.001</t>
        </is>
      </c>
      <c r="B41" t="inlineStr">
        <is>
          <t>Multas y sanciones</t>
        </is>
      </c>
      <c r="C41" t="inlineStr">
        <is>
          <t>C</t>
        </is>
      </c>
      <c r="E41" t="n">
        <v>3500000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3500000</v>
      </c>
      <c r="M41" t="n">
        <v>0</v>
      </c>
      <c r="N41" t="n">
        <v>0</v>
      </c>
      <c r="O41" t="inlineStr">
        <is>
          <t>0 %</t>
        </is>
      </c>
      <c r="P41" t="n">
        <v>0</v>
      </c>
      <c r="Q41" t="n">
        <v>3500000</v>
      </c>
      <c r="R41" t="inlineStr">
        <is>
          <t>00</t>
        </is>
      </c>
    </row>
    <row r="42">
      <c r="A42" t="inlineStr">
        <is>
          <t>1.1.02.03.001.11</t>
        </is>
      </c>
      <c r="B42" t="inlineStr">
        <is>
          <t>Sanciones tributarias</t>
        </is>
      </c>
      <c r="C42" t="inlineStr">
        <is>
          <t>C</t>
        </is>
      </c>
      <c r="E42" t="n">
        <v>500000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500000</v>
      </c>
      <c r="M42" t="n">
        <v>0</v>
      </c>
      <c r="N42" t="n">
        <v>0</v>
      </c>
      <c r="O42" t="inlineStr">
        <is>
          <t>0 %</t>
        </is>
      </c>
      <c r="P42" t="n">
        <v>0</v>
      </c>
      <c r="Q42" t="n">
        <v>500000</v>
      </c>
      <c r="R42" t="inlineStr">
        <is>
          <t>00</t>
        </is>
      </c>
    </row>
    <row r="43">
      <c r="A43" t="inlineStr">
        <is>
          <t>1.1.02.03.001.11.01</t>
        </is>
      </c>
      <c r="B43" t="inlineStr">
        <is>
          <t>Impuesto de Industria y Comercio</t>
        </is>
      </c>
      <c r="C43" t="inlineStr">
        <is>
          <t>C</t>
        </is>
      </c>
      <c r="E43" t="n">
        <v>500000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500000</v>
      </c>
      <c r="M43" t="n">
        <v>0</v>
      </c>
      <c r="N43" t="n">
        <v>0</v>
      </c>
      <c r="O43" t="inlineStr">
        <is>
          <t>0 %</t>
        </is>
      </c>
      <c r="P43" t="n">
        <v>0</v>
      </c>
      <c r="Q43" t="n">
        <v>500000</v>
      </c>
      <c r="R43" t="inlineStr">
        <is>
          <t>100</t>
        </is>
      </c>
    </row>
    <row r="44">
      <c r="A44" t="inlineStr">
        <is>
          <t>1.1.02.03.001.20</t>
        </is>
      </c>
      <c r="B44" t="inlineStr">
        <is>
          <t>Multas codigo nacional de seguridad y convivencia ciudadana</t>
        </is>
      </c>
      <c r="C44" t="inlineStr">
        <is>
          <t>C</t>
        </is>
      </c>
      <c r="E44" t="n">
        <v>3000000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3000000</v>
      </c>
      <c r="M44" t="n">
        <v>0</v>
      </c>
      <c r="N44" t="n">
        <v>0</v>
      </c>
      <c r="O44" t="inlineStr">
        <is>
          <t>0 %</t>
        </is>
      </c>
      <c r="P44" t="n">
        <v>0</v>
      </c>
      <c r="Q44" t="n">
        <v>3000000</v>
      </c>
      <c r="R44" t="inlineStr">
        <is>
          <t>00</t>
        </is>
      </c>
    </row>
    <row r="45">
      <c r="A45" t="inlineStr">
        <is>
          <t>1.1.02.03.001.20.01</t>
        </is>
      </c>
      <c r="B45" t="inlineStr">
        <is>
          <t>Multas codigo nacional de seguridad y convivencia ciudadana - multas generales</t>
        </is>
      </c>
      <c r="C45" t="inlineStr">
        <is>
          <t>C</t>
        </is>
      </c>
      <c r="E45" t="n">
        <v>1500000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1500000</v>
      </c>
      <c r="M45" t="n">
        <v>0</v>
      </c>
      <c r="N45" t="n">
        <v>0</v>
      </c>
      <c r="O45" t="inlineStr">
        <is>
          <t>0 %</t>
        </is>
      </c>
      <c r="P45" t="n">
        <v>0</v>
      </c>
      <c r="Q45" t="n">
        <v>1500000</v>
      </c>
      <c r="R45" t="inlineStr">
        <is>
          <t>138</t>
        </is>
      </c>
    </row>
    <row r="46">
      <c r="A46" t="inlineStr">
        <is>
          <t>1.1.02.03.001.20.02</t>
        </is>
      </c>
      <c r="B46" t="inlineStr">
        <is>
          <t>Multas codigo nacional de seguridad y convivencia ciudadana - multas especiales</t>
        </is>
      </c>
      <c r="C46" t="inlineStr">
        <is>
          <t>C</t>
        </is>
      </c>
      <c r="E46" t="n">
        <v>1500000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1500000</v>
      </c>
      <c r="M46" t="n">
        <v>0</v>
      </c>
      <c r="N46" t="n">
        <v>0</v>
      </c>
      <c r="O46" t="inlineStr">
        <is>
          <t>0 %</t>
        </is>
      </c>
      <c r="P46" t="n">
        <v>0</v>
      </c>
      <c r="Q46" t="n">
        <v>1500000</v>
      </c>
      <c r="R46" t="inlineStr">
        <is>
          <t>138</t>
        </is>
      </c>
    </row>
    <row r="47">
      <c r="A47" t="inlineStr">
        <is>
          <t>1.1.02.03.002</t>
        </is>
      </c>
      <c r="B47" t="inlineStr">
        <is>
          <t>Intereses de mora</t>
        </is>
      </c>
      <c r="C47" t="inlineStr">
        <is>
          <t>C</t>
        </is>
      </c>
      <c r="E47" t="n">
        <v>21728609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21728609</v>
      </c>
      <c r="M47" t="n">
        <v>18411100</v>
      </c>
      <c r="N47" t="n">
        <v>18411100</v>
      </c>
      <c r="O47" t="inlineStr">
        <is>
          <t>84.73 %</t>
        </is>
      </c>
      <c r="P47" t="n">
        <v>17911100</v>
      </c>
      <c r="Q47" t="n">
        <v>3317509</v>
      </c>
      <c r="R47" t="inlineStr">
        <is>
          <t>00</t>
        </is>
      </c>
    </row>
    <row r="48">
      <c r="A48" t="inlineStr">
        <is>
          <t>1.1.02.03.002.01</t>
        </is>
      </c>
      <c r="B48" t="inlineStr">
        <is>
          <t>Impuesto de Industria y Comercio</t>
        </is>
      </c>
      <c r="C48" t="inlineStr">
        <is>
          <t>C</t>
        </is>
      </c>
      <c r="E48" t="n">
        <v>500000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500000</v>
      </c>
      <c r="M48" t="n">
        <v>18411100</v>
      </c>
      <c r="N48" t="n">
        <v>18411100</v>
      </c>
      <c r="O48" t="inlineStr">
        <is>
          <t>3682.22 %</t>
        </is>
      </c>
      <c r="P48" t="n">
        <v>17911100</v>
      </c>
      <c r="Q48" t="n">
        <v>-17911100</v>
      </c>
      <c r="R48" t="inlineStr">
        <is>
          <t>100</t>
        </is>
      </c>
    </row>
    <row r="49">
      <c r="A49" t="inlineStr">
        <is>
          <t>1.1.02.03.002.02</t>
        </is>
      </c>
      <c r="B49" t="inlineStr">
        <is>
          <t>Impuesto Predial Unificado</t>
        </is>
      </c>
      <c r="C49" t="inlineStr">
        <is>
          <t>C</t>
        </is>
      </c>
      <c r="E49" t="n">
        <v>21228609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21228609</v>
      </c>
      <c r="M49" t="n">
        <v>0</v>
      </c>
      <c r="N49" t="n">
        <v>0</v>
      </c>
      <c r="O49" t="inlineStr">
        <is>
          <t>0 %</t>
        </is>
      </c>
      <c r="P49" t="n">
        <v>0</v>
      </c>
      <c r="Q49" t="n">
        <v>21228609</v>
      </c>
      <c r="R49" t="inlineStr">
        <is>
          <t>100</t>
        </is>
      </c>
    </row>
    <row r="50">
      <c r="A50" t="inlineStr">
        <is>
          <t>1.1.02.05</t>
        </is>
      </c>
      <c r="B50" t="inlineStr">
        <is>
          <t>Venta de bienes y servicios</t>
        </is>
      </c>
      <c r="C50" t="inlineStr">
        <is>
          <t>C</t>
        </is>
      </c>
      <c r="E50" t="n">
        <v>601684211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601684211</v>
      </c>
      <c r="M50" t="n">
        <v>273078254.9200019</v>
      </c>
      <c r="N50" t="n">
        <v>273078254.9200019</v>
      </c>
      <c r="O50" t="inlineStr">
        <is>
          <t>45.39 %</t>
        </is>
      </c>
      <c r="P50" t="n">
        <v>0</v>
      </c>
      <c r="Q50" t="n">
        <v>328605956.0799981</v>
      </c>
      <c r="R50" t="inlineStr">
        <is>
          <t>00</t>
        </is>
      </c>
    </row>
    <row r="51">
      <c r="A51" t="inlineStr">
        <is>
          <t>1.1.02.05.001</t>
        </is>
      </c>
      <c r="B51" t="inlineStr">
        <is>
          <t>Ventas de establecimientos de mercado</t>
        </is>
      </c>
      <c r="C51" t="inlineStr">
        <is>
          <t>C</t>
        </is>
      </c>
      <c r="E51" t="n">
        <v>601684211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601684211</v>
      </c>
      <c r="M51" t="n">
        <v>273078254.9200019</v>
      </c>
      <c r="N51" t="n">
        <v>273078254.9200019</v>
      </c>
      <c r="O51" t="inlineStr">
        <is>
          <t>45.39 %</t>
        </is>
      </c>
      <c r="P51" t="n">
        <v>0</v>
      </c>
      <c r="Q51" t="n">
        <v>328605956.0799981</v>
      </c>
      <c r="R51" t="inlineStr">
        <is>
          <t>00</t>
        </is>
      </c>
    </row>
    <row r="52">
      <c r="A52" t="inlineStr">
        <is>
          <t>1.1.02.05.001.06</t>
        </is>
      </c>
      <c r="B52" t="inlineStr">
        <is>
          <t>Comercio y distribucion; alojamiento; servicios de suministro de comidas y bebidas; servicios de transporte; y servicios de distribucion de electricidad, gas y agua</t>
        </is>
      </c>
      <c r="C52" t="inlineStr">
        <is>
          <t>C</t>
        </is>
      </c>
      <c r="E52" t="n">
        <v>580762021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580762021</v>
      </c>
      <c r="M52" t="n">
        <v>273078254.9200019</v>
      </c>
      <c r="N52" t="n">
        <v>273078254.9200019</v>
      </c>
      <c r="O52" t="inlineStr">
        <is>
          <t>47.02 %</t>
        </is>
      </c>
      <c r="P52" t="n">
        <v>0</v>
      </c>
      <c r="Q52" t="n">
        <v>307683766.0799981</v>
      </c>
      <c r="R52" t="inlineStr">
        <is>
          <t>00</t>
        </is>
      </c>
    </row>
    <row r="53">
      <c r="A53" t="inlineStr">
        <is>
          <t>1.1.02.05.001.06.01</t>
        </is>
      </c>
      <c r="B53" t="inlineStr">
        <is>
          <t>Servicios públicos - Acueducto</t>
        </is>
      </c>
      <c r="C53" t="inlineStr">
        <is>
          <t>C</t>
        </is>
      </c>
      <c r="E53" t="n">
        <v>131163559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131163559</v>
      </c>
      <c r="M53" t="n">
        <v>77564859.9500012</v>
      </c>
      <c r="N53" t="n">
        <v>77564859.95000118</v>
      </c>
      <c r="O53" t="inlineStr">
        <is>
          <t>59.14 %</t>
        </is>
      </c>
      <c r="P53" t="n">
        <v>0</v>
      </c>
      <c r="Q53" t="n">
        <v>53598699.04999882</v>
      </c>
      <c r="R53" t="inlineStr">
        <is>
          <t>104</t>
        </is>
      </c>
    </row>
    <row r="54">
      <c r="A54" t="inlineStr">
        <is>
          <t>1.1.02.05.001.06.02</t>
        </is>
      </c>
      <c r="B54" t="inlineStr">
        <is>
          <t>Servicios públicos - Alcantarillado</t>
        </is>
      </c>
      <c r="C54" t="inlineStr">
        <is>
          <t>C</t>
        </is>
      </c>
      <c r="E54" t="n">
        <v>55347409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55347409</v>
      </c>
      <c r="M54" t="n">
        <v>27481518.25999998</v>
      </c>
      <c r="N54" t="n">
        <v>27481518.25999998</v>
      </c>
      <c r="O54" t="inlineStr">
        <is>
          <t>49.65 %</t>
        </is>
      </c>
      <c r="P54" t="n">
        <v>0</v>
      </c>
      <c r="Q54" t="n">
        <v>27865890.74000002</v>
      </c>
      <c r="R54" t="inlineStr">
        <is>
          <t>104</t>
        </is>
      </c>
    </row>
    <row r="55">
      <c r="A55" t="inlineStr">
        <is>
          <t>1.1.02.05.001.06.03</t>
        </is>
      </c>
      <c r="B55" t="inlineStr">
        <is>
          <t>Servicios públicos - Aseo</t>
        </is>
      </c>
      <c r="C55" t="inlineStr">
        <is>
          <t>C</t>
        </is>
      </c>
      <c r="E55" t="n">
        <v>63134680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63134680</v>
      </c>
      <c r="M55" t="n">
        <v>30188686.35000077</v>
      </c>
      <c r="N55" t="n">
        <v>30188686.35000077</v>
      </c>
      <c r="O55" t="inlineStr">
        <is>
          <t>47.82 %</t>
        </is>
      </c>
      <c r="P55" t="n">
        <v>0</v>
      </c>
      <c r="Q55" t="n">
        <v>32945993.64999923</v>
      </c>
      <c r="R55" t="inlineStr">
        <is>
          <t>104</t>
        </is>
      </c>
    </row>
    <row r="56">
      <c r="A56" t="inlineStr">
        <is>
          <t>1.1.02.05.001.06.04</t>
        </is>
      </c>
      <c r="B56" t="inlineStr">
        <is>
          <t>Subsidio acueducto</t>
        </is>
      </c>
      <c r="C56" t="inlineStr">
        <is>
          <t>C</t>
        </is>
      </c>
      <c r="D56" t="inlineStr">
        <is>
          <t>1 - IFSR Acueducto</t>
        </is>
      </c>
      <c r="E56" t="n">
        <v>177394675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177394675</v>
      </c>
      <c r="M56" t="n">
        <v>73954524.23999999</v>
      </c>
      <c r="N56" t="n">
        <v>73954524.23999999</v>
      </c>
      <c r="O56" t="inlineStr">
        <is>
          <t>41.69 %</t>
        </is>
      </c>
      <c r="P56" t="n">
        <v>0</v>
      </c>
      <c r="Q56" t="n">
        <v>103440150.76</v>
      </c>
      <c r="R56" t="inlineStr">
        <is>
          <t>292.1</t>
        </is>
      </c>
    </row>
    <row r="57">
      <c r="A57" t="inlineStr">
        <is>
          <t>1.1.02.05.001.06.05</t>
        </is>
      </c>
      <c r="B57" t="inlineStr">
        <is>
          <t>Subsidio alcantarillado</t>
        </is>
      </c>
      <c r="C57" t="inlineStr">
        <is>
          <t>C</t>
        </is>
      </c>
      <c r="D57" t="inlineStr">
        <is>
          <t>2 - IFSR Alcantarillado</t>
        </is>
      </c>
      <c r="E57" t="n">
        <v>78292899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78292899</v>
      </c>
      <c r="M57" t="n">
        <v>32346899.62</v>
      </c>
      <c r="N57" t="n">
        <v>32346899.62</v>
      </c>
      <c r="O57" t="inlineStr">
        <is>
          <t>41.32 %</t>
        </is>
      </c>
      <c r="P57" t="n">
        <v>0</v>
      </c>
      <c r="Q57" t="n">
        <v>45945999.38</v>
      </c>
      <c r="R57" t="inlineStr">
        <is>
          <t>292.2</t>
        </is>
      </c>
    </row>
    <row r="58">
      <c r="A58" t="inlineStr">
        <is>
          <t>1.1.02.05.001.06.06</t>
        </is>
      </c>
      <c r="B58" t="inlineStr">
        <is>
          <t>Subsidio aseo</t>
        </is>
      </c>
      <c r="C58" t="inlineStr">
        <is>
          <t>C</t>
        </is>
      </c>
      <c r="D58" t="inlineStr">
        <is>
          <t>3 - IFSR Aseo</t>
        </is>
      </c>
      <c r="E58" t="n">
        <v>75428799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75428799</v>
      </c>
      <c r="M58" t="n">
        <v>31541766.5</v>
      </c>
      <c r="N58" t="n">
        <v>31541766.5</v>
      </c>
      <c r="O58" t="inlineStr">
        <is>
          <t>41.82 %</t>
        </is>
      </c>
      <c r="P58" t="n">
        <v>0</v>
      </c>
      <c r="Q58" t="n">
        <v>43887032.5</v>
      </c>
      <c r="R58" t="inlineStr">
        <is>
          <t>292.3</t>
        </is>
      </c>
    </row>
    <row r="59">
      <c r="A59" t="inlineStr">
        <is>
          <t>1.1.02.05.001.07</t>
        </is>
      </c>
      <c r="B59" t="inlineStr">
        <is>
          <t>Servicios financieros y servicios conexos; servicios inmobiliarios; y servicios de arrendamiento y leasing</t>
        </is>
      </c>
      <c r="C59" t="inlineStr">
        <is>
          <t>C</t>
        </is>
      </c>
      <c r="E59" t="n">
        <v>20922190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20922190</v>
      </c>
      <c r="M59" t="n">
        <v>0</v>
      </c>
      <c r="N59" t="n">
        <v>0</v>
      </c>
      <c r="O59" t="inlineStr">
        <is>
          <t>0 %</t>
        </is>
      </c>
      <c r="P59" t="n">
        <v>0</v>
      </c>
      <c r="Q59" t="n">
        <v>20922190</v>
      </c>
      <c r="R59" t="inlineStr">
        <is>
          <t>00</t>
        </is>
      </c>
    </row>
    <row r="60">
      <c r="A60" t="inlineStr">
        <is>
          <t>1.1.02.05.001.07.01</t>
        </is>
      </c>
      <c r="B60" t="inlineStr">
        <is>
          <t>Plaza de mercado</t>
        </is>
      </c>
      <c r="C60" t="inlineStr">
        <is>
          <t>C</t>
        </is>
      </c>
      <c r="E60" t="n">
        <v>18922190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18922190</v>
      </c>
      <c r="M60" t="n">
        <v>0</v>
      </c>
      <c r="N60" t="n">
        <v>0</v>
      </c>
      <c r="O60" t="inlineStr">
        <is>
          <t>0 %</t>
        </is>
      </c>
      <c r="P60" t="n">
        <v>0</v>
      </c>
      <c r="Q60" t="n">
        <v>18922190</v>
      </c>
      <c r="R60" t="inlineStr">
        <is>
          <t>100</t>
        </is>
      </c>
    </row>
    <row r="61">
      <c r="A61" t="inlineStr">
        <is>
          <t>1.1.02.05.001.07.02</t>
        </is>
      </c>
      <c r="B61" t="inlineStr">
        <is>
          <t>Arrendamientos complejo deportivo</t>
        </is>
      </c>
      <c r="C61" t="inlineStr">
        <is>
          <t>C</t>
        </is>
      </c>
      <c r="E61" t="n">
        <v>2000000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2000000</v>
      </c>
      <c r="M61" t="n">
        <v>0</v>
      </c>
      <c r="N61" t="n">
        <v>0</v>
      </c>
      <c r="O61" t="inlineStr">
        <is>
          <t>0 %</t>
        </is>
      </c>
      <c r="P61" t="n">
        <v>0</v>
      </c>
      <c r="Q61" t="n">
        <v>2000000</v>
      </c>
      <c r="R61" t="inlineStr">
        <is>
          <t>100</t>
        </is>
      </c>
    </row>
    <row r="62">
      <c r="A62" t="inlineStr">
        <is>
          <t>1.1.02.06</t>
        </is>
      </c>
      <c r="B62" t="inlineStr">
        <is>
          <t>Transferencias corrientes</t>
        </is>
      </c>
      <c r="C62" t="inlineStr">
        <is>
          <t>C</t>
        </is>
      </c>
      <c r="E62" t="n">
        <v>23075559295</v>
      </c>
      <c r="F62" t="n">
        <v>11506000</v>
      </c>
      <c r="G62" t="n">
        <v>918409614</v>
      </c>
      <c r="H62" t="n">
        <v>0</v>
      </c>
      <c r="I62" t="n">
        <v>0</v>
      </c>
      <c r="J62" t="n">
        <v>0</v>
      </c>
      <c r="K62" t="n">
        <v>0</v>
      </c>
      <c r="L62" t="n">
        <v>22168655681</v>
      </c>
      <c r="M62" t="n">
        <v>9280199816.179998</v>
      </c>
      <c r="N62" t="n">
        <v>9280199816.179998</v>
      </c>
      <c r="O62" t="inlineStr">
        <is>
          <t>41.86 %</t>
        </is>
      </c>
      <c r="P62" t="n">
        <v>0</v>
      </c>
      <c r="Q62" t="n">
        <v>12888455864.82</v>
      </c>
      <c r="R62" t="inlineStr">
        <is>
          <t>00</t>
        </is>
      </c>
    </row>
    <row r="63">
      <c r="A63" t="inlineStr">
        <is>
          <t>1.1.02.06.001</t>
        </is>
      </c>
      <c r="B63" t="inlineStr">
        <is>
          <t>Sistema general de participaciones</t>
        </is>
      </c>
      <c r="C63" t="inlineStr">
        <is>
          <t>C</t>
        </is>
      </c>
      <c r="E63" t="n">
        <v>15017031481</v>
      </c>
      <c r="F63" t="n">
        <v>0</v>
      </c>
      <c r="G63" t="n">
        <v>918409614</v>
      </c>
      <c r="H63" t="n">
        <v>0</v>
      </c>
      <c r="I63" t="n">
        <v>0</v>
      </c>
      <c r="J63" t="n">
        <v>0</v>
      </c>
      <c r="K63" t="n">
        <v>0</v>
      </c>
      <c r="L63" t="n">
        <v>14098621867</v>
      </c>
      <c r="M63" t="n">
        <v>5034626147</v>
      </c>
      <c r="N63" t="n">
        <v>5034626147</v>
      </c>
      <c r="O63" t="inlineStr">
        <is>
          <t>35.71 %</t>
        </is>
      </c>
      <c r="P63" t="n">
        <v>0</v>
      </c>
      <c r="Q63" t="n">
        <v>9063995720</v>
      </c>
      <c r="R63" t="inlineStr">
        <is>
          <t>00</t>
        </is>
      </c>
    </row>
    <row r="64">
      <c r="A64" t="inlineStr">
        <is>
          <t>1.1.02.06.001.01</t>
        </is>
      </c>
      <c r="B64" t="inlineStr">
        <is>
          <t>Participacion para educacion</t>
        </is>
      </c>
      <c r="C64" t="inlineStr">
        <is>
          <t>C</t>
        </is>
      </c>
      <c r="E64" t="n">
        <v>625208836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625208836</v>
      </c>
      <c r="M64" t="n">
        <v>281284035</v>
      </c>
      <c r="N64" t="n">
        <v>281284035</v>
      </c>
      <c r="O64" t="inlineStr">
        <is>
          <t>44.99 %</t>
        </is>
      </c>
      <c r="P64" t="n">
        <v>0</v>
      </c>
      <c r="Q64" t="n">
        <v>343924801</v>
      </c>
      <c r="R64" t="inlineStr">
        <is>
          <t>00</t>
        </is>
      </c>
    </row>
    <row r="65">
      <c r="A65" t="inlineStr">
        <is>
          <t>1.1.02.06.001.01.03</t>
        </is>
      </c>
      <c r="B65" t="inlineStr">
        <is>
          <t>Calidad</t>
        </is>
      </c>
      <c r="C65" t="inlineStr">
        <is>
          <t>C</t>
        </is>
      </c>
      <c r="E65" t="n">
        <v>625208836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625208836</v>
      </c>
      <c r="M65" t="n">
        <v>281284035</v>
      </c>
      <c r="N65" t="n">
        <v>281284035</v>
      </c>
      <c r="O65" t="inlineStr">
        <is>
          <t>44.99 %</t>
        </is>
      </c>
      <c r="P65" t="n">
        <v>0</v>
      </c>
      <c r="Q65" t="n">
        <v>343924801</v>
      </c>
      <c r="R65" t="inlineStr">
        <is>
          <t>00</t>
        </is>
      </c>
    </row>
    <row r="66">
      <c r="A66" t="inlineStr">
        <is>
          <t>1.1.02.06.001.01.03.01</t>
        </is>
      </c>
      <c r="B66" t="inlineStr">
        <is>
          <t>Calidad por matricula oficial</t>
        </is>
      </c>
      <c r="C66" t="inlineStr">
        <is>
          <t>C</t>
        </is>
      </c>
      <c r="E66" t="n">
        <v>174655711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174655711</v>
      </c>
      <c r="M66" t="n">
        <v>62599200</v>
      </c>
      <c r="N66" t="n">
        <v>62599200</v>
      </c>
      <c r="O66" t="inlineStr">
        <is>
          <t>35.84 %</t>
        </is>
      </c>
      <c r="P66" t="n">
        <v>0</v>
      </c>
      <c r="Q66" t="n">
        <v>112056511</v>
      </c>
      <c r="R66" t="inlineStr">
        <is>
          <t>230</t>
        </is>
      </c>
    </row>
    <row r="67">
      <c r="A67" t="inlineStr">
        <is>
          <t>1.1.02.06.001.01.03.02</t>
        </is>
      </c>
      <c r="B67" t="inlineStr">
        <is>
          <t>Calidad por gratuidad</t>
        </is>
      </c>
      <c r="C67" t="inlineStr">
        <is>
          <t>C</t>
        </is>
      </c>
      <c r="E67" t="n">
        <v>450553125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450553125</v>
      </c>
      <c r="M67" t="n">
        <v>218684835</v>
      </c>
      <c r="N67" t="n">
        <v>218684835</v>
      </c>
      <c r="O67" t="inlineStr">
        <is>
          <t>48.54 %</t>
        </is>
      </c>
      <c r="P67" t="n">
        <v>0</v>
      </c>
      <c r="Q67" t="n">
        <v>231868290</v>
      </c>
      <c r="R67" t="inlineStr">
        <is>
          <t>231</t>
        </is>
      </c>
    </row>
    <row r="68">
      <c r="A68" t="inlineStr">
        <is>
          <t>1.1.02.06.001.02</t>
        </is>
      </c>
      <c r="B68" t="inlineStr">
        <is>
          <t>Participacion para salud</t>
        </is>
      </c>
      <c r="C68" t="inlineStr">
        <is>
          <t>C</t>
        </is>
      </c>
      <c r="E68" t="n">
        <v>5575951282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5575951282</v>
      </c>
      <c r="M68" t="n">
        <v>2258403875</v>
      </c>
      <c r="N68" t="n">
        <v>2258403875</v>
      </c>
      <c r="O68" t="inlineStr">
        <is>
          <t>40.5 %</t>
        </is>
      </c>
      <c r="P68" t="n">
        <v>0</v>
      </c>
      <c r="Q68" t="n">
        <v>3317547407</v>
      </c>
      <c r="R68" t="inlineStr">
        <is>
          <t>00</t>
        </is>
      </c>
    </row>
    <row r="69">
      <c r="A69" t="inlineStr">
        <is>
          <t>1.1.02.06.001.02.01</t>
        </is>
      </c>
      <c r="B69" t="inlineStr">
        <is>
          <t xml:space="preserve">Regimen subsidiado </t>
        </is>
      </c>
      <c r="C69" t="inlineStr">
        <is>
          <t>C</t>
        </is>
      </c>
      <c r="D69" t="inlineStr">
        <is>
          <t>9 - FLS Aseguramiento</t>
        </is>
      </c>
      <c r="E69" t="n">
        <v>5164858462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5164858462</v>
      </c>
      <c r="M69" t="n">
        <v>2133097777</v>
      </c>
      <c r="N69" t="n">
        <v>2133097777</v>
      </c>
      <c r="O69" t="inlineStr">
        <is>
          <t>41.3 %</t>
        </is>
      </c>
      <c r="P69" t="n">
        <v>0</v>
      </c>
      <c r="Q69" t="n">
        <v>3031760685</v>
      </c>
      <c r="R69" t="inlineStr">
        <is>
          <t>260</t>
        </is>
      </c>
    </row>
    <row r="70">
      <c r="A70" t="inlineStr">
        <is>
          <t>1.1.02.06.001.02.02</t>
        </is>
      </c>
      <c r="B70" t="inlineStr">
        <is>
          <t>Salud publica</t>
        </is>
      </c>
      <c r="C70" t="inlineStr">
        <is>
          <t>C</t>
        </is>
      </c>
      <c r="D70" t="inlineStr">
        <is>
          <t>5 - FLS Salud publica</t>
        </is>
      </c>
      <c r="E70" t="n">
        <v>411092820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411092820</v>
      </c>
      <c r="M70" t="n">
        <v>125306098</v>
      </c>
      <c r="N70" t="n">
        <v>125306098</v>
      </c>
      <c r="O70" t="inlineStr">
        <is>
          <t>30.48 %</t>
        </is>
      </c>
      <c r="P70" t="n">
        <v>0</v>
      </c>
      <c r="Q70" t="n">
        <v>285786722</v>
      </c>
      <c r="R70" t="inlineStr">
        <is>
          <t>261</t>
        </is>
      </c>
    </row>
    <row r="71">
      <c r="A71" t="inlineStr">
        <is>
          <t>1.1.02.06.001.03</t>
        </is>
      </c>
      <c r="B71" t="inlineStr">
        <is>
          <t>Participacion para proposito general</t>
        </is>
      </c>
      <c r="C71" t="inlineStr">
        <is>
          <t>C</t>
        </is>
      </c>
      <c r="E71" t="n">
        <v>6949193063</v>
      </c>
      <c r="F71" t="n">
        <v>0</v>
      </c>
      <c r="G71" t="n">
        <v>918409614</v>
      </c>
      <c r="H71" t="n">
        <v>0</v>
      </c>
      <c r="I71" t="n">
        <v>0</v>
      </c>
      <c r="J71" t="n">
        <v>0</v>
      </c>
      <c r="K71" t="n">
        <v>0</v>
      </c>
      <c r="L71" t="n">
        <v>6030783449</v>
      </c>
      <c r="M71" t="n">
        <v>1892401862</v>
      </c>
      <c r="N71" t="n">
        <v>1892401862</v>
      </c>
      <c r="O71" t="inlineStr">
        <is>
          <t>31.38 %</t>
        </is>
      </c>
      <c r="P71" t="n">
        <v>0</v>
      </c>
      <c r="Q71" t="n">
        <v>4138381587</v>
      </c>
      <c r="R71" t="inlineStr">
        <is>
          <t>00</t>
        </is>
      </c>
    </row>
    <row r="72">
      <c r="A72" t="inlineStr">
        <is>
          <t>1.1.02.06.001.03.01</t>
        </is>
      </c>
      <c r="B72" t="inlineStr">
        <is>
          <t>Deporte y recreacion</t>
        </is>
      </c>
      <c r="C72" t="inlineStr">
        <is>
          <t>C</t>
        </is>
      </c>
      <c r="E72" t="n">
        <v>177228932</v>
      </c>
      <c r="F72" t="n">
        <v>0</v>
      </c>
      <c r="G72" t="n">
        <v>59521148</v>
      </c>
      <c r="H72" t="n">
        <v>0</v>
      </c>
      <c r="I72" t="n">
        <v>0</v>
      </c>
      <c r="J72" t="n">
        <v>0</v>
      </c>
      <c r="K72" t="n">
        <v>0</v>
      </c>
      <c r="L72" t="n">
        <v>117707784</v>
      </c>
      <c r="M72" t="n">
        <v>37906412.47</v>
      </c>
      <c r="N72" t="n">
        <v>37906412.47</v>
      </c>
      <c r="O72" t="inlineStr">
        <is>
          <t>32.2 %</t>
        </is>
      </c>
      <c r="P72" t="n">
        <v>0</v>
      </c>
      <c r="Q72" t="n">
        <v>79801371.53</v>
      </c>
      <c r="R72" t="inlineStr">
        <is>
          <t>380</t>
        </is>
      </c>
    </row>
    <row r="73">
      <c r="A73" t="inlineStr">
        <is>
          <t>1.1.02.06.001.03.02</t>
        </is>
      </c>
      <c r="B73" t="inlineStr">
        <is>
          <t>Cultura</t>
        </is>
      </c>
      <c r="C73" t="inlineStr">
        <is>
          <t>C</t>
        </is>
      </c>
      <c r="E73" t="n">
        <v>132921699</v>
      </c>
      <c r="F73" t="n">
        <v>0</v>
      </c>
      <c r="G73" t="n">
        <v>44640861</v>
      </c>
      <c r="H73" t="n">
        <v>0</v>
      </c>
      <c r="I73" t="n">
        <v>0</v>
      </c>
      <c r="J73" t="n">
        <v>0</v>
      </c>
      <c r="K73" t="n">
        <v>0</v>
      </c>
      <c r="L73" t="n">
        <v>88280838</v>
      </c>
      <c r="M73" t="n">
        <v>28429809.53</v>
      </c>
      <c r="N73" t="n">
        <v>28429809.53</v>
      </c>
      <c r="O73" t="inlineStr">
        <is>
          <t>32.2 %</t>
        </is>
      </c>
      <c r="P73" t="n">
        <v>0</v>
      </c>
      <c r="Q73" t="n">
        <v>59851028.47</v>
      </c>
      <c r="R73" t="inlineStr">
        <is>
          <t>400</t>
        </is>
      </c>
    </row>
    <row r="74">
      <c r="A74" t="inlineStr">
        <is>
          <t>1.1.02.06.001.03.03</t>
        </is>
      </c>
      <c r="B74" t="inlineStr">
        <is>
          <t>Proposito general libre inversion</t>
        </is>
      </c>
      <c r="C74" t="inlineStr">
        <is>
          <t>C</t>
        </is>
      </c>
      <c r="E74" t="n">
        <v>3627336157</v>
      </c>
      <c r="F74" t="n">
        <v>0</v>
      </c>
      <c r="G74" t="n">
        <v>397266966</v>
      </c>
      <c r="H74" t="n">
        <v>0</v>
      </c>
      <c r="I74" t="n">
        <v>0</v>
      </c>
      <c r="J74" t="n">
        <v>0</v>
      </c>
      <c r="K74" t="n">
        <v>0</v>
      </c>
      <c r="L74" t="n">
        <v>3230069191</v>
      </c>
      <c r="M74" t="n">
        <v>1011355991.05</v>
      </c>
      <c r="N74" t="n">
        <v>1011355991.05</v>
      </c>
      <c r="O74" t="inlineStr">
        <is>
          <t>31.31 %</t>
        </is>
      </c>
      <c r="P74" t="n">
        <v>0</v>
      </c>
      <c r="Q74" t="n">
        <v>2218713199.95</v>
      </c>
      <c r="R74" t="inlineStr">
        <is>
          <t>420</t>
        </is>
      </c>
    </row>
    <row r="75">
      <c r="A75" t="inlineStr">
        <is>
          <t>1.1.02.06.001.03.04</t>
        </is>
      </c>
      <c r="B75" t="inlineStr">
        <is>
          <t>Proposito general libre destinacion municipios categorias 4, 5 y 6</t>
        </is>
      </c>
      <c r="C75" t="inlineStr">
        <is>
          <t>C</t>
        </is>
      </c>
      <c r="E75" t="n">
        <v>3011706275</v>
      </c>
      <c r="F75" t="n">
        <v>0</v>
      </c>
      <c r="G75" t="n">
        <v>416980639</v>
      </c>
      <c r="H75" t="n">
        <v>0</v>
      </c>
      <c r="I75" t="n">
        <v>0</v>
      </c>
      <c r="J75" t="n">
        <v>0</v>
      </c>
      <c r="K75" t="n">
        <v>0</v>
      </c>
      <c r="L75" t="n">
        <v>2594725636</v>
      </c>
      <c r="M75" t="n">
        <v>814709648.95</v>
      </c>
      <c r="N75" t="n">
        <v>814709648.95</v>
      </c>
      <c r="O75" t="inlineStr">
        <is>
          <t>31.4 %</t>
        </is>
      </c>
      <c r="P75" t="n">
        <v>0</v>
      </c>
      <c r="Q75" t="n">
        <v>1780015987.05</v>
      </c>
      <c r="R75" t="inlineStr">
        <is>
          <t>360</t>
        </is>
      </c>
    </row>
    <row r="76">
      <c r="A76" t="inlineStr">
        <is>
          <t>1.1.02.06.001.04</t>
        </is>
      </c>
      <c r="B76" t="inlineStr">
        <is>
          <t>Asignaciones especiales</t>
        </is>
      </c>
      <c r="C76" t="inlineStr">
        <is>
          <t>C</t>
        </is>
      </c>
      <c r="E76" t="n">
        <v>108490064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108490064</v>
      </c>
      <c r="M76" t="n">
        <v>34188872</v>
      </c>
      <c r="N76" t="n">
        <v>34188872</v>
      </c>
      <c r="O76" t="inlineStr">
        <is>
          <t>31.51 %</t>
        </is>
      </c>
      <c r="P76" t="n">
        <v>0</v>
      </c>
      <c r="Q76" t="n">
        <v>74301192</v>
      </c>
      <c r="R76" t="inlineStr">
        <is>
          <t>00</t>
        </is>
      </c>
    </row>
    <row r="77">
      <c r="A77" t="inlineStr">
        <is>
          <t>1.1.02.06.001.04.01</t>
        </is>
      </c>
      <c r="B77" t="inlineStr">
        <is>
          <t>Programas de alimentacion escolar</t>
        </is>
      </c>
      <c r="C77" t="inlineStr">
        <is>
          <t>C</t>
        </is>
      </c>
      <c r="E77" t="n">
        <v>108490064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108490064</v>
      </c>
      <c r="M77" t="n">
        <v>34188872</v>
      </c>
      <c r="N77" t="n">
        <v>34188872</v>
      </c>
      <c r="O77" t="inlineStr">
        <is>
          <t>31.51 %</t>
        </is>
      </c>
      <c r="P77" t="n">
        <v>0</v>
      </c>
      <c r="Q77" t="n">
        <v>74301192</v>
      </c>
      <c r="R77" t="inlineStr">
        <is>
          <t>130</t>
        </is>
      </c>
    </row>
    <row r="78">
      <c r="A78" t="inlineStr">
        <is>
          <t>1.1.02.06.001.05</t>
        </is>
      </c>
      <c r="B78" t="inlineStr">
        <is>
          <t>Agua potable y saneamiento basico</t>
        </is>
      </c>
      <c r="C78" t="inlineStr">
        <is>
          <t>C</t>
        </is>
      </c>
      <c r="E78" t="n">
        <v>1758188236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1758188236</v>
      </c>
      <c r="M78" t="n">
        <v>568347503</v>
      </c>
      <c r="N78" t="n">
        <v>568347503</v>
      </c>
      <c r="O78" t="inlineStr">
        <is>
          <t>32.33 %</t>
        </is>
      </c>
      <c r="P78" t="n">
        <v>0</v>
      </c>
      <c r="Q78" t="n">
        <v>1189840733</v>
      </c>
      <c r="R78" t="inlineStr">
        <is>
          <t>290</t>
        </is>
      </c>
    </row>
    <row r="79">
      <c r="A79" t="inlineStr">
        <is>
          <t>1.1.02.06.003</t>
        </is>
      </c>
      <c r="B79" t="inlineStr">
        <is>
          <t>Participaciones distintas del sgp</t>
        </is>
      </c>
      <c r="C79" t="inlineStr">
        <is>
          <t>C</t>
        </is>
      </c>
      <c r="E79" t="n">
        <v>33421973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33421973</v>
      </c>
      <c r="M79" t="n">
        <v>6880698</v>
      </c>
      <c r="N79" t="n">
        <v>6880698</v>
      </c>
      <c r="O79" t="inlineStr">
        <is>
          <t>20.59 %</t>
        </is>
      </c>
      <c r="P79" t="n">
        <v>0</v>
      </c>
      <c r="Q79" t="n">
        <v>26541275</v>
      </c>
      <c r="R79" t="inlineStr">
        <is>
          <t>00</t>
        </is>
      </c>
    </row>
    <row r="80">
      <c r="A80" t="inlineStr">
        <is>
          <t>1.1.02.06.003.01</t>
        </is>
      </c>
      <c r="B80" t="inlineStr">
        <is>
          <t>Participacion en impuestos</t>
        </is>
      </c>
      <c r="C80" t="inlineStr">
        <is>
          <t>C</t>
        </is>
      </c>
      <c r="E80" t="n">
        <v>33421973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33421973</v>
      </c>
      <c r="M80" t="n">
        <v>6880698</v>
      </c>
      <c r="N80" t="n">
        <v>6880698</v>
      </c>
      <c r="O80" t="inlineStr">
        <is>
          <t>20.59 %</t>
        </is>
      </c>
      <c r="P80" t="n">
        <v>0</v>
      </c>
      <c r="Q80" t="n">
        <v>26541275</v>
      </c>
      <c r="R80" t="inlineStr">
        <is>
          <t>00</t>
        </is>
      </c>
    </row>
    <row r="81">
      <c r="A81" t="inlineStr">
        <is>
          <t>1.1.02.06.003.01.02</t>
        </is>
      </c>
      <c r="B81" t="inlineStr">
        <is>
          <t>Participacion del impuesto sobre vehiculos automotores</t>
        </is>
      </c>
      <c r="C81" t="inlineStr">
        <is>
          <t>C</t>
        </is>
      </c>
      <c r="E81" t="n">
        <v>11330000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11330000</v>
      </c>
      <c r="M81" t="n">
        <v>0</v>
      </c>
      <c r="N81" t="n">
        <v>0</v>
      </c>
      <c r="O81" t="inlineStr">
        <is>
          <t>0 %</t>
        </is>
      </c>
      <c r="P81" t="n">
        <v>0</v>
      </c>
      <c r="Q81" t="n">
        <v>11330000</v>
      </c>
      <c r="R81" t="inlineStr">
        <is>
          <t>100</t>
        </is>
      </c>
    </row>
    <row r="82">
      <c r="A82" t="inlineStr">
        <is>
          <t>1.1.02.06.003.01.08</t>
        </is>
      </c>
      <c r="B82" t="inlineStr">
        <is>
          <t>Participacion del impuesto al deguello de ganado mayor en los terminos que lo defina la ordenanza</t>
        </is>
      </c>
      <c r="C82" t="inlineStr">
        <is>
          <t>C</t>
        </is>
      </c>
      <c r="E82" t="n">
        <v>22091973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22091973</v>
      </c>
      <c r="M82" t="n">
        <v>6880698</v>
      </c>
      <c r="N82" t="n">
        <v>6880698</v>
      </c>
      <c r="O82" t="inlineStr">
        <is>
          <t>31.15 %</t>
        </is>
      </c>
      <c r="P82" t="n">
        <v>0</v>
      </c>
      <c r="Q82" t="n">
        <v>15211275</v>
      </c>
      <c r="R82" t="inlineStr">
        <is>
          <t>119</t>
        </is>
      </c>
    </row>
    <row r="83">
      <c r="A83" t="inlineStr">
        <is>
          <t>1.1.02.06.006</t>
        </is>
      </c>
      <c r="B83" t="inlineStr">
        <is>
          <t>TRANSFERENCIAS DE OTRAS ENTIDADES DEL GOBIERNO GENERAL</t>
        </is>
      </c>
      <c r="C83" t="inlineStr">
        <is>
          <t>C</t>
        </is>
      </c>
      <c r="E83" t="n">
        <v>0</v>
      </c>
      <c r="F83" t="n">
        <v>11506000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11506000</v>
      </c>
      <c r="M83" t="n">
        <v>0</v>
      </c>
      <c r="N83" t="n">
        <v>0</v>
      </c>
      <c r="O83" t="inlineStr">
        <is>
          <t>0 %</t>
        </is>
      </c>
      <c r="P83" t="n">
        <v>0</v>
      </c>
      <c r="Q83" t="n">
        <v>11506000</v>
      </c>
      <c r="R83" t="inlineStr">
        <is>
          <t>00</t>
        </is>
      </c>
    </row>
    <row r="84">
      <c r="A84" t="inlineStr">
        <is>
          <t>1.1.02.06.006.06</t>
        </is>
      </c>
      <c r="B84" t="inlineStr">
        <is>
          <t>OTRAS UNIDADES DE GOBIERNO</t>
        </is>
      </c>
      <c r="C84" t="inlineStr">
        <is>
          <t>C</t>
        </is>
      </c>
      <c r="E84" t="n">
        <v>0</v>
      </c>
      <c r="F84" t="n">
        <v>11506000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11506000</v>
      </c>
      <c r="M84" t="n">
        <v>0</v>
      </c>
      <c r="N84" t="n">
        <v>0</v>
      </c>
      <c r="O84" t="inlineStr">
        <is>
          <t>0 %</t>
        </is>
      </c>
      <c r="P84" t="n">
        <v>0</v>
      </c>
      <c r="Q84" t="n">
        <v>11506000</v>
      </c>
      <c r="R84" t="inlineStr">
        <is>
          <t>00</t>
        </is>
      </c>
    </row>
    <row r="85">
      <c r="A85" t="inlineStr">
        <is>
          <t>1.1.02.06.006.06.01</t>
        </is>
      </c>
      <c r="B85" t="inlineStr">
        <is>
          <t>Ministerio de cultura</t>
        </is>
      </c>
      <c r="C85" t="inlineStr">
        <is>
          <t>C</t>
        </is>
      </c>
      <c r="E85" t="n">
        <v>0</v>
      </c>
      <c r="F85" t="n">
        <v>11506000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11506000</v>
      </c>
      <c r="M85" t="n">
        <v>0</v>
      </c>
      <c r="N85" t="n">
        <v>0</v>
      </c>
      <c r="O85" t="inlineStr">
        <is>
          <t>0 %</t>
        </is>
      </c>
      <c r="P85" t="n">
        <v>0</v>
      </c>
      <c r="Q85" t="n">
        <v>11506000</v>
      </c>
      <c r="R85" t="inlineStr">
        <is>
          <t>510.11</t>
        </is>
      </c>
    </row>
    <row r="86">
      <c r="A86" t="inlineStr">
        <is>
          <t>1.1.02.06.009</t>
        </is>
      </c>
      <c r="B86" t="inlineStr">
        <is>
          <t>Recursos del sistema de seguridad social integral</t>
        </is>
      </c>
      <c r="C86" t="inlineStr">
        <is>
          <t>C</t>
        </is>
      </c>
      <c r="E86" t="n">
        <v>8025105841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8025105841</v>
      </c>
      <c r="M86" t="n">
        <v>4238692971.179999</v>
      </c>
      <c r="N86" t="n">
        <v>4238692971.179999</v>
      </c>
      <c r="O86" t="inlineStr">
        <is>
          <t>52.82 %</t>
        </is>
      </c>
      <c r="P86" t="n">
        <v>0</v>
      </c>
      <c r="Q86" t="n">
        <v>3786412869.820001</v>
      </c>
      <c r="R86" t="inlineStr">
        <is>
          <t>00</t>
        </is>
      </c>
    </row>
    <row r="87">
      <c r="A87" t="inlineStr">
        <is>
          <t>1.1.02.06.009.01</t>
        </is>
      </c>
      <c r="B87" t="inlineStr">
        <is>
          <t>Sistema general de seguridad social en salud</t>
        </is>
      </c>
      <c r="C87" t="inlineStr">
        <is>
          <t>C</t>
        </is>
      </c>
      <c r="E87" t="n">
        <v>8025105841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8025105841</v>
      </c>
      <c r="M87" t="n">
        <v>4238692971.179999</v>
      </c>
      <c r="N87" t="n">
        <v>4238692971.179999</v>
      </c>
      <c r="O87" t="inlineStr">
        <is>
          <t>52.82 %</t>
        </is>
      </c>
      <c r="P87" t="n">
        <v>0</v>
      </c>
      <c r="Q87" t="n">
        <v>3786412869.820001</v>
      </c>
      <c r="R87" t="inlineStr">
        <is>
          <t>00</t>
        </is>
      </c>
    </row>
    <row r="88">
      <c r="A88" t="inlineStr">
        <is>
          <t>1.1.02.06.009.01.06</t>
        </is>
      </c>
      <c r="B88" t="inlineStr">
        <is>
          <t>Recursos adres - cofinanciacion upc regimen subsidiado</t>
        </is>
      </c>
      <c r="C88" t="inlineStr">
        <is>
          <t>C</t>
        </is>
      </c>
      <c r="D88" t="inlineStr">
        <is>
          <t>9 - FLS Aseguramiento</t>
        </is>
      </c>
      <c r="E88" t="n">
        <v>7705754382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7705754382</v>
      </c>
      <c r="M88" t="n">
        <v>4085561906.819999</v>
      </c>
      <c r="N88" t="n">
        <v>4085561906.819999</v>
      </c>
      <c r="O88" t="inlineStr">
        <is>
          <t>53.02 %</t>
        </is>
      </c>
      <c r="P88" t="n">
        <v>0</v>
      </c>
      <c r="Q88" t="n">
        <v>3620192475.180001</v>
      </c>
      <c r="R88" t="inlineStr">
        <is>
          <t>600</t>
        </is>
      </c>
    </row>
    <row r="89">
      <c r="A89" t="inlineStr">
        <is>
          <t>1.1.02.06.009.01.09</t>
        </is>
      </c>
      <c r="B89" t="inlineStr">
        <is>
          <t>Transferencia cajas de compensacion familiar - financiacion del regimen subsidiado en salud - ley 100 de 1993</t>
        </is>
      </c>
      <c r="C89" t="inlineStr">
        <is>
          <t>C</t>
        </is>
      </c>
      <c r="D89" t="inlineStr">
        <is>
          <t>9 - FLS Aseguramiento</t>
        </is>
      </c>
      <c r="E89" t="n">
        <v>3396564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3396564</v>
      </c>
      <c r="M89" t="n">
        <v>1538907.89</v>
      </c>
      <c r="N89" t="n">
        <v>1538907.89</v>
      </c>
      <c r="O89" t="inlineStr">
        <is>
          <t>45.31 %</t>
        </is>
      </c>
      <c r="P89" t="n">
        <v>0</v>
      </c>
      <c r="Q89" t="n">
        <v>1857656.11</v>
      </c>
      <c r="R89" t="inlineStr">
        <is>
          <t>680</t>
        </is>
      </c>
    </row>
    <row r="90">
      <c r="A90" t="inlineStr">
        <is>
          <t>1.1.02.06.009.01.11</t>
        </is>
      </c>
      <c r="B90" t="inlineStr">
        <is>
          <t>Aportes de unidades del gobierno general para el financiamiento del sgsss</t>
        </is>
      </c>
      <c r="C90" t="inlineStr">
        <is>
          <t>C</t>
        </is>
      </c>
      <c r="E90" t="n">
        <v>315954895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315954895</v>
      </c>
      <c r="M90" t="n">
        <v>151592156.47</v>
      </c>
      <c r="N90" t="n">
        <v>151592156.47</v>
      </c>
      <c r="O90" t="inlineStr">
        <is>
          <t>47.98 %</t>
        </is>
      </c>
      <c r="P90" t="n">
        <v>0</v>
      </c>
      <c r="Q90" t="n">
        <v>164362738.53</v>
      </c>
      <c r="R90" t="inlineStr">
        <is>
          <t>00</t>
        </is>
      </c>
    </row>
    <row r="91">
      <c r="A91" t="inlineStr">
        <is>
          <t>1.1.02.06.009.01.11.09</t>
        </is>
      </c>
      <c r="B91" t="inlineStr">
        <is>
          <t>Recursos departamentales para aseguramiento del regimen subsidiado</t>
        </is>
      </c>
      <c r="C91" t="inlineStr">
        <is>
          <t>C</t>
        </is>
      </c>
      <c r="D91" t="inlineStr">
        <is>
          <t>9 - FLS Aseguramiento</t>
        </is>
      </c>
      <c r="E91" t="n">
        <v>315954895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315954895</v>
      </c>
      <c r="M91" t="n">
        <v>151592156.47</v>
      </c>
      <c r="N91" t="n">
        <v>151592156.47</v>
      </c>
      <c r="O91" t="inlineStr">
        <is>
          <t>47.98 %</t>
        </is>
      </c>
      <c r="P91" t="n">
        <v>0</v>
      </c>
      <c r="Q91" t="n">
        <v>164362738.53</v>
      </c>
      <c r="R91" t="inlineStr">
        <is>
          <t>510</t>
        </is>
      </c>
    </row>
    <row r="92">
      <c r="A92" t="inlineStr">
        <is>
          <t>1.1.02.07</t>
        </is>
      </c>
      <c r="B92" t="inlineStr">
        <is>
          <t>Participacion y derechos por monopolio</t>
        </is>
      </c>
      <c r="C92" t="inlineStr">
        <is>
          <t>C</t>
        </is>
      </c>
      <c r="E92" t="n">
        <v>142024213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142024213</v>
      </c>
      <c r="M92" t="n">
        <v>33803129.99</v>
      </c>
      <c r="N92" t="n">
        <v>33803129.99</v>
      </c>
      <c r="O92" t="inlineStr">
        <is>
          <t>23.8 %</t>
        </is>
      </c>
      <c r="P92" t="n">
        <v>0</v>
      </c>
      <c r="Q92" t="n">
        <v>108221083.01</v>
      </c>
      <c r="R92" t="inlineStr">
        <is>
          <t>00</t>
        </is>
      </c>
    </row>
    <row r="93">
      <c r="A93" t="inlineStr">
        <is>
          <t>1.1.02.07.001</t>
        </is>
      </c>
      <c r="B93" t="inlineStr">
        <is>
          <t>Derechos por la explotacion juegos de suerte y azar</t>
        </is>
      </c>
      <c r="C93" t="inlineStr">
        <is>
          <t>C</t>
        </is>
      </c>
      <c r="E93" t="n">
        <v>142024213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142024213</v>
      </c>
      <c r="M93" t="n">
        <v>33803129.99</v>
      </c>
      <c r="N93" t="n">
        <v>33803129.99</v>
      </c>
      <c r="O93" t="inlineStr">
        <is>
          <t>23.8 %</t>
        </is>
      </c>
      <c r="P93" t="n">
        <v>0</v>
      </c>
      <c r="Q93" t="n">
        <v>108221083.01</v>
      </c>
      <c r="R93" t="inlineStr">
        <is>
          <t>00</t>
        </is>
      </c>
    </row>
    <row r="94">
      <c r="A94" t="inlineStr">
        <is>
          <t>1.1.02.07.001.05</t>
        </is>
      </c>
      <c r="B94" t="inlineStr">
        <is>
          <t>Derechos por la explotacion juegos de suerte y azar de rifas</t>
        </is>
      </c>
      <c r="C94" t="inlineStr">
        <is>
          <t>C</t>
        </is>
      </c>
      <c r="E94" t="n">
        <v>142024213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142024213</v>
      </c>
      <c r="M94" t="n">
        <v>33803129.99</v>
      </c>
      <c r="N94" t="n">
        <v>33803129.99</v>
      </c>
      <c r="O94" t="inlineStr">
        <is>
          <t>23.8 %</t>
        </is>
      </c>
      <c r="P94" t="n">
        <v>0</v>
      </c>
      <c r="Q94" t="n">
        <v>108221083.01</v>
      </c>
      <c r="R94" t="inlineStr">
        <is>
          <t>00</t>
        </is>
      </c>
    </row>
    <row r="95">
      <c r="A95" t="inlineStr">
        <is>
          <t>1.1.02.07.001.05.01</t>
        </is>
      </c>
      <c r="B95" t="inlineStr">
        <is>
          <t>Coljuegos SSF</t>
        </is>
      </c>
      <c r="C95" t="inlineStr">
        <is>
          <t>C</t>
        </is>
      </c>
      <c r="D95" t="inlineStr">
        <is>
          <t>9 - FLS Aseguramiento</t>
        </is>
      </c>
      <c r="E95" t="n">
        <v>106032935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106032935</v>
      </c>
      <c r="M95" t="n">
        <v>33803129.99</v>
      </c>
      <c r="N95" t="n">
        <v>33803129.99</v>
      </c>
      <c r="O95" t="inlineStr">
        <is>
          <t>31.88 %</t>
        </is>
      </c>
      <c r="P95" t="n">
        <v>0</v>
      </c>
      <c r="Q95" t="n">
        <v>72229805.00999999</v>
      </c>
      <c r="R95" t="inlineStr">
        <is>
          <t>630</t>
        </is>
      </c>
    </row>
    <row r="96">
      <c r="A96" t="inlineStr">
        <is>
          <t>1.1.02.07.001.05.02</t>
        </is>
      </c>
      <c r="B96" t="inlineStr">
        <is>
          <t xml:space="preserve">Coljuegos CSF 25% </t>
        </is>
      </c>
      <c r="C96" t="inlineStr">
        <is>
          <t>C</t>
        </is>
      </c>
      <c r="D96" t="inlineStr">
        <is>
          <t>9 - FLS Aseguramiento</t>
        </is>
      </c>
      <c r="E96" t="n">
        <v>35991278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35991278</v>
      </c>
      <c r="M96" t="n">
        <v>0</v>
      </c>
      <c r="N96" t="n">
        <v>0</v>
      </c>
      <c r="O96" t="inlineStr">
        <is>
          <t>0 %</t>
        </is>
      </c>
      <c r="P96" t="n">
        <v>0</v>
      </c>
      <c r="Q96" t="n">
        <v>35991278</v>
      </c>
      <c r="R96" t="inlineStr">
        <is>
          <t>631</t>
        </is>
      </c>
    </row>
    <row r="97">
      <c r="A97" t="inlineStr">
        <is>
          <t>1.2</t>
        </is>
      </c>
      <c r="B97" t="inlineStr">
        <is>
          <t>Recursos de capital</t>
        </is>
      </c>
      <c r="C97" t="inlineStr">
        <is>
          <t>C</t>
        </is>
      </c>
      <c r="E97" t="n">
        <v>2200000</v>
      </c>
      <c r="F97" t="n">
        <v>2672756935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2674956935</v>
      </c>
      <c r="M97" t="n">
        <v>452493.92</v>
      </c>
      <c r="N97" t="n">
        <v>452493.92</v>
      </c>
      <c r="O97" t="inlineStr">
        <is>
          <t>0.02 %</t>
        </is>
      </c>
      <c r="P97" t="n">
        <v>106393.18</v>
      </c>
      <c r="Q97" t="n">
        <v>2674504441.08</v>
      </c>
      <c r="R97" t="inlineStr">
        <is>
          <t>00</t>
        </is>
      </c>
    </row>
    <row r="98">
      <c r="A98" t="inlineStr">
        <is>
          <t>1.2.05</t>
        </is>
      </c>
      <c r="B98" t="inlineStr">
        <is>
          <t>Rendimientos financieros</t>
        </is>
      </c>
      <c r="C98" t="inlineStr">
        <is>
          <t>C</t>
        </is>
      </c>
      <c r="E98" t="n">
        <v>2200000</v>
      </c>
      <c r="F98" t="n">
        <v>74817285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77017285</v>
      </c>
      <c r="M98" t="n">
        <v>452493.92</v>
      </c>
      <c r="N98" t="n">
        <v>452493.92</v>
      </c>
      <c r="O98" t="inlineStr">
        <is>
          <t>0.59 %</t>
        </is>
      </c>
      <c r="P98" t="n">
        <v>106393.18</v>
      </c>
      <c r="Q98" t="n">
        <v>76564791.08</v>
      </c>
      <c r="R98" t="inlineStr">
        <is>
          <t>00</t>
        </is>
      </c>
    </row>
    <row r="99">
      <c r="A99" t="inlineStr">
        <is>
          <t>1.2.05.02</t>
        </is>
      </c>
      <c r="B99" t="inlineStr">
        <is>
          <t>Depositos</t>
        </is>
      </c>
      <c r="C99" t="inlineStr">
        <is>
          <t>C</t>
        </is>
      </c>
      <c r="E99" t="n">
        <v>2200000</v>
      </c>
      <c r="F99" t="n">
        <v>74817285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77017285</v>
      </c>
      <c r="M99" t="n">
        <v>452493.92</v>
      </c>
      <c r="N99" t="n">
        <v>452493.92</v>
      </c>
      <c r="O99" t="inlineStr">
        <is>
          <t>0.59 %</t>
        </is>
      </c>
      <c r="P99" t="n">
        <v>106393.18</v>
      </c>
      <c r="Q99" t="n">
        <v>76564791.08</v>
      </c>
      <c r="R99" t="inlineStr">
        <is>
          <t>00</t>
        </is>
      </c>
    </row>
    <row r="100">
      <c r="A100" t="inlineStr">
        <is>
          <t>1.2.05.02.01</t>
        </is>
      </c>
      <c r="B100" t="inlineStr">
        <is>
          <t>Ingresos  de Libre destinacion RF</t>
        </is>
      </c>
      <c r="C100" t="inlineStr">
        <is>
          <t>C</t>
        </is>
      </c>
      <c r="E100" t="n">
        <v>100000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100000</v>
      </c>
      <c r="M100" t="n">
        <v>0</v>
      </c>
      <c r="N100" t="n">
        <v>0</v>
      </c>
      <c r="O100" t="inlineStr">
        <is>
          <t>0 %</t>
        </is>
      </c>
      <c r="P100" t="n">
        <v>0</v>
      </c>
      <c r="Q100" t="n">
        <v>100000</v>
      </c>
      <c r="R100" t="inlineStr">
        <is>
          <t>670</t>
        </is>
      </c>
    </row>
    <row r="101">
      <c r="A101" t="inlineStr">
        <is>
          <t>1.2.05.02.02</t>
        </is>
      </c>
      <c r="B101" t="inlineStr">
        <is>
          <t>Sgp Educación Calidad Matricula Oficial RF</t>
        </is>
      </c>
      <c r="C101" t="inlineStr">
        <is>
          <t>C</t>
        </is>
      </c>
      <c r="E101" t="n">
        <v>100000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100000</v>
      </c>
      <c r="M101" t="n">
        <v>0</v>
      </c>
      <c r="N101" t="n">
        <v>0</v>
      </c>
      <c r="O101" t="inlineStr">
        <is>
          <t>0 %</t>
        </is>
      </c>
      <c r="P101" t="n">
        <v>0</v>
      </c>
      <c r="Q101" t="n">
        <v>100000</v>
      </c>
      <c r="R101" t="inlineStr">
        <is>
          <t>240</t>
        </is>
      </c>
    </row>
    <row r="102">
      <c r="A102" t="inlineStr">
        <is>
          <t>1.2.05.02.03</t>
        </is>
      </c>
      <c r="B102" t="inlineStr">
        <is>
          <t>Sgp Salud-Salud Pública Colectiva RF</t>
        </is>
      </c>
      <c r="C102" t="inlineStr">
        <is>
          <t>C</t>
        </is>
      </c>
      <c r="D102" t="inlineStr">
        <is>
          <t>5 - FLS Salud publica</t>
        </is>
      </c>
      <c r="E102" t="n">
        <v>100000</v>
      </c>
      <c r="F102" t="n">
        <v>1246958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1346958</v>
      </c>
      <c r="M102" t="n">
        <v>0</v>
      </c>
      <c r="N102" t="n">
        <v>0</v>
      </c>
      <c r="O102" t="inlineStr">
        <is>
          <t>0 %</t>
        </is>
      </c>
      <c r="P102" t="n">
        <v>0</v>
      </c>
      <c r="Q102" t="n">
        <v>1346958</v>
      </c>
      <c r="R102" t="inlineStr">
        <is>
          <t>270</t>
        </is>
      </c>
    </row>
    <row r="103">
      <c r="A103" t="inlineStr">
        <is>
          <t>1.2.05.02.04</t>
        </is>
      </c>
      <c r="B103" t="inlineStr">
        <is>
          <t>Sgp Agua Potable RF</t>
        </is>
      </c>
      <c r="C103" t="inlineStr">
        <is>
          <t>C</t>
        </is>
      </c>
      <c r="E103" t="n">
        <v>100000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100000</v>
      </c>
      <c r="M103" t="n">
        <v>0</v>
      </c>
      <c r="N103" t="n">
        <v>0</v>
      </c>
      <c r="O103" t="inlineStr">
        <is>
          <t>0 %</t>
        </is>
      </c>
      <c r="P103" t="n">
        <v>0</v>
      </c>
      <c r="Q103" t="n">
        <v>100000</v>
      </c>
      <c r="R103" t="inlineStr">
        <is>
          <t>300</t>
        </is>
      </c>
    </row>
    <row r="104">
      <c r="A104" t="inlineStr">
        <is>
          <t>1.2.05.02.05</t>
        </is>
      </c>
      <c r="B104" t="inlineStr">
        <is>
          <t>Sgp Deporte RF</t>
        </is>
      </c>
      <c r="C104" t="inlineStr">
        <is>
          <t>C</t>
        </is>
      </c>
      <c r="E104" t="n">
        <v>100000</v>
      </c>
      <c r="F104" t="n">
        <v>33859033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33959033</v>
      </c>
      <c r="M104" t="n">
        <v>0</v>
      </c>
      <c r="N104" t="n">
        <v>0</v>
      </c>
      <c r="O104" t="inlineStr">
        <is>
          <t>0 %</t>
        </is>
      </c>
      <c r="P104" t="n">
        <v>0</v>
      </c>
      <c r="Q104" t="n">
        <v>33959033</v>
      </c>
      <c r="R104" t="inlineStr">
        <is>
          <t>430.1</t>
        </is>
      </c>
    </row>
    <row r="105">
      <c r="A105" t="inlineStr">
        <is>
          <t>1.2.05.02.06</t>
        </is>
      </c>
      <c r="B105" t="inlineStr">
        <is>
          <t>Sgp Cultura RF</t>
        </is>
      </c>
      <c r="C105" t="inlineStr">
        <is>
          <t>C</t>
        </is>
      </c>
      <c r="E105" t="n">
        <v>100000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100000</v>
      </c>
      <c r="M105" t="n">
        <v>0</v>
      </c>
      <c r="N105" t="n">
        <v>0</v>
      </c>
      <c r="O105" t="inlineStr">
        <is>
          <t>0 %</t>
        </is>
      </c>
      <c r="P105" t="n">
        <v>0</v>
      </c>
      <c r="Q105" t="n">
        <v>100000</v>
      </c>
      <c r="R105" t="inlineStr">
        <is>
          <t>430.2</t>
        </is>
      </c>
    </row>
    <row r="106">
      <c r="A106" t="inlineStr">
        <is>
          <t>1.2.05.02.07</t>
        </is>
      </c>
      <c r="B106" t="inlineStr">
        <is>
          <t>Sgp Libre Inversión RF</t>
        </is>
      </c>
      <c r="C106" t="inlineStr">
        <is>
          <t>C</t>
        </is>
      </c>
      <c r="E106" t="n">
        <v>100000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100000</v>
      </c>
      <c r="M106" t="n">
        <v>0</v>
      </c>
      <c r="N106" t="n">
        <v>0</v>
      </c>
      <c r="O106" t="inlineStr">
        <is>
          <t>0 %</t>
        </is>
      </c>
      <c r="P106" t="n">
        <v>0</v>
      </c>
      <c r="Q106" t="n">
        <v>100000</v>
      </c>
      <c r="R106" t="inlineStr">
        <is>
          <t>430</t>
        </is>
      </c>
    </row>
    <row r="107">
      <c r="A107" t="inlineStr">
        <is>
          <t>1.2.05.02.08</t>
        </is>
      </c>
      <c r="B107" t="inlineStr">
        <is>
          <t>Sgp Alimentación Escolar RF</t>
        </is>
      </c>
      <c r="C107" t="inlineStr">
        <is>
          <t>C</t>
        </is>
      </c>
      <c r="E107" t="n">
        <v>100000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100000</v>
      </c>
      <c r="M107" t="n">
        <v>0</v>
      </c>
      <c r="N107" t="n">
        <v>0</v>
      </c>
      <c r="O107" t="inlineStr">
        <is>
          <t>0 %</t>
        </is>
      </c>
      <c r="P107" t="n">
        <v>0</v>
      </c>
      <c r="Q107" t="n">
        <v>100000</v>
      </c>
      <c r="R107" t="inlineStr">
        <is>
          <t>140</t>
        </is>
      </c>
    </row>
    <row r="108">
      <c r="A108" t="inlineStr">
        <is>
          <t>1.2.05.02.09</t>
        </is>
      </c>
      <c r="B108" t="inlineStr">
        <is>
          <t>Coljuegos 25% RF</t>
        </is>
      </c>
      <c r="C108" t="inlineStr">
        <is>
          <t>C</t>
        </is>
      </c>
      <c r="D108" t="inlineStr">
        <is>
          <t>9 - FLS Aseguramiento</t>
        </is>
      </c>
      <c r="E108" t="n">
        <v>100000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100000</v>
      </c>
      <c r="M108" t="n">
        <v>0</v>
      </c>
      <c r="N108" t="n">
        <v>0</v>
      </c>
      <c r="O108" t="inlineStr">
        <is>
          <t>0 %</t>
        </is>
      </c>
      <c r="P108" t="n">
        <v>0</v>
      </c>
      <c r="Q108" t="n">
        <v>100000</v>
      </c>
      <c r="R108" t="inlineStr">
        <is>
          <t>631.2</t>
        </is>
      </c>
    </row>
    <row r="109">
      <c r="A109" t="inlineStr">
        <is>
          <t>1.2.05.02.10</t>
        </is>
      </c>
      <c r="B109" t="inlineStr">
        <is>
          <t>Estampilla Proadulto RF</t>
        </is>
      </c>
      <c r="C109" t="inlineStr">
        <is>
          <t>C</t>
        </is>
      </c>
      <c r="E109" t="n">
        <v>100000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100000</v>
      </c>
      <c r="M109" t="n">
        <v>67077</v>
      </c>
      <c r="N109" t="n">
        <v>67077</v>
      </c>
      <c r="O109" t="inlineStr">
        <is>
          <t>67.08 %</t>
        </is>
      </c>
      <c r="P109" t="n">
        <v>0</v>
      </c>
      <c r="Q109" t="n">
        <v>32923</v>
      </c>
      <c r="R109" t="inlineStr">
        <is>
          <t>151.2</t>
        </is>
      </c>
    </row>
    <row r="110">
      <c r="A110" t="inlineStr">
        <is>
          <t>1.2.05.02.11</t>
        </is>
      </c>
      <c r="B110" t="inlineStr">
        <is>
          <t>Estampilla Procultura RF</t>
        </is>
      </c>
      <c r="C110" t="inlineStr">
        <is>
          <t>C</t>
        </is>
      </c>
      <c r="E110" t="n">
        <v>100000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100000</v>
      </c>
      <c r="M110" t="n">
        <v>140</v>
      </c>
      <c r="N110" t="n">
        <v>140</v>
      </c>
      <c r="O110" t="inlineStr">
        <is>
          <t>0.14 %</t>
        </is>
      </c>
      <c r="P110" t="n">
        <v>0</v>
      </c>
      <c r="Q110" t="n">
        <v>99860</v>
      </c>
      <c r="R110" t="inlineStr">
        <is>
          <t>152.2</t>
        </is>
      </c>
    </row>
    <row r="111">
      <c r="A111" t="inlineStr">
        <is>
          <t>1.2.05.02.12</t>
        </is>
      </c>
      <c r="B111" t="inlineStr">
        <is>
          <t>Estampilla Justicia Familiar RF</t>
        </is>
      </c>
      <c r="C111" t="inlineStr">
        <is>
          <t>C</t>
        </is>
      </c>
      <c r="E111" t="n">
        <v>100000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100000</v>
      </c>
      <c r="M111" t="n">
        <v>1708</v>
      </c>
      <c r="N111" t="n">
        <v>1708</v>
      </c>
      <c r="O111" t="inlineStr">
        <is>
          <t>1.71 %</t>
        </is>
      </c>
      <c r="P111" t="n">
        <v>0</v>
      </c>
      <c r="Q111" t="n">
        <v>98292</v>
      </c>
      <c r="R111" t="inlineStr">
        <is>
          <t>153.2</t>
        </is>
      </c>
    </row>
    <row r="112">
      <c r="A112" t="inlineStr">
        <is>
          <t>1.2.05.02.13</t>
        </is>
      </c>
      <c r="B112" t="inlineStr">
        <is>
          <t>Contrbucion de Seguridad RF</t>
        </is>
      </c>
      <c r="C112" t="inlineStr">
        <is>
          <t>C</t>
        </is>
      </c>
      <c r="E112" t="n">
        <v>100000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100000</v>
      </c>
      <c r="M112" t="n">
        <v>7483</v>
      </c>
      <c r="N112" t="n">
        <v>7483</v>
      </c>
      <c r="O112" t="inlineStr">
        <is>
          <t>7.48 %</t>
        </is>
      </c>
      <c r="P112" t="n">
        <v>0</v>
      </c>
      <c r="Q112" t="n">
        <v>92517</v>
      </c>
      <c r="R112" t="inlineStr">
        <is>
          <t>676.2</t>
        </is>
      </c>
    </row>
    <row r="113">
      <c r="A113" t="inlineStr">
        <is>
          <t>1.2.05.02.14</t>
        </is>
      </c>
      <c r="B113" t="inlineStr">
        <is>
          <t>Tasa del Deporte RF</t>
        </is>
      </c>
      <c r="C113" t="inlineStr">
        <is>
          <t>C</t>
        </is>
      </c>
      <c r="E113" t="n">
        <v>100000</v>
      </c>
      <c r="F113" t="n">
        <v>305089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405089</v>
      </c>
      <c r="M113" t="n">
        <v>0</v>
      </c>
      <c r="N113" t="n">
        <v>0</v>
      </c>
      <c r="O113" t="inlineStr">
        <is>
          <t>0 %</t>
        </is>
      </c>
      <c r="P113" t="n">
        <v>0</v>
      </c>
      <c r="Q113" t="n">
        <v>405089</v>
      </c>
      <c r="R113" t="inlineStr">
        <is>
          <t>117.2</t>
        </is>
      </c>
    </row>
    <row r="114">
      <c r="A114" t="inlineStr">
        <is>
          <t>1.2.05.02.15</t>
        </is>
      </c>
      <c r="B114" t="inlineStr">
        <is>
          <t>RF Seguridad social gestor cultural</t>
        </is>
      </c>
      <c r="C114" t="inlineStr">
        <is>
          <t>C</t>
        </is>
      </c>
      <c r="E114" t="n">
        <v>100000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100000</v>
      </c>
      <c r="M114" t="n">
        <v>5431.95</v>
      </c>
      <c r="N114" t="n">
        <v>5431.95</v>
      </c>
      <c r="O114" t="inlineStr">
        <is>
          <t>5.43 %</t>
        </is>
      </c>
      <c r="P114" t="n">
        <v>0</v>
      </c>
      <c r="Q114" t="n">
        <v>94568.05</v>
      </c>
      <c r="R114" t="inlineStr">
        <is>
          <t>152.4</t>
        </is>
      </c>
    </row>
    <row r="115">
      <c r="A115" t="inlineStr">
        <is>
          <t>1.2.05.02.16</t>
        </is>
      </c>
      <c r="B115" t="inlineStr">
        <is>
          <t>Rend. Fcros.  Otros gastos en salud</t>
        </is>
      </c>
      <c r="C115" t="inlineStr">
        <is>
          <t>C</t>
        </is>
      </c>
      <c r="D115" t="inlineStr">
        <is>
          <t>9 - FLS Aseguramiento</t>
        </is>
      </c>
      <c r="E115" t="n">
        <v>100000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100000</v>
      </c>
      <c r="M115" t="n">
        <v>66259.79000000001</v>
      </c>
      <c r="N115" t="n">
        <v>66259.79000000001</v>
      </c>
      <c r="O115" t="inlineStr">
        <is>
          <t>66.26 %</t>
        </is>
      </c>
      <c r="P115" t="n">
        <v>0</v>
      </c>
      <c r="Q115" t="n">
        <v>33740.20999999999</v>
      </c>
      <c r="R115" t="inlineStr">
        <is>
          <t>670.9</t>
        </is>
      </c>
    </row>
    <row r="116">
      <c r="A116" t="inlineStr">
        <is>
          <t>1.2.05.02.17</t>
        </is>
      </c>
      <c r="B116" t="inlineStr">
        <is>
          <t>REND. FCROS. SGP PRIMERA INFANCIA</t>
        </is>
      </c>
      <c r="C116" t="inlineStr">
        <is>
          <t>C</t>
        </is>
      </c>
      <c r="E116" t="n">
        <v>100000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100000</v>
      </c>
      <c r="M116" t="n">
        <v>25360</v>
      </c>
      <c r="N116" t="n">
        <v>25360</v>
      </c>
      <c r="O116" t="inlineStr">
        <is>
          <t>25.36 %</t>
        </is>
      </c>
      <c r="P116" t="n">
        <v>0</v>
      </c>
      <c r="Q116" t="n">
        <v>74640</v>
      </c>
      <c r="R116" t="inlineStr">
        <is>
          <t>670.13</t>
        </is>
      </c>
    </row>
    <row r="117">
      <c r="A117" t="inlineStr">
        <is>
          <t>1.2.05.02.18</t>
        </is>
      </c>
      <c r="B117" t="inlineStr">
        <is>
          <t>Rend. Fcros. Reg. Subsidiado</t>
        </is>
      </c>
      <c r="C117" t="inlineStr">
        <is>
          <t>C</t>
        </is>
      </c>
      <c r="D117" t="inlineStr">
        <is>
          <t>9 - FLS Aseguramiento</t>
        </is>
      </c>
      <c r="E117" t="n">
        <v>100000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100000</v>
      </c>
      <c r="M117" t="n">
        <v>0</v>
      </c>
      <c r="N117" t="n">
        <v>0</v>
      </c>
      <c r="O117" t="inlineStr">
        <is>
          <t>0 %</t>
        </is>
      </c>
      <c r="P117" t="n">
        <v>0</v>
      </c>
      <c r="Q117" t="n">
        <v>100000</v>
      </c>
      <c r="R117" t="inlineStr">
        <is>
          <t>670.22</t>
        </is>
      </c>
    </row>
    <row r="118">
      <c r="A118" t="inlineStr">
        <is>
          <t>1.2.05.02.19</t>
        </is>
      </c>
      <c r="B118" t="inlineStr">
        <is>
          <t>Rend. Fcros. PG DESAHORRO FONPET</t>
        </is>
      </c>
      <c r="C118" t="inlineStr">
        <is>
          <t>C</t>
        </is>
      </c>
      <c r="E118" t="n">
        <v>100000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100000</v>
      </c>
      <c r="M118" t="n">
        <v>344</v>
      </c>
      <c r="N118" t="n">
        <v>344</v>
      </c>
      <c r="O118" t="inlineStr">
        <is>
          <t>0.34 %</t>
        </is>
      </c>
      <c r="P118" t="n">
        <v>0</v>
      </c>
      <c r="Q118" t="n">
        <v>99656</v>
      </c>
      <c r="R118" t="inlineStr">
        <is>
          <t>670.23</t>
        </is>
      </c>
    </row>
    <row r="119">
      <c r="A119" t="inlineStr">
        <is>
          <t>1.2.05.02.20</t>
        </is>
      </c>
      <c r="B119" t="inlineStr">
        <is>
          <t>Rend. Fcros. compra de areas estrategicas</t>
        </is>
      </c>
      <c r="C119" t="inlineStr">
        <is>
          <t>C</t>
        </is>
      </c>
      <c r="E119" t="n">
        <v>100000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100000</v>
      </c>
      <c r="M119" t="n">
        <v>16597</v>
      </c>
      <c r="N119" t="n">
        <v>16597</v>
      </c>
      <c r="O119" t="inlineStr">
        <is>
          <t>16.6 %</t>
        </is>
      </c>
      <c r="P119" t="n">
        <v>0</v>
      </c>
      <c r="Q119" t="n">
        <v>83403</v>
      </c>
      <c r="R119" t="inlineStr">
        <is>
          <t>670.20</t>
        </is>
      </c>
    </row>
    <row r="120">
      <c r="A120" t="inlineStr">
        <is>
          <t>1.2.05.02.21</t>
        </is>
      </c>
      <c r="B120" t="inlineStr">
        <is>
          <t>Rend. Fcros. Nomina Pensionados</t>
        </is>
      </c>
      <c r="C120" t="inlineStr">
        <is>
          <t>C</t>
        </is>
      </c>
      <c r="E120" t="n">
        <v>100000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100000</v>
      </c>
      <c r="M120" t="n">
        <v>47252</v>
      </c>
      <c r="N120" t="n">
        <v>47252</v>
      </c>
      <c r="O120" t="inlineStr">
        <is>
          <t>47.25 %</t>
        </is>
      </c>
      <c r="P120" t="n">
        <v>0</v>
      </c>
      <c r="Q120" t="n">
        <v>52748</v>
      </c>
      <c r="R120" t="inlineStr">
        <is>
          <t>670.25</t>
        </is>
      </c>
    </row>
    <row r="121">
      <c r="A121" t="inlineStr">
        <is>
          <t>1.2.05.02.22</t>
        </is>
      </c>
      <c r="B121" t="inlineStr">
        <is>
          <t>Rend. Fcros. libre inversion</t>
        </is>
      </c>
      <c r="C121" t="inlineStr">
        <is>
          <t>C</t>
        </is>
      </c>
      <c r="E121" t="n">
        <v>100000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100000</v>
      </c>
      <c r="M121" t="n">
        <v>182207.18</v>
      </c>
      <c r="N121" t="n">
        <v>182207.18</v>
      </c>
      <c r="O121" t="inlineStr">
        <is>
          <t>182.21 %</t>
        </is>
      </c>
      <c r="P121" t="n">
        <v>82207.17999999999</v>
      </c>
      <c r="Q121" t="n">
        <v>-82207.17999999999</v>
      </c>
      <c r="R121" t="inlineStr">
        <is>
          <t>670.24</t>
        </is>
      </c>
    </row>
    <row r="122">
      <c r="A122" t="inlineStr">
        <is>
          <t>1.2.05.02.23</t>
        </is>
      </c>
      <c r="B122" t="inlineStr">
        <is>
          <t>RB RF REGIMEN SUBSIDIADO</t>
        </is>
      </c>
      <c r="C122" t="inlineStr">
        <is>
          <t>C</t>
        </is>
      </c>
      <c r="D122" t="inlineStr">
        <is>
          <t>9 - FLS Aseguramiento</t>
        </is>
      </c>
      <c r="E122" t="n">
        <v>0</v>
      </c>
      <c r="F122" t="n">
        <v>68666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68666</v>
      </c>
      <c r="M122" t="n">
        <v>0</v>
      </c>
      <c r="N122" t="n">
        <v>0</v>
      </c>
      <c r="O122" t="inlineStr">
        <is>
          <t>0 %</t>
        </is>
      </c>
      <c r="P122" t="n">
        <v>0</v>
      </c>
      <c r="Q122" t="n">
        <v>68666</v>
      </c>
      <c r="R122" t="inlineStr">
        <is>
          <t>270.2</t>
        </is>
      </c>
    </row>
    <row r="123">
      <c r="A123" t="inlineStr">
        <is>
          <t>1.2.05.02.24</t>
        </is>
      </c>
      <c r="B123" t="inlineStr">
        <is>
          <t>RENDIMIENTOS FINANCIEROS LIBRE DESTINACION RB</t>
        </is>
      </c>
      <c r="C123" t="inlineStr">
        <is>
          <t>C</t>
        </is>
      </c>
      <c r="E123" t="n">
        <v>0</v>
      </c>
      <c r="F123" t="n">
        <v>964878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964878</v>
      </c>
      <c r="M123" t="n">
        <v>586</v>
      </c>
      <c r="N123" t="n">
        <v>586</v>
      </c>
      <c r="O123" t="inlineStr">
        <is>
          <t>0.06 %</t>
        </is>
      </c>
      <c r="P123" t="n">
        <v>0</v>
      </c>
      <c r="Q123" t="n">
        <v>964292</v>
      </c>
      <c r="R123" t="inlineStr">
        <is>
          <t>670.1.1</t>
        </is>
      </c>
    </row>
    <row r="124">
      <c r="A124" t="inlineStr">
        <is>
          <t>1.2.05.02.25</t>
        </is>
      </c>
      <c r="B124" t="inlineStr">
        <is>
          <t>REND. FCROS. SEGURIDAD SOCIAL DEL GESTOR RB</t>
        </is>
      </c>
      <c r="C124" t="inlineStr">
        <is>
          <t>C</t>
        </is>
      </c>
      <c r="E124" t="n">
        <v>0</v>
      </c>
      <c r="F124" t="n">
        <v>78760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78760</v>
      </c>
      <c r="M124" t="n">
        <v>2244</v>
      </c>
      <c r="N124" t="n">
        <v>2244</v>
      </c>
      <c r="O124" t="inlineStr">
        <is>
          <t>2.85 %</t>
        </is>
      </c>
      <c r="P124" t="n">
        <v>0</v>
      </c>
      <c r="Q124" t="n">
        <v>76516</v>
      </c>
      <c r="R124" t="inlineStr">
        <is>
          <t>670.10.1</t>
        </is>
      </c>
    </row>
    <row r="125">
      <c r="A125" t="inlineStr">
        <is>
          <t>1.2.05.02.26</t>
        </is>
      </c>
      <c r="B125" t="inlineStr">
        <is>
          <t>REND. FCROS. OTROS GASTOS EN SALUD RB</t>
        </is>
      </c>
      <c r="C125" t="inlineStr">
        <is>
          <t>C</t>
        </is>
      </c>
      <c r="D125" t="inlineStr">
        <is>
          <t>9 - FLS Aseguramiento</t>
        </is>
      </c>
      <c r="E125" t="n">
        <v>0</v>
      </c>
      <c r="F125" t="n">
        <v>21155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21155</v>
      </c>
      <c r="M125" t="n">
        <v>22</v>
      </c>
      <c r="N125" t="n">
        <v>22</v>
      </c>
      <c r="O125" t="inlineStr">
        <is>
          <t>0.1 %</t>
        </is>
      </c>
      <c r="P125" t="n">
        <v>0</v>
      </c>
      <c r="Q125" t="n">
        <v>21133</v>
      </c>
      <c r="R125" t="inlineStr">
        <is>
          <t>670.11.1</t>
        </is>
      </c>
    </row>
    <row r="126">
      <c r="A126" t="inlineStr">
        <is>
          <t>1.2.05.02.27</t>
        </is>
      </c>
      <c r="B126" t="inlineStr">
        <is>
          <t>REND. FCROS.BANCO DE SEMILLA UMATA L.I RB</t>
        </is>
      </c>
      <c r="C126" t="inlineStr">
        <is>
          <t>C</t>
        </is>
      </c>
      <c r="E126" t="n">
        <v>0</v>
      </c>
      <c r="F126" t="n">
        <v>5073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5073</v>
      </c>
      <c r="M126" t="n">
        <v>29259</v>
      </c>
      <c r="N126" t="n">
        <v>29259</v>
      </c>
      <c r="O126" t="inlineStr">
        <is>
          <t>576.76 %</t>
        </is>
      </c>
      <c r="P126" t="n">
        <v>24186</v>
      </c>
      <c r="Q126" t="n">
        <v>-24186</v>
      </c>
      <c r="R126" t="inlineStr">
        <is>
          <t>670.12.1</t>
        </is>
      </c>
    </row>
    <row r="127">
      <c r="A127" t="inlineStr">
        <is>
          <t>1.2.05.02.28</t>
        </is>
      </c>
      <c r="B127" t="inlineStr">
        <is>
          <t>REND FCROS. SGP PRIMERA INFANCIA RB</t>
        </is>
      </c>
      <c r="C127" t="inlineStr">
        <is>
          <t>C</t>
        </is>
      </c>
      <c r="E127" t="n">
        <v>0</v>
      </c>
      <c r="F127" t="n">
        <v>44241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44241</v>
      </c>
      <c r="M127" t="n">
        <v>0</v>
      </c>
      <c r="N127" t="n">
        <v>0</v>
      </c>
      <c r="O127" t="inlineStr">
        <is>
          <t>0 %</t>
        </is>
      </c>
      <c r="P127" t="n">
        <v>0</v>
      </c>
      <c r="Q127" t="n">
        <v>44241</v>
      </c>
      <c r="R127" t="inlineStr">
        <is>
          <t>670.13.1</t>
        </is>
      </c>
    </row>
    <row r="128">
      <c r="A128" t="inlineStr">
        <is>
          <t>1.2.05.02.29</t>
        </is>
      </c>
      <c r="B128" t="inlineStr">
        <is>
          <t>REND FCROS. DESEMBOLSO EMPRESTITO CIC RB</t>
        </is>
      </c>
      <c r="C128" t="inlineStr">
        <is>
          <t>C</t>
        </is>
      </c>
      <c r="E128" t="n">
        <v>0</v>
      </c>
      <c r="F128" t="n">
        <v>444819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444819</v>
      </c>
      <c r="M128" t="n">
        <v>0</v>
      </c>
      <c r="N128" t="n">
        <v>0</v>
      </c>
      <c r="O128" t="inlineStr">
        <is>
          <t>0 %</t>
        </is>
      </c>
      <c r="P128" t="n">
        <v>0</v>
      </c>
      <c r="Q128" t="n">
        <v>444819</v>
      </c>
      <c r="R128" t="inlineStr">
        <is>
          <t>670.17.1</t>
        </is>
      </c>
    </row>
    <row r="129">
      <c r="A129" t="inlineStr">
        <is>
          <t>1.2.05.02.30</t>
        </is>
      </c>
      <c r="B129" t="inlineStr">
        <is>
          <t>RB REND FCROS. TASA AL DEPORTE RB</t>
        </is>
      </c>
      <c r="C129" t="inlineStr">
        <is>
          <t>C</t>
        </is>
      </c>
      <c r="E129" t="n">
        <v>0</v>
      </c>
      <c r="F129" t="n">
        <v>190945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190945</v>
      </c>
      <c r="M129" t="n">
        <v>420</v>
      </c>
      <c r="N129" t="n">
        <v>420</v>
      </c>
      <c r="O129" t="inlineStr">
        <is>
          <t>0.22 %</t>
        </is>
      </c>
      <c r="P129" t="n">
        <v>0</v>
      </c>
      <c r="Q129" t="n">
        <v>190525</v>
      </c>
      <c r="R129" t="inlineStr">
        <is>
          <t>670.19.1</t>
        </is>
      </c>
    </row>
    <row r="130">
      <c r="A130" t="inlineStr">
        <is>
          <t>1.2.05.02.31</t>
        </is>
      </c>
      <c r="B130" t="inlineStr">
        <is>
          <t>REND. FCROS. COMPRA DE AREAS ESTRATEGICAS RB</t>
        </is>
      </c>
      <c r="C130" t="inlineStr">
        <is>
          <t>C</t>
        </is>
      </c>
      <c r="E130" t="n">
        <v>0</v>
      </c>
      <c r="F130" t="n">
        <v>66818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66818</v>
      </c>
      <c r="M130" t="n">
        <v>103</v>
      </c>
      <c r="N130" t="n">
        <v>103</v>
      </c>
      <c r="O130" t="inlineStr">
        <is>
          <t>0.15 %</t>
        </is>
      </c>
      <c r="P130" t="n">
        <v>0</v>
      </c>
      <c r="Q130" t="n">
        <v>66715</v>
      </c>
      <c r="R130" t="inlineStr">
        <is>
          <t>670.20.1</t>
        </is>
      </c>
    </row>
    <row r="131">
      <c r="A131" t="inlineStr">
        <is>
          <t>1.2.05.02.32</t>
        </is>
      </c>
      <c r="B131" t="inlineStr">
        <is>
          <t>RB REND. FCROS COLJUEGOS 25%</t>
        </is>
      </c>
      <c r="C131" t="inlineStr">
        <is>
          <t>C</t>
        </is>
      </c>
      <c r="D131" t="inlineStr">
        <is>
          <t>9 - FLS Aseguramiento</t>
        </is>
      </c>
      <c r="E131" t="n">
        <v>0</v>
      </c>
      <c r="F131" t="n">
        <v>40180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40180</v>
      </c>
      <c r="M131" t="n">
        <v>0</v>
      </c>
      <c r="N131" t="n">
        <v>0</v>
      </c>
      <c r="O131" t="inlineStr">
        <is>
          <t>0 %</t>
        </is>
      </c>
      <c r="P131" t="n">
        <v>0</v>
      </c>
      <c r="Q131" t="n">
        <v>40180</v>
      </c>
      <c r="R131" t="inlineStr">
        <is>
          <t>670.3.1</t>
        </is>
      </c>
    </row>
    <row r="132">
      <c r="A132" t="inlineStr">
        <is>
          <t>1.2.05.02.33</t>
        </is>
      </c>
      <c r="B132" t="inlineStr">
        <is>
          <t>BALANCE SGP ALIMENTACION ESCOLAR RENDIMIENTOS FINANCIEROS</t>
        </is>
      </c>
      <c r="C132" t="inlineStr">
        <is>
          <t>C</t>
        </is>
      </c>
      <c r="E132" t="n">
        <v>0</v>
      </c>
      <c r="F132" t="n">
        <v>2944082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2944082</v>
      </c>
      <c r="M132" t="n">
        <v>0</v>
      </c>
      <c r="N132" t="n">
        <v>0</v>
      </c>
      <c r="O132" t="inlineStr">
        <is>
          <t>0 %</t>
        </is>
      </c>
      <c r="P132" t="n">
        <v>0</v>
      </c>
      <c r="Q132" t="n">
        <v>2944082</v>
      </c>
      <c r="R132" t="inlineStr">
        <is>
          <t>140.1</t>
        </is>
      </c>
    </row>
    <row r="133">
      <c r="A133" t="inlineStr">
        <is>
          <t>1.2.05.02.34</t>
        </is>
      </c>
      <c r="B133" t="inlineStr">
        <is>
          <t>SGP EDUCACION RENDIMIENTOS FINANCIEROS RB</t>
        </is>
      </c>
      <c r="C133" t="inlineStr">
        <is>
          <t>C</t>
        </is>
      </c>
      <c r="E133" t="n">
        <v>0</v>
      </c>
      <c r="F133" t="n">
        <v>2528388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2528388</v>
      </c>
      <c r="M133" t="n">
        <v>0</v>
      </c>
      <c r="N133" t="n">
        <v>0</v>
      </c>
      <c r="O133" t="inlineStr">
        <is>
          <t>0 %</t>
        </is>
      </c>
      <c r="P133" t="n">
        <v>0</v>
      </c>
      <c r="Q133" t="n">
        <v>2528388</v>
      </c>
      <c r="R133" t="inlineStr">
        <is>
          <t>240.1</t>
        </is>
      </c>
    </row>
    <row r="134">
      <c r="A134" t="inlineStr">
        <is>
          <t>1.2.05.02.35</t>
        </is>
      </c>
      <c r="B134" t="inlineStr">
        <is>
          <t>SGP APSB - RENDIMIENTOS FINANCIEROS RB</t>
        </is>
      </c>
      <c r="C134" t="inlineStr">
        <is>
          <t>C</t>
        </is>
      </c>
      <c r="E134" t="n">
        <v>0</v>
      </c>
      <c r="F134" t="n">
        <v>32008200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32008200</v>
      </c>
      <c r="M134" t="n">
        <v>0</v>
      </c>
      <c r="N134" t="n">
        <v>0</v>
      </c>
      <c r="O134" t="inlineStr">
        <is>
          <t>0 %</t>
        </is>
      </c>
      <c r="P134" t="n">
        <v>0</v>
      </c>
      <c r="Q134" t="n">
        <v>32008200</v>
      </c>
      <c r="R134" t="inlineStr">
        <is>
          <t>300.1</t>
        </is>
      </c>
    </row>
    <row r="135">
      <c r="A135" t="inlineStr">
        <is>
          <t>1.2.10</t>
        </is>
      </c>
      <c r="B135" t="inlineStr">
        <is>
          <t>RECURSOS DEL BALANCE</t>
        </is>
      </c>
      <c r="C135" t="inlineStr">
        <is>
          <t>C</t>
        </is>
      </c>
      <c r="E135" t="n">
        <v>0</v>
      </c>
      <c r="F135" t="n">
        <v>2597939650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2597939650</v>
      </c>
      <c r="M135" t="n">
        <v>0</v>
      </c>
      <c r="N135" t="n">
        <v>0</v>
      </c>
      <c r="O135" t="inlineStr">
        <is>
          <t>0 %</t>
        </is>
      </c>
      <c r="P135" t="n">
        <v>0</v>
      </c>
      <c r="Q135" t="n">
        <v>2597939650</v>
      </c>
      <c r="R135" t="inlineStr">
        <is>
          <t>00</t>
        </is>
      </c>
    </row>
    <row r="136">
      <c r="A136" t="inlineStr">
        <is>
          <t>1.2.10.02</t>
        </is>
      </c>
      <c r="B136" t="inlineStr">
        <is>
          <t>SUPERAVIT FISCAL</t>
        </is>
      </c>
      <c r="C136" t="inlineStr">
        <is>
          <t>C</t>
        </is>
      </c>
      <c r="E136" t="n">
        <v>0</v>
      </c>
      <c r="F136" t="n">
        <v>2597939650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2597939650</v>
      </c>
      <c r="M136" t="n">
        <v>0</v>
      </c>
      <c r="N136" t="n">
        <v>0</v>
      </c>
      <c r="O136" t="inlineStr">
        <is>
          <t>0 %</t>
        </is>
      </c>
      <c r="P136" t="n">
        <v>0</v>
      </c>
      <c r="Q136" t="n">
        <v>2597939650</v>
      </c>
      <c r="R136" t="inlineStr">
        <is>
          <t>00</t>
        </is>
      </c>
    </row>
    <row r="137">
      <c r="A137" t="inlineStr">
        <is>
          <t>1.2.10.02.01</t>
        </is>
      </c>
      <c r="B137" t="inlineStr">
        <is>
          <t>Superavit fiscal</t>
        </is>
      </c>
      <c r="C137" t="inlineStr">
        <is>
          <t>C</t>
        </is>
      </c>
      <c r="E137" t="n">
        <v>0</v>
      </c>
      <c r="F137" t="n">
        <v>90719950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90719950</v>
      </c>
      <c r="M137" t="n">
        <v>0</v>
      </c>
      <c r="N137" t="n">
        <v>0</v>
      </c>
      <c r="O137" t="inlineStr">
        <is>
          <t>0 %</t>
        </is>
      </c>
      <c r="P137" t="n">
        <v>0</v>
      </c>
      <c r="Q137" t="n">
        <v>90719950</v>
      </c>
      <c r="R137" t="inlineStr">
        <is>
          <t>151.1</t>
        </is>
      </c>
    </row>
    <row r="138">
      <c r="A138" t="inlineStr">
        <is>
          <t>1.2.10.02.01</t>
        </is>
      </c>
      <c r="B138" t="inlineStr">
        <is>
          <t>Superavit fiscal</t>
        </is>
      </c>
      <c r="C138" t="inlineStr">
        <is>
          <t>C</t>
        </is>
      </c>
      <c r="E138" t="n">
        <v>0</v>
      </c>
      <c r="F138" t="n">
        <v>99565927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99565927</v>
      </c>
      <c r="M138" t="n">
        <v>0</v>
      </c>
      <c r="N138" t="n">
        <v>0</v>
      </c>
      <c r="O138" t="inlineStr">
        <is>
          <t>0 %</t>
        </is>
      </c>
      <c r="P138" t="n">
        <v>0</v>
      </c>
      <c r="Q138" t="n">
        <v>99565927</v>
      </c>
      <c r="R138" t="inlineStr">
        <is>
          <t>510.1</t>
        </is>
      </c>
    </row>
    <row r="139">
      <c r="A139" t="inlineStr">
        <is>
          <t>1.2.10.02.02</t>
        </is>
      </c>
      <c r="B139" t="inlineStr">
        <is>
          <t>Superavit fiscal</t>
        </is>
      </c>
      <c r="C139" t="inlineStr">
        <is>
          <t>C</t>
        </is>
      </c>
      <c r="E139" t="n">
        <v>0</v>
      </c>
      <c r="F139" t="n">
        <v>115911592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115911592</v>
      </c>
      <c r="M139" t="n">
        <v>0</v>
      </c>
      <c r="N139" t="n">
        <v>0</v>
      </c>
      <c r="O139" t="inlineStr">
        <is>
          <t>0 %</t>
        </is>
      </c>
      <c r="P139" t="n">
        <v>0</v>
      </c>
      <c r="Q139" t="n">
        <v>115911592</v>
      </c>
      <c r="R139" t="inlineStr">
        <is>
          <t>100.1</t>
        </is>
      </c>
    </row>
    <row r="140">
      <c r="A140" t="inlineStr">
        <is>
          <t>1.2.10.02.03</t>
        </is>
      </c>
      <c r="B140" t="inlineStr">
        <is>
          <t>Superavit fiscal</t>
        </is>
      </c>
      <c r="C140" t="inlineStr">
        <is>
          <t>C</t>
        </is>
      </c>
      <c r="E140" t="n">
        <v>0</v>
      </c>
      <c r="F140" t="n">
        <v>4021970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4021970</v>
      </c>
      <c r="M140" t="n">
        <v>0</v>
      </c>
      <c r="N140" t="n">
        <v>0</v>
      </c>
      <c r="O140" t="inlineStr">
        <is>
          <t>0 %</t>
        </is>
      </c>
      <c r="P140" t="n">
        <v>0</v>
      </c>
      <c r="Q140" t="n">
        <v>4021970</v>
      </c>
      <c r="R140" t="inlineStr">
        <is>
          <t>101.2.1</t>
        </is>
      </c>
    </row>
    <row r="141">
      <c r="A141" t="inlineStr">
        <is>
          <t>1.2.10.02.04</t>
        </is>
      </c>
      <c r="B141" t="inlineStr">
        <is>
          <t>Superavit fiscal</t>
        </is>
      </c>
      <c r="C141" t="inlineStr">
        <is>
          <t>C</t>
        </is>
      </c>
      <c r="E141" t="n">
        <v>0</v>
      </c>
      <c r="F141" t="n">
        <v>8887000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8887000</v>
      </c>
      <c r="M141" t="n">
        <v>0</v>
      </c>
      <c r="N141" t="n">
        <v>0</v>
      </c>
      <c r="O141" t="inlineStr">
        <is>
          <t>0 %</t>
        </is>
      </c>
      <c r="P141" t="n">
        <v>0</v>
      </c>
      <c r="Q141" t="n">
        <v>8887000</v>
      </c>
      <c r="R141" t="inlineStr">
        <is>
          <t>114.1</t>
        </is>
      </c>
    </row>
    <row r="142">
      <c r="A142" t="inlineStr">
        <is>
          <t>1.2.10.02.05</t>
        </is>
      </c>
      <c r="B142" t="inlineStr">
        <is>
          <t>Superavit fiscal</t>
        </is>
      </c>
      <c r="C142" t="inlineStr">
        <is>
          <t>C</t>
        </is>
      </c>
      <c r="E142" t="n">
        <v>0</v>
      </c>
      <c r="F142" t="n">
        <v>618954316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618954316</v>
      </c>
      <c r="M142" t="n">
        <v>0</v>
      </c>
      <c r="N142" t="n">
        <v>0</v>
      </c>
      <c r="O142" t="inlineStr">
        <is>
          <t>0 %</t>
        </is>
      </c>
      <c r="P142" t="n">
        <v>0</v>
      </c>
      <c r="Q142" t="n">
        <v>618954316</v>
      </c>
      <c r="R142" t="inlineStr">
        <is>
          <t>115.3</t>
        </is>
      </c>
    </row>
    <row r="143">
      <c r="A143" t="inlineStr">
        <is>
          <t>1.2.10.02.06</t>
        </is>
      </c>
      <c r="B143" t="inlineStr">
        <is>
          <t>Superavit fiscal</t>
        </is>
      </c>
      <c r="C143" t="inlineStr">
        <is>
          <t>C</t>
        </is>
      </c>
      <c r="E143" t="n">
        <v>0</v>
      </c>
      <c r="F143" t="n">
        <v>43937862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43937862</v>
      </c>
      <c r="M143" t="n">
        <v>0</v>
      </c>
      <c r="N143" t="n">
        <v>0</v>
      </c>
      <c r="O143" t="inlineStr">
        <is>
          <t>0 %</t>
        </is>
      </c>
      <c r="P143" t="n">
        <v>0</v>
      </c>
      <c r="Q143" t="n">
        <v>43937862</v>
      </c>
      <c r="R143" t="inlineStr">
        <is>
          <t>117.1</t>
        </is>
      </c>
    </row>
    <row r="144">
      <c r="A144" t="inlineStr">
        <is>
          <t>1.2.10.02.07</t>
        </is>
      </c>
      <c r="B144" t="inlineStr">
        <is>
          <t>Superavit fiscal</t>
        </is>
      </c>
      <c r="C144" t="inlineStr">
        <is>
          <t>C</t>
        </is>
      </c>
      <c r="E144" t="n">
        <v>0</v>
      </c>
      <c r="F144" t="n">
        <v>56099684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56099684</v>
      </c>
      <c r="M144" t="n">
        <v>0</v>
      </c>
      <c r="N144" t="n">
        <v>0</v>
      </c>
      <c r="O144" t="inlineStr">
        <is>
          <t>0 %</t>
        </is>
      </c>
      <c r="P144" t="n">
        <v>0</v>
      </c>
      <c r="Q144" t="n">
        <v>56099684</v>
      </c>
      <c r="R144" t="inlineStr">
        <is>
          <t>119.1</t>
        </is>
      </c>
    </row>
    <row r="145">
      <c r="A145" t="inlineStr">
        <is>
          <t>1.2.10.02.08</t>
        </is>
      </c>
      <c r="B145" t="inlineStr">
        <is>
          <t>Superavit fiscal</t>
        </is>
      </c>
      <c r="C145" t="inlineStr">
        <is>
          <t>C</t>
        </is>
      </c>
      <c r="E145" t="n">
        <v>0</v>
      </c>
      <c r="F145" t="n">
        <v>40975367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40975367</v>
      </c>
      <c r="M145" t="n">
        <v>0</v>
      </c>
      <c r="N145" t="n">
        <v>0</v>
      </c>
      <c r="O145" t="inlineStr">
        <is>
          <t>0 %</t>
        </is>
      </c>
      <c r="P145" t="n">
        <v>0</v>
      </c>
      <c r="Q145" t="n">
        <v>40975367</v>
      </c>
      <c r="R145" t="inlineStr">
        <is>
          <t>130.1</t>
        </is>
      </c>
    </row>
    <row r="146">
      <c r="A146" t="inlineStr">
        <is>
          <t>1.2.10.02.09</t>
        </is>
      </c>
      <c r="B146" t="inlineStr">
        <is>
          <t>Superavit fiscal</t>
        </is>
      </c>
      <c r="C146" t="inlineStr">
        <is>
          <t>C</t>
        </is>
      </c>
      <c r="E146" t="n">
        <v>0</v>
      </c>
      <c r="F146" t="n">
        <v>5357255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5357255</v>
      </c>
      <c r="M146" t="n">
        <v>0</v>
      </c>
      <c r="N146" t="n">
        <v>0</v>
      </c>
      <c r="O146" t="inlineStr">
        <is>
          <t>0 %</t>
        </is>
      </c>
      <c r="P146" t="n">
        <v>0</v>
      </c>
      <c r="Q146" t="n">
        <v>5357255</v>
      </c>
      <c r="R146" t="inlineStr">
        <is>
          <t>138.1</t>
        </is>
      </c>
    </row>
    <row r="147">
      <c r="A147" t="inlineStr">
        <is>
          <t>1.2.10.02.11</t>
        </is>
      </c>
      <c r="B147" t="inlineStr">
        <is>
          <t>Superavit fiscal</t>
        </is>
      </c>
      <c r="C147" t="inlineStr">
        <is>
          <t>C</t>
        </is>
      </c>
      <c r="E147" t="n">
        <v>0</v>
      </c>
      <c r="F147" t="n">
        <v>108867154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108867154</v>
      </c>
      <c r="M147" t="n">
        <v>0</v>
      </c>
      <c r="N147" t="n">
        <v>0</v>
      </c>
      <c r="O147" t="inlineStr">
        <is>
          <t>0 %</t>
        </is>
      </c>
      <c r="P147" t="n">
        <v>0</v>
      </c>
      <c r="Q147" t="n">
        <v>108867154</v>
      </c>
      <c r="R147" t="inlineStr">
        <is>
          <t>152.1</t>
        </is>
      </c>
    </row>
    <row r="148">
      <c r="A148" t="inlineStr">
        <is>
          <t>1.2.10.02.12</t>
        </is>
      </c>
      <c r="B148" t="inlineStr">
        <is>
          <t>Superavit fiscal</t>
        </is>
      </c>
      <c r="C148" t="inlineStr">
        <is>
          <t>C</t>
        </is>
      </c>
      <c r="E148" t="n">
        <v>0</v>
      </c>
      <c r="F148" t="n">
        <v>31127038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31127038</v>
      </c>
      <c r="M148" t="n">
        <v>0</v>
      </c>
      <c r="N148" t="n">
        <v>0</v>
      </c>
      <c r="O148" t="inlineStr">
        <is>
          <t>0 %</t>
        </is>
      </c>
      <c r="P148" t="n">
        <v>0</v>
      </c>
      <c r="Q148" t="n">
        <v>31127038</v>
      </c>
      <c r="R148" t="inlineStr">
        <is>
          <t>153.1</t>
        </is>
      </c>
    </row>
    <row r="149">
      <c r="A149" t="inlineStr">
        <is>
          <t>1.2.10.02.13</t>
        </is>
      </c>
      <c r="B149" t="inlineStr">
        <is>
          <t>Superavit fiscal</t>
        </is>
      </c>
      <c r="C149" t="inlineStr">
        <is>
          <t>C</t>
        </is>
      </c>
      <c r="E149" t="n">
        <v>0</v>
      </c>
      <c r="F149" t="n">
        <v>7683287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7683287</v>
      </c>
      <c r="M149" t="n">
        <v>0</v>
      </c>
      <c r="N149" t="n">
        <v>0</v>
      </c>
      <c r="O149" t="inlineStr">
        <is>
          <t>0 %</t>
        </is>
      </c>
      <c r="P149" t="n">
        <v>0</v>
      </c>
      <c r="Q149" t="n">
        <v>7683287</v>
      </c>
      <c r="R149" t="inlineStr">
        <is>
          <t>230.1</t>
        </is>
      </c>
    </row>
    <row r="150">
      <c r="A150" t="inlineStr">
        <is>
          <t>1.2.10.02.14</t>
        </is>
      </c>
      <c r="B150" t="inlineStr">
        <is>
          <t>Superavit fiscal</t>
        </is>
      </c>
      <c r="C150" t="inlineStr">
        <is>
          <t>C</t>
        </is>
      </c>
      <c r="E150" t="n">
        <v>0</v>
      </c>
      <c r="F150" t="n">
        <v>229972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229972</v>
      </c>
      <c r="M150" t="n">
        <v>0</v>
      </c>
      <c r="N150" t="n">
        <v>0</v>
      </c>
      <c r="O150" t="inlineStr">
        <is>
          <t>0 %</t>
        </is>
      </c>
      <c r="P150" t="n">
        <v>0</v>
      </c>
      <c r="Q150" t="n">
        <v>229972</v>
      </c>
      <c r="R150" t="inlineStr">
        <is>
          <t>24.2</t>
        </is>
      </c>
    </row>
    <row r="151">
      <c r="A151" t="inlineStr">
        <is>
          <t>1.2.10.02.15</t>
        </is>
      </c>
      <c r="B151" t="inlineStr">
        <is>
          <t>Superavit fiscal</t>
        </is>
      </c>
      <c r="C151" t="inlineStr">
        <is>
          <t>C</t>
        </is>
      </c>
      <c r="E151" t="n">
        <v>0</v>
      </c>
      <c r="F151" t="n">
        <v>8367680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8367680</v>
      </c>
      <c r="M151" t="n">
        <v>0</v>
      </c>
      <c r="N151" t="n">
        <v>0</v>
      </c>
      <c r="O151" t="inlineStr">
        <is>
          <t>0 %</t>
        </is>
      </c>
      <c r="P151" t="n">
        <v>0</v>
      </c>
      <c r="Q151" t="n">
        <v>8367680</v>
      </c>
      <c r="R151" t="inlineStr">
        <is>
          <t>250</t>
        </is>
      </c>
    </row>
    <row r="152">
      <c r="A152" t="inlineStr">
        <is>
          <t>1.2.10.02.16</t>
        </is>
      </c>
      <c r="B152" t="inlineStr">
        <is>
          <t>Superavit fiscal</t>
        </is>
      </c>
      <c r="C152" t="inlineStr">
        <is>
          <t>C</t>
        </is>
      </c>
      <c r="E152" t="n">
        <v>0</v>
      </c>
      <c r="F152" t="n">
        <v>10601391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10601391</v>
      </c>
      <c r="M152" t="n">
        <v>0</v>
      </c>
      <c r="N152" t="n">
        <v>0</v>
      </c>
      <c r="O152" t="inlineStr">
        <is>
          <t>0 %</t>
        </is>
      </c>
      <c r="P152" t="n">
        <v>0</v>
      </c>
      <c r="Q152" t="n">
        <v>10601391</v>
      </c>
      <c r="R152" t="inlineStr">
        <is>
          <t>280</t>
        </is>
      </c>
    </row>
    <row r="153">
      <c r="A153" t="inlineStr">
        <is>
          <t>1.2.10.02.17</t>
        </is>
      </c>
      <c r="B153" t="inlineStr">
        <is>
          <t>Superavit fiscal</t>
        </is>
      </c>
      <c r="C153" t="inlineStr">
        <is>
          <t>C</t>
        </is>
      </c>
      <c r="E153" t="n">
        <v>0</v>
      </c>
      <c r="F153" t="n">
        <v>1728517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1728517</v>
      </c>
      <c r="M153" t="n">
        <v>0</v>
      </c>
      <c r="N153" t="n">
        <v>0</v>
      </c>
      <c r="O153" t="inlineStr">
        <is>
          <t>0 %</t>
        </is>
      </c>
      <c r="P153" t="n">
        <v>0</v>
      </c>
      <c r="Q153" t="n">
        <v>1728517</v>
      </c>
      <c r="R153" t="inlineStr">
        <is>
          <t>292.1.1</t>
        </is>
      </c>
    </row>
    <row r="154">
      <c r="A154" t="inlineStr">
        <is>
          <t>1.2.10.02.18</t>
        </is>
      </c>
      <c r="B154" t="inlineStr">
        <is>
          <t>Superavit fiscal</t>
        </is>
      </c>
      <c r="C154" t="inlineStr">
        <is>
          <t>C</t>
        </is>
      </c>
      <c r="E154" t="n">
        <v>0</v>
      </c>
      <c r="F154" t="n">
        <v>1728517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1728517</v>
      </c>
      <c r="M154" t="n">
        <v>0</v>
      </c>
      <c r="N154" t="n">
        <v>0</v>
      </c>
      <c r="O154" t="inlineStr">
        <is>
          <t>0 %</t>
        </is>
      </c>
      <c r="P154" t="n">
        <v>0</v>
      </c>
      <c r="Q154" t="n">
        <v>1728517</v>
      </c>
      <c r="R154" t="inlineStr">
        <is>
          <t>292.2.1</t>
        </is>
      </c>
    </row>
    <row r="155">
      <c r="A155" t="inlineStr">
        <is>
          <t>1.2.10.02.19</t>
        </is>
      </c>
      <c r="B155" t="inlineStr">
        <is>
          <t>Superavit fiscal</t>
        </is>
      </c>
      <c r="C155" t="inlineStr">
        <is>
          <t>C</t>
        </is>
      </c>
      <c r="E155" t="n">
        <v>0</v>
      </c>
      <c r="F155" t="n">
        <v>1728516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1728516</v>
      </c>
      <c r="M155" t="n">
        <v>0</v>
      </c>
      <c r="N155" t="n">
        <v>0</v>
      </c>
      <c r="O155" t="inlineStr">
        <is>
          <t>0 %</t>
        </is>
      </c>
      <c r="P155" t="n">
        <v>0</v>
      </c>
      <c r="Q155" t="n">
        <v>1728516</v>
      </c>
      <c r="R155" t="inlineStr">
        <is>
          <t>292.3.1</t>
        </is>
      </c>
    </row>
    <row r="156">
      <c r="A156" t="inlineStr">
        <is>
          <t>1.2.10.02.20</t>
        </is>
      </c>
      <c r="B156" t="inlineStr">
        <is>
          <t>Superavit fiscal</t>
        </is>
      </c>
      <c r="C156" t="inlineStr">
        <is>
          <t>C</t>
        </is>
      </c>
      <c r="E156" t="n">
        <v>0</v>
      </c>
      <c r="F156" t="n">
        <v>258187240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258187240</v>
      </c>
      <c r="M156" t="n">
        <v>0</v>
      </c>
      <c r="N156" t="n">
        <v>0</v>
      </c>
      <c r="O156" t="inlineStr">
        <is>
          <t>0 %</t>
        </is>
      </c>
      <c r="P156" t="n">
        <v>0</v>
      </c>
      <c r="Q156" t="n">
        <v>258187240</v>
      </c>
      <c r="R156" t="inlineStr">
        <is>
          <t>360.1</t>
        </is>
      </c>
    </row>
    <row r="157">
      <c r="A157" t="inlineStr">
        <is>
          <t>1.2.10.02.21</t>
        </is>
      </c>
      <c r="B157" t="inlineStr">
        <is>
          <t>Superavit fiscal</t>
        </is>
      </c>
      <c r="C157" t="inlineStr">
        <is>
          <t>C</t>
        </is>
      </c>
      <c r="E157" t="n">
        <v>0</v>
      </c>
      <c r="F157" t="n">
        <v>86751825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86751825</v>
      </c>
      <c r="M157" t="n">
        <v>0</v>
      </c>
      <c r="N157" t="n">
        <v>0</v>
      </c>
      <c r="O157" t="inlineStr">
        <is>
          <t>0 %</t>
        </is>
      </c>
      <c r="P157" t="n">
        <v>0</v>
      </c>
      <c r="Q157" t="n">
        <v>86751825</v>
      </c>
      <c r="R157" t="inlineStr">
        <is>
          <t>370</t>
        </is>
      </c>
    </row>
    <row r="158">
      <c r="A158" t="inlineStr">
        <is>
          <t>1.2.10.02.22</t>
        </is>
      </c>
      <c r="B158" t="inlineStr">
        <is>
          <t>Superavit fiscal</t>
        </is>
      </c>
      <c r="C158" t="inlineStr">
        <is>
          <t>C</t>
        </is>
      </c>
      <c r="E158" t="n">
        <v>0</v>
      </c>
      <c r="F158" t="n">
        <v>28507497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28507497</v>
      </c>
      <c r="M158" t="n">
        <v>0</v>
      </c>
      <c r="N158" t="n">
        <v>0</v>
      </c>
      <c r="O158" t="inlineStr">
        <is>
          <t>0 %</t>
        </is>
      </c>
      <c r="P158" t="n">
        <v>0</v>
      </c>
      <c r="Q158" t="n">
        <v>28507497</v>
      </c>
      <c r="R158" t="inlineStr">
        <is>
          <t>390</t>
        </is>
      </c>
    </row>
    <row r="159">
      <c r="A159" t="inlineStr">
        <is>
          <t>1.2.10.02.23</t>
        </is>
      </c>
      <c r="B159" t="inlineStr">
        <is>
          <t>Superavit fiscal</t>
        </is>
      </c>
      <c r="C159" t="inlineStr">
        <is>
          <t>C</t>
        </is>
      </c>
      <c r="E159" t="n">
        <v>0</v>
      </c>
      <c r="F159" t="n">
        <v>591872650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591872650</v>
      </c>
      <c r="M159" t="n">
        <v>0</v>
      </c>
      <c r="N159" t="n">
        <v>0</v>
      </c>
      <c r="O159" t="inlineStr">
        <is>
          <t>0 %</t>
        </is>
      </c>
      <c r="P159" t="n">
        <v>0</v>
      </c>
      <c r="Q159" t="n">
        <v>591872650</v>
      </c>
      <c r="R159" t="inlineStr">
        <is>
          <t>410</t>
        </is>
      </c>
    </row>
    <row r="160">
      <c r="A160" t="inlineStr">
        <is>
          <t>1.2.10.02.24</t>
        </is>
      </c>
      <c r="B160" t="inlineStr">
        <is>
          <t>Superavit fiscal</t>
        </is>
      </c>
      <c r="C160" t="inlineStr">
        <is>
          <t>C</t>
        </is>
      </c>
      <c r="D160" t="inlineStr">
        <is>
          <t>9 - FLS Aseguramiento</t>
        </is>
      </c>
      <c r="E160" t="n">
        <v>0</v>
      </c>
      <c r="F160" t="n">
        <v>10232114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10232114</v>
      </c>
      <c r="M160" t="n">
        <v>0</v>
      </c>
      <c r="N160" t="n">
        <v>0</v>
      </c>
      <c r="O160" t="inlineStr">
        <is>
          <t>0 %</t>
        </is>
      </c>
      <c r="P160" t="n">
        <v>0</v>
      </c>
      <c r="Q160" t="n">
        <v>10232114</v>
      </c>
      <c r="R160" t="inlineStr">
        <is>
          <t>630.1</t>
        </is>
      </c>
    </row>
    <row r="161">
      <c r="A161" t="inlineStr">
        <is>
          <t>1.2.10.02.25</t>
        </is>
      </c>
      <c r="B161" t="inlineStr">
        <is>
          <t>Superavit fiscal</t>
        </is>
      </c>
      <c r="C161" t="inlineStr">
        <is>
          <t>C</t>
        </is>
      </c>
      <c r="E161" t="n">
        <v>0</v>
      </c>
      <c r="F161" t="n">
        <v>32037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32037</v>
      </c>
      <c r="M161" t="n">
        <v>0</v>
      </c>
      <c r="N161" t="n">
        <v>0</v>
      </c>
      <c r="O161" t="inlineStr">
        <is>
          <t>0 %</t>
        </is>
      </c>
      <c r="P161" t="n">
        <v>0</v>
      </c>
      <c r="Q161" t="n">
        <v>32037</v>
      </c>
      <c r="R161" t="inlineStr">
        <is>
          <t>64.1.1</t>
        </is>
      </c>
    </row>
    <row r="162">
      <c r="A162" t="inlineStr">
        <is>
          <t>1.2.10.02.26</t>
        </is>
      </c>
      <c r="B162" t="inlineStr">
        <is>
          <t>Superavit fiscal</t>
        </is>
      </c>
      <c r="C162" t="inlineStr">
        <is>
          <t>C</t>
        </is>
      </c>
      <c r="E162" t="n">
        <v>0</v>
      </c>
      <c r="F162" t="n">
        <v>271982093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271982093</v>
      </c>
      <c r="M162" t="n">
        <v>0</v>
      </c>
      <c r="N162" t="n">
        <v>0</v>
      </c>
      <c r="O162" t="inlineStr">
        <is>
          <t>0 %</t>
        </is>
      </c>
      <c r="P162" t="n">
        <v>0</v>
      </c>
      <c r="Q162" t="n">
        <v>271982093</v>
      </c>
      <c r="R162" t="inlineStr">
        <is>
          <t>676.1</t>
        </is>
      </c>
    </row>
    <row r="163">
      <c r="A163" t="inlineStr">
        <is>
          <t>1.2.10.02.27</t>
        </is>
      </c>
      <c r="B163" t="inlineStr">
        <is>
          <t>Superavit fiscal</t>
        </is>
      </c>
      <c r="C163" t="inlineStr">
        <is>
          <t>C</t>
        </is>
      </c>
      <c r="E163" t="n">
        <v>0</v>
      </c>
      <c r="F163" t="n">
        <v>93881199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93881199</v>
      </c>
      <c r="M163" t="n">
        <v>0</v>
      </c>
      <c r="N163" t="n">
        <v>0</v>
      </c>
      <c r="O163" t="inlineStr">
        <is>
          <t>0 %</t>
        </is>
      </c>
      <c r="P163" t="n">
        <v>0</v>
      </c>
      <c r="Q163" t="n">
        <v>93881199</v>
      </c>
      <c r="R163" t="inlineStr">
        <is>
          <t>71.0.1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73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UNIDAD EJECUTORA</t>
        </is>
      </c>
      <c r="B2" t="inlineStr">
        <is>
          <t>SECTOR</t>
        </is>
      </c>
      <c r="C2" t="inlineStr">
        <is>
          <t>SUBPROGRAMA</t>
        </is>
      </c>
      <c r="D2" t="inlineStr">
        <is>
          <t>PROGRAMA</t>
        </is>
      </c>
      <c r="E2" t="inlineStr">
        <is>
          <t>PRODUCTO</t>
        </is>
      </c>
      <c r="F2" t="inlineStr">
        <is>
          <t xml:space="preserve">NOMBRE DEL PRODUCTO </t>
        </is>
      </c>
      <c r="G2" t="inlineStr">
        <is>
          <t>BPIN</t>
        </is>
      </c>
      <c r="H2" t="inlineStr">
        <is>
          <t xml:space="preserve">NOMBRE DEL BPIN </t>
        </is>
      </c>
      <c r="I2" t="inlineStr">
        <is>
          <t>PRODUCTO DANE</t>
        </is>
      </c>
      <c r="J2" t="inlineStr">
        <is>
          <t>NOMBRE DEL PRODUCTO DANE</t>
        </is>
      </c>
      <c r="K2" t="inlineStr">
        <is>
          <t>ATRIBUTO</t>
        </is>
      </c>
      <c r="L2" t="inlineStr">
        <is>
          <t>NOMBRE DEL ATRIBUTO</t>
        </is>
      </c>
      <c r="M2" t="inlineStr">
        <is>
          <t>DEPENDENCIA</t>
        </is>
      </c>
      <c r="N2" t="inlineStr">
        <is>
          <t xml:space="preserve">RUBRO </t>
        </is>
      </c>
      <c r="O2" t="inlineStr">
        <is>
          <t xml:space="preserve">NOMBRE DEL RUBRO </t>
        </is>
      </c>
      <c r="P2" t="inlineStr">
        <is>
          <t>FUENTE DE RECURSO</t>
        </is>
      </c>
      <c r="Q2" t="inlineStr">
        <is>
          <t xml:space="preserve">NOMBRE DE FUENTE DE RECURSO </t>
        </is>
      </c>
      <c r="R2" t="inlineStr">
        <is>
          <t xml:space="preserve">PRESUPUESTO INICIAL </t>
        </is>
      </c>
      <c r="S2" t="inlineStr">
        <is>
          <t>ADICIONES</t>
        </is>
      </c>
      <c r="T2" t="inlineStr">
        <is>
          <t xml:space="preserve">REDUCCIONES </t>
        </is>
      </c>
      <c r="U2" t="inlineStr">
        <is>
          <t>CREDITOS</t>
        </is>
      </c>
      <c r="V2" t="inlineStr">
        <is>
          <t>CONTRACREDITOS</t>
        </is>
      </c>
      <c r="W2" t="inlineStr">
        <is>
          <t>LIBERACIONES</t>
        </is>
      </c>
      <c r="X2" t="inlineStr">
        <is>
          <t xml:space="preserve">APLAZAMIENTOS
</t>
        </is>
      </c>
      <c r="Y2" t="inlineStr">
        <is>
          <t xml:space="preserve">PRESUPUESTO DEFINITIVO </t>
        </is>
      </c>
      <c r="Z2" t="inlineStr">
        <is>
          <t>DISPONIBILIDAD</t>
        </is>
      </c>
      <c r="AA2" t="inlineStr">
        <is>
          <t xml:space="preserve">REGISTRO </t>
        </is>
      </c>
      <c r="AB2" t="inlineStr">
        <is>
          <t xml:space="preserve">DEFINITIVAS 
</t>
        </is>
      </c>
      <c r="AC2" t="inlineStr">
        <is>
          <t>PAGOS</t>
        </is>
      </c>
      <c r="AD2" t="inlineStr">
        <is>
          <t>SALDO POR EJECUTAR</t>
        </is>
      </c>
      <c r="AE2" t="inlineStr">
        <is>
          <t xml:space="preserve">% EJECUTADO
</t>
        </is>
      </c>
    </row>
    <row r="3">
      <c r="A3" t="inlineStr">
        <is>
          <t>1 - ADMINISTRACIÓN CENTRAL</t>
        </is>
      </c>
      <c r="B3" t="inlineStr">
        <is>
          <t>00 - SIN SECTOR</t>
        </is>
      </c>
      <c r="C3" t="inlineStr">
        <is>
          <t>00</t>
        </is>
      </c>
      <c r="D3" t="inlineStr">
        <is>
          <t>0000</t>
        </is>
      </c>
      <c r="E3" t="inlineStr">
        <is>
          <t>000000</t>
        </is>
      </c>
      <c r="F3" t="inlineStr">
        <is>
          <t>SIN PRODUCTO</t>
        </is>
      </c>
      <c r="G3" t="inlineStr">
        <is>
          <t>00</t>
        </is>
      </c>
      <c r="H3" t="inlineStr">
        <is>
          <t>00</t>
        </is>
      </c>
      <c r="I3" t="inlineStr">
        <is>
          <t>00</t>
        </is>
      </c>
      <c r="J3" t="inlineStr">
        <is>
          <t>SIN PRODUCTO DANE</t>
        </is>
      </c>
      <c r="K3" t="inlineStr">
        <is>
          <t>00</t>
        </is>
      </c>
      <c r="L3" t="inlineStr">
        <is>
          <t>SIN ATRIBUTO</t>
        </is>
      </c>
      <c r="N3" t="inlineStr">
        <is>
          <t>2</t>
        </is>
      </c>
      <c r="O3" t="inlineStr">
        <is>
          <t>Gastos</t>
        </is>
      </c>
      <c r="P3" t="inlineStr">
        <is>
          <t>00</t>
        </is>
      </c>
      <c r="Q3" t="inlineStr">
        <is>
          <t>RECURSOS</t>
        </is>
      </c>
      <c r="R3" t="n">
        <v>9972660329</v>
      </c>
      <c r="S3" t="n">
        <v>2638356092</v>
      </c>
      <c r="T3" t="n">
        <v>895409614</v>
      </c>
      <c r="U3" t="n">
        <v>719815360</v>
      </c>
      <c r="V3" t="n">
        <v>719815360</v>
      </c>
      <c r="W3" t="n">
        <v>0</v>
      </c>
      <c r="X3" t="n">
        <v>0</v>
      </c>
      <c r="Y3" t="n">
        <v>11715606807</v>
      </c>
      <c r="Z3" t="n">
        <v>5499833154.27</v>
      </c>
      <c r="AA3" t="n">
        <v>5165697643.38</v>
      </c>
      <c r="AB3" t="n">
        <v>2867434788.22</v>
      </c>
      <c r="AC3" t="n">
        <v>2867434788.22</v>
      </c>
      <c r="AD3" t="n">
        <v>6215773652.73</v>
      </c>
      <c r="AE3" t="n">
        <v>46.94</v>
      </c>
    </row>
    <row r="4">
      <c r="A4" t="inlineStr">
        <is>
          <t>1 - ADMINISTRACIÓN CENTRAL</t>
        </is>
      </c>
      <c r="B4" t="inlineStr">
        <is>
          <t>00 - SIN SECTOR</t>
        </is>
      </c>
      <c r="C4" t="inlineStr">
        <is>
          <t>00</t>
        </is>
      </c>
      <c r="D4" t="inlineStr">
        <is>
          <t>0000</t>
        </is>
      </c>
      <c r="E4" t="inlineStr">
        <is>
          <t>000000</t>
        </is>
      </c>
      <c r="F4" t="inlineStr">
        <is>
          <t>SIN PRODUCTO</t>
        </is>
      </c>
      <c r="G4" t="inlineStr">
        <is>
          <t>00</t>
        </is>
      </c>
      <c r="H4" t="inlineStr">
        <is>
          <t>00</t>
        </is>
      </c>
      <c r="I4" t="inlineStr">
        <is>
          <t>00</t>
        </is>
      </c>
      <c r="J4" t="inlineStr">
        <is>
          <t>SIN PRODUCTO DANE</t>
        </is>
      </c>
      <c r="K4" t="inlineStr">
        <is>
          <t>00</t>
        </is>
      </c>
      <c r="L4" t="inlineStr">
        <is>
          <t>SIN ATRIBUTO</t>
        </is>
      </c>
      <c r="N4" t="inlineStr">
        <is>
          <t>2.1</t>
        </is>
      </c>
      <c r="O4" t="inlineStr">
        <is>
          <t>Funcionamiento</t>
        </is>
      </c>
      <c r="P4" t="inlineStr">
        <is>
          <t>00</t>
        </is>
      </c>
      <c r="Q4" t="inlineStr">
        <is>
          <t>RECURSOS</t>
        </is>
      </c>
      <c r="R4" t="n">
        <v>2399080536</v>
      </c>
      <c r="S4" t="n">
        <v>61287136</v>
      </c>
      <c r="T4" t="n">
        <v>152667595</v>
      </c>
      <c r="U4" t="n">
        <v>246798380</v>
      </c>
      <c r="V4" t="n">
        <v>246798380</v>
      </c>
      <c r="W4" t="n">
        <v>0</v>
      </c>
      <c r="X4" t="n">
        <v>0</v>
      </c>
      <c r="Y4" t="n">
        <v>2307700077</v>
      </c>
      <c r="Z4" t="n">
        <v>1165871784.1</v>
      </c>
      <c r="AA4" t="n">
        <v>1153898457.1</v>
      </c>
      <c r="AB4" t="n">
        <v>809679807.1</v>
      </c>
      <c r="AC4" t="n">
        <v>809679807.1</v>
      </c>
      <c r="AD4" t="n">
        <v>1141828292.9</v>
      </c>
      <c r="AE4" t="n">
        <v>50.52</v>
      </c>
    </row>
    <row r="5">
      <c r="A5" t="inlineStr">
        <is>
          <t>1 - ADMINISTRACIÓN CENTRAL</t>
        </is>
      </c>
      <c r="B5" t="inlineStr">
        <is>
          <t>00 - SIN SECTOR</t>
        </is>
      </c>
      <c r="C5" t="inlineStr">
        <is>
          <t>00</t>
        </is>
      </c>
      <c r="D5" t="inlineStr">
        <is>
          <t>0000</t>
        </is>
      </c>
      <c r="E5" t="inlineStr">
        <is>
          <t>000000</t>
        </is>
      </c>
      <c r="F5" t="inlineStr">
        <is>
          <t>SIN PRODUCTO</t>
        </is>
      </c>
      <c r="G5" t="inlineStr">
        <is>
          <t>00</t>
        </is>
      </c>
      <c r="H5" t="inlineStr">
        <is>
          <t>00</t>
        </is>
      </c>
      <c r="I5" t="inlineStr">
        <is>
          <t>00</t>
        </is>
      </c>
      <c r="J5" t="inlineStr">
        <is>
          <t>SIN PRODUCTO DANE</t>
        </is>
      </c>
      <c r="K5" t="inlineStr">
        <is>
          <t>00</t>
        </is>
      </c>
      <c r="L5" t="inlineStr">
        <is>
          <t>SIN ATRIBUTO</t>
        </is>
      </c>
      <c r="N5" t="inlineStr">
        <is>
          <t>2.1.1</t>
        </is>
      </c>
      <c r="O5" t="inlineStr">
        <is>
          <t>Gastos de personal</t>
        </is>
      </c>
      <c r="P5" t="inlineStr">
        <is>
          <t>00</t>
        </is>
      </c>
      <c r="Q5" t="inlineStr">
        <is>
          <t>RECURSOS</t>
        </is>
      </c>
      <c r="R5" t="n">
        <v>1044961427</v>
      </c>
      <c r="S5" t="n">
        <v>0</v>
      </c>
      <c r="T5" t="n">
        <v>0</v>
      </c>
      <c r="U5" t="n">
        <v>35333312</v>
      </c>
      <c r="V5" t="n">
        <v>15333312</v>
      </c>
      <c r="W5" t="n">
        <v>0</v>
      </c>
      <c r="X5" t="n">
        <v>0</v>
      </c>
      <c r="Y5" t="n">
        <v>1064961427</v>
      </c>
      <c r="Z5" t="n">
        <v>429657617</v>
      </c>
      <c r="AA5" t="n">
        <v>429657617</v>
      </c>
      <c r="AB5" t="n">
        <v>429657617</v>
      </c>
      <c r="AC5" t="n">
        <v>429657617</v>
      </c>
      <c r="AD5" t="n">
        <v>635303810</v>
      </c>
      <c r="AE5" t="n">
        <v>40.34</v>
      </c>
    </row>
    <row r="6">
      <c r="A6" t="inlineStr">
        <is>
          <t>1 - ADMINISTRACIÓN CENTRAL</t>
        </is>
      </c>
      <c r="B6" t="inlineStr">
        <is>
          <t>00 - SIN SECTOR</t>
        </is>
      </c>
      <c r="C6" t="inlineStr">
        <is>
          <t>00</t>
        </is>
      </c>
      <c r="D6" t="inlineStr">
        <is>
          <t>0000</t>
        </is>
      </c>
      <c r="E6" t="inlineStr">
        <is>
          <t>000000</t>
        </is>
      </c>
      <c r="F6" t="inlineStr">
        <is>
          <t>SIN PRODUCTO</t>
        </is>
      </c>
      <c r="G6" t="inlineStr">
        <is>
          <t>00</t>
        </is>
      </c>
      <c r="H6" t="inlineStr">
        <is>
          <t>00</t>
        </is>
      </c>
      <c r="I6" t="inlineStr">
        <is>
          <t>00</t>
        </is>
      </c>
      <c r="J6" t="inlineStr">
        <is>
          <t>SIN PRODUCTO DANE</t>
        </is>
      </c>
      <c r="K6" t="inlineStr">
        <is>
          <t>00</t>
        </is>
      </c>
      <c r="L6" t="inlineStr">
        <is>
          <t>SIN ATRIBUTO</t>
        </is>
      </c>
      <c r="N6" t="inlineStr">
        <is>
          <t>2.1.1.01</t>
        </is>
      </c>
      <c r="O6" t="inlineStr">
        <is>
          <t>Planta de personal permanente</t>
        </is>
      </c>
      <c r="P6" t="inlineStr">
        <is>
          <t>00</t>
        </is>
      </c>
      <c r="Q6" t="inlineStr">
        <is>
          <t>RECURSOS</t>
        </is>
      </c>
      <c r="R6" t="n">
        <v>1044961427</v>
      </c>
      <c r="S6" t="n">
        <v>0</v>
      </c>
      <c r="T6" t="n">
        <v>0</v>
      </c>
      <c r="U6" t="n">
        <v>35333312</v>
      </c>
      <c r="V6" t="n">
        <v>15333312</v>
      </c>
      <c r="W6" t="n">
        <v>0</v>
      </c>
      <c r="X6" t="n">
        <v>0</v>
      </c>
      <c r="Y6" t="n">
        <v>1064961427</v>
      </c>
      <c r="Z6" t="n">
        <v>429657617</v>
      </c>
      <c r="AA6" t="n">
        <v>429657617</v>
      </c>
      <c r="AB6" t="n">
        <v>429657617</v>
      </c>
      <c r="AC6" t="n">
        <v>429657617</v>
      </c>
      <c r="AD6" t="n">
        <v>635303810</v>
      </c>
      <c r="AE6" t="n">
        <v>40.34</v>
      </c>
    </row>
    <row r="7">
      <c r="A7" t="inlineStr">
        <is>
          <t>1 - ADMINISTRACIÓN CENTRAL</t>
        </is>
      </c>
      <c r="B7" t="inlineStr">
        <is>
          <t>00 - SIN SECTOR</t>
        </is>
      </c>
      <c r="C7" t="inlineStr">
        <is>
          <t>00</t>
        </is>
      </c>
      <c r="D7" t="inlineStr">
        <is>
          <t>0000</t>
        </is>
      </c>
      <c r="E7" t="inlineStr">
        <is>
          <t>000000</t>
        </is>
      </c>
      <c r="F7" t="inlineStr">
        <is>
          <t>SIN PRODUCTO</t>
        </is>
      </c>
      <c r="G7" t="inlineStr">
        <is>
          <t>00</t>
        </is>
      </c>
      <c r="H7" t="inlineStr">
        <is>
          <t>00</t>
        </is>
      </c>
      <c r="I7" t="inlineStr">
        <is>
          <t>00</t>
        </is>
      </c>
      <c r="J7" t="inlineStr">
        <is>
          <t>SIN PRODUCTO DANE</t>
        </is>
      </c>
      <c r="K7" t="inlineStr">
        <is>
          <t>00</t>
        </is>
      </c>
      <c r="L7" t="inlineStr">
        <is>
          <t>SIN ATRIBUTO</t>
        </is>
      </c>
      <c r="N7" t="inlineStr">
        <is>
          <t>2.1.1.01.01</t>
        </is>
      </c>
      <c r="O7" t="inlineStr">
        <is>
          <t>Factores constitutivos de salario</t>
        </is>
      </c>
      <c r="P7" t="inlineStr">
        <is>
          <t>00</t>
        </is>
      </c>
      <c r="Q7" t="inlineStr">
        <is>
          <t>RECURSOS</t>
        </is>
      </c>
      <c r="R7" t="n">
        <v>641724601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641724601</v>
      </c>
      <c r="Z7" t="n">
        <v>239489910</v>
      </c>
      <c r="AA7" t="n">
        <v>239489910</v>
      </c>
      <c r="AB7" t="n">
        <v>239489910</v>
      </c>
      <c r="AC7" t="n">
        <v>239489910</v>
      </c>
      <c r="AD7" t="n">
        <v>402234691</v>
      </c>
      <c r="AE7" t="n">
        <v>37.32</v>
      </c>
    </row>
    <row r="8">
      <c r="A8" t="inlineStr">
        <is>
          <t>1 - ADMINISTRACIÓN CENTRAL</t>
        </is>
      </c>
      <c r="B8" t="inlineStr">
        <is>
          <t>00 - SIN SECTOR</t>
        </is>
      </c>
      <c r="C8" t="inlineStr">
        <is>
          <t>00</t>
        </is>
      </c>
      <c r="D8" t="inlineStr">
        <is>
          <t>0000</t>
        </is>
      </c>
      <c r="E8" t="inlineStr">
        <is>
          <t>000000</t>
        </is>
      </c>
      <c r="F8" t="inlineStr">
        <is>
          <t>SIN PRODUCTO</t>
        </is>
      </c>
      <c r="G8" t="inlineStr">
        <is>
          <t>00</t>
        </is>
      </c>
      <c r="H8" t="inlineStr">
        <is>
          <t>00</t>
        </is>
      </c>
      <c r="I8" t="inlineStr">
        <is>
          <t>00</t>
        </is>
      </c>
      <c r="J8" t="inlineStr">
        <is>
          <t>SIN PRODUCTO DANE</t>
        </is>
      </c>
      <c r="K8" t="inlineStr">
        <is>
          <t>00</t>
        </is>
      </c>
      <c r="L8" t="inlineStr">
        <is>
          <t>SIN ATRIBUTO</t>
        </is>
      </c>
      <c r="N8" t="inlineStr">
        <is>
          <t>2.1.1.01.01.001</t>
        </is>
      </c>
      <c r="O8" t="inlineStr">
        <is>
          <t>Factores salariales comunes</t>
        </is>
      </c>
      <c r="P8" t="inlineStr">
        <is>
          <t>00</t>
        </is>
      </c>
      <c r="Q8" t="inlineStr">
        <is>
          <t>RECURSOS</t>
        </is>
      </c>
      <c r="R8" t="n">
        <v>641724601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641724601</v>
      </c>
      <c r="Z8" t="n">
        <v>239489910</v>
      </c>
      <c r="AA8" t="n">
        <v>239489910</v>
      </c>
      <c r="AB8" t="n">
        <v>239489910</v>
      </c>
      <c r="AC8" t="n">
        <v>239489910</v>
      </c>
      <c r="AD8" t="n">
        <v>402234691</v>
      </c>
      <c r="AE8" t="n">
        <v>37.32</v>
      </c>
    </row>
    <row r="9">
      <c r="A9" t="inlineStr">
        <is>
          <t>1 - ADMINISTRACIÓN CENTRAL</t>
        </is>
      </c>
      <c r="B9" t="inlineStr">
        <is>
          <t>00 - SIN SECTOR</t>
        </is>
      </c>
      <c r="C9" t="inlineStr">
        <is>
          <t>00</t>
        </is>
      </c>
      <c r="D9" t="inlineStr">
        <is>
          <t>0000</t>
        </is>
      </c>
      <c r="E9" t="inlineStr">
        <is>
          <t>000000</t>
        </is>
      </c>
      <c r="F9" t="inlineStr">
        <is>
          <t>SIN PRODUCTO</t>
        </is>
      </c>
      <c r="G9" t="inlineStr">
        <is>
          <t>00</t>
        </is>
      </c>
      <c r="H9" t="inlineStr">
        <is>
          <t>00</t>
        </is>
      </c>
      <c r="I9" t="inlineStr">
        <is>
          <t>00</t>
        </is>
      </c>
      <c r="J9" t="inlineStr">
        <is>
          <t>SIN PRODUCTO DANE</t>
        </is>
      </c>
      <c r="K9" t="inlineStr">
        <is>
          <t>00</t>
        </is>
      </c>
      <c r="L9" t="inlineStr">
        <is>
          <t>SIN ATRIBUTO</t>
        </is>
      </c>
      <c r="N9" t="inlineStr">
        <is>
          <t>2.1.1.01.01.001.01</t>
        </is>
      </c>
      <c r="O9" t="inlineStr">
        <is>
          <t>Sueldo basico</t>
        </is>
      </c>
      <c r="P9" t="inlineStr">
        <is>
          <t>100</t>
        </is>
      </c>
      <c r="Q9" t="inlineStr">
        <is>
          <t>INGRESOS CORRIENTES DE LIBRE DESTINACION EXCEPTO EL 42% DE LIBRE DESTINACIÓN DE PROPOSITO GENERAL DE MPIOS DE CATEGORIA</t>
        </is>
      </c>
      <c r="R9" t="n">
        <v>420525611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420525611</v>
      </c>
      <c r="Z9" t="n">
        <v>121199551</v>
      </c>
      <c r="AA9" t="n">
        <v>121199551</v>
      </c>
      <c r="AB9" t="n">
        <v>121199551</v>
      </c>
      <c r="AC9" t="n">
        <v>121199551</v>
      </c>
      <c r="AD9" t="n">
        <v>299326060</v>
      </c>
      <c r="AE9" t="n">
        <v>28.82</v>
      </c>
    </row>
    <row r="10">
      <c r="A10" t="inlineStr">
        <is>
          <t>1 - ADMINISTRACIÓN CENTRAL</t>
        </is>
      </c>
      <c r="B10" t="inlineStr">
        <is>
          <t>00 - SIN SECTOR</t>
        </is>
      </c>
      <c r="C10" t="inlineStr">
        <is>
          <t>00</t>
        </is>
      </c>
      <c r="D10" t="inlineStr">
        <is>
          <t>0000</t>
        </is>
      </c>
      <c r="E10" t="inlineStr">
        <is>
          <t>000000</t>
        </is>
      </c>
      <c r="F10" t="inlineStr">
        <is>
          <t>SIN PRODUCTO</t>
        </is>
      </c>
      <c r="G10" t="inlineStr">
        <is>
          <t>00</t>
        </is>
      </c>
      <c r="H10" t="inlineStr">
        <is>
          <t>00</t>
        </is>
      </c>
      <c r="I10" t="inlineStr">
        <is>
          <t>00</t>
        </is>
      </c>
      <c r="J10" t="inlineStr">
        <is>
          <t>SIN PRODUCTO DANE</t>
        </is>
      </c>
      <c r="K10" t="inlineStr">
        <is>
          <t>00</t>
        </is>
      </c>
      <c r="L10" t="inlineStr">
        <is>
          <t>SIN ATRIBUTO</t>
        </is>
      </c>
      <c r="N10" t="inlineStr">
        <is>
          <t>2.1.1.01.01.001.01</t>
        </is>
      </c>
      <c r="O10" t="inlineStr">
        <is>
          <t>Sueldo basico</t>
        </is>
      </c>
      <c r="P10" t="inlineStr">
        <is>
          <t>360</t>
        </is>
      </c>
      <c r="Q10" t="inlineStr">
        <is>
          <t>SGP PROPOSITO GENERAL 42 POR CIENTO RECURSOS LIBRE DESTINACION SGP PROPOSITO GENERAL MPIOS DE CATEGORIA 4 5 Y 6 SGP ONCE</t>
        </is>
      </c>
      <c r="R10" t="n">
        <v>84222946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84222946</v>
      </c>
      <c r="Z10" t="n">
        <v>81830446</v>
      </c>
      <c r="AA10" t="n">
        <v>81830446</v>
      </c>
      <c r="AB10" t="n">
        <v>81830446</v>
      </c>
      <c r="AC10" t="n">
        <v>81830446</v>
      </c>
      <c r="AD10" t="n">
        <v>2392500</v>
      </c>
      <c r="AE10" t="n">
        <v>97.16</v>
      </c>
    </row>
    <row r="11">
      <c r="A11" t="inlineStr">
        <is>
          <t>1 - ADMINISTRACIÓN CENTRAL</t>
        </is>
      </c>
      <c r="B11" t="inlineStr">
        <is>
          <t>00 - SIN SECTOR</t>
        </is>
      </c>
      <c r="C11" t="inlineStr">
        <is>
          <t>00</t>
        </is>
      </c>
      <c r="D11" t="inlineStr">
        <is>
          <t>0000</t>
        </is>
      </c>
      <c r="E11" t="inlineStr">
        <is>
          <t>000000</t>
        </is>
      </c>
      <c r="F11" t="inlineStr">
        <is>
          <t>SIN PRODUCTO</t>
        </is>
      </c>
      <c r="G11" t="inlineStr">
        <is>
          <t>00</t>
        </is>
      </c>
      <c r="H11" t="inlineStr">
        <is>
          <t>00</t>
        </is>
      </c>
      <c r="I11" t="inlineStr">
        <is>
          <t>00</t>
        </is>
      </c>
      <c r="J11" t="inlineStr">
        <is>
          <t>SIN PRODUCTO DANE</t>
        </is>
      </c>
      <c r="K11" t="inlineStr">
        <is>
          <t>00</t>
        </is>
      </c>
      <c r="L11" t="inlineStr">
        <is>
          <t>SIN ATRIBUTO</t>
        </is>
      </c>
      <c r="N11" t="inlineStr">
        <is>
          <t>2.1.1.01.01.001.04</t>
        </is>
      </c>
      <c r="O11" t="inlineStr">
        <is>
          <t>Subsidio de alimentacion</t>
        </is>
      </c>
      <c r="P11" t="inlineStr">
        <is>
          <t>360</t>
        </is>
      </c>
      <c r="Q11" t="inlineStr">
        <is>
          <t>SGP PROPOSITO GENERAL 42 POR CIENTO RECURSOS LIBRE DESTINACION SGP PROPOSITO GENERAL MPIOS DE CATEGORIA 4 5 Y 6 SGP ONCE</t>
        </is>
      </c>
      <c r="R11" t="n">
        <v>8891918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8891918</v>
      </c>
      <c r="Z11" t="n">
        <v>3637952</v>
      </c>
      <c r="AA11" t="n">
        <v>3637952</v>
      </c>
      <c r="AB11" t="n">
        <v>3637952</v>
      </c>
      <c r="AC11" t="n">
        <v>3637952</v>
      </c>
      <c r="AD11" t="n">
        <v>5253966</v>
      </c>
      <c r="AE11" t="n">
        <v>40.91</v>
      </c>
    </row>
    <row r="12">
      <c r="A12" t="inlineStr">
        <is>
          <t>1 - ADMINISTRACIÓN CENTRAL</t>
        </is>
      </c>
      <c r="B12" t="inlineStr">
        <is>
          <t>00 - SIN SECTOR</t>
        </is>
      </c>
      <c r="C12" t="inlineStr">
        <is>
          <t>00</t>
        </is>
      </c>
      <c r="D12" t="inlineStr">
        <is>
          <t>0000</t>
        </is>
      </c>
      <c r="E12" t="inlineStr">
        <is>
          <t>000000</t>
        </is>
      </c>
      <c r="F12" t="inlineStr">
        <is>
          <t>SIN PRODUCTO</t>
        </is>
      </c>
      <c r="G12" t="inlineStr">
        <is>
          <t>00</t>
        </is>
      </c>
      <c r="H12" t="inlineStr">
        <is>
          <t>00</t>
        </is>
      </c>
      <c r="I12" t="inlineStr">
        <is>
          <t>00</t>
        </is>
      </c>
      <c r="J12" t="inlineStr">
        <is>
          <t>SIN PRODUCTO DANE</t>
        </is>
      </c>
      <c r="K12" t="inlineStr">
        <is>
          <t>00</t>
        </is>
      </c>
      <c r="L12" t="inlineStr">
        <is>
          <t>SIN ATRIBUTO</t>
        </is>
      </c>
      <c r="N12" t="inlineStr">
        <is>
          <t>2.1.1.01.01.001.05</t>
        </is>
      </c>
      <c r="O12" t="inlineStr">
        <is>
          <t>Auxilio de transporte</t>
        </is>
      </c>
      <c r="P12" t="inlineStr">
        <is>
          <t>360</t>
        </is>
      </c>
      <c r="Q12" t="inlineStr">
        <is>
          <t>SGP PROPOSITO GENERAL 42 POR CIENTO RECURSOS LIBRE DESTINACION SGP PROPOSITO GENERAL MPIOS DE CATEGORIA 4 5 Y 6 SGP ONCE</t>
        </is>
      </c>
      <c r="R12" t="n">
        <v>17976000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17976000</v>
      </c>
      <c r="Z12" t="n">
        <v>8560565</v>
      </c>
      <c r="AA12" t="n">
        <v>8560565</v>
      </c>
      <c r="AB12" t="n">
        <v>8560565</v>
      </c>
      <c r="AC12" t="n">
        <v>8560565</v>
      </c>
      <c r="AD12" t="n">
        <v>9415435</v>
      </c>
      <c r="AE12" t="n">
        <v>47.62</v>
      </c>
    </row>
    <row r="13">
      <c r="A13" t="inlineStr">
        <is>
          <t>1 - ADMINISTRACIÓN CENTRAL</t>
        </is>
      </c>
      <c r="B13" t="inlineStr">
        <is>
          <t>00 - SIN SECTOR</t>
        </is>
      </c>
      <c r="C13" t="inlineStr">
        <is>
          <t>00</t>
        </is>
      </c>
      <c r="D13" t="inlineStr">
        <is>
          <t>0000</t>
        </is>
      </c>
      <c r="E13" t="inlineStr">
        <is>
          <t>000000</t>
        </is>
      </c>
      <c r="F13" t="inlineStr">
        <is>
          <t>SIN PRODUCTO</t>
        </is>
      </c>
      <c r="G13" t="inlineStr">
        <is>
          <t>00</t>
        </is>
      </c>
      <c r="H13" t="inlineStr">
        <is>
          <t>00</t>
        </is>
      </c>
      <c r="I13" t="inlineStr">
        <is>
          <t>00</t>
        </is>
      </c>
      <c r="J13" t="inlineStr">
        <is>
          <t>SIN PRODUCTO DANE</t>
        </is>
      </c>
      <c r="K13" t="inlineStr">
        <is>
          <t>00</t>
        </is>
      </c>
      <c r="L13" t="inlineStr">
        <is>
          <t>SIN ATRIBUTO</t>
        </is>
      </c>
      <c r="N13" t="inlineStr">
        <is>
          <t>2.1.1.01.01.001.06</t>
        </is>
      </c>
      <c r="O13" t="inlineStr">
        <is>
          <t>Prima de servicio</t>
        </is>
      </c>
      <c r="P13" t="inlineStr">
        <is>
          <t>360</t>
        </is>
      </c>
      <c r="Q13" t="inlineStr">
        <is>
          <t>SGP PROPOSITO GENERAL 42 POR CIENTO RECURSOS LIBRE DESTINACION SGP PROPOSITO GENERAL MPIOS DE CATEGORIA 4 5 Y 6 SGP ONCE</t>
        </is>
      </c>
      <c r="R13" t="n">
        <v>22109488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22109488</v>
      </c>
      <c r="Z13" t="n">
        <v>0</v>
      </c>
      <c r="AA13" t="n">
        <v>0</v>
      </c>
      <c r="AB13" t="n">
        <v>0</v>
      </c>
      <c r="AC13" t="n">
        <v>0</v>
      </c>
      <c r="AD13" t="n">
        <v>22109488</v>
      </c>
      <c r="AE13" t="n">
        <v>0</v>
      </c>
    </row>
    <row r="14">
      <c r="A14" t="inlineStr">
        <is>
          <t>1 - ADMINISTRACIÓN CENTRAL</t>
        </is>
      </c>
      <c r="B14" t="inlineStr">
        <is>
          <t>00 - SIN SECTOR</t>
        </is>
      </c>
      <c r="C14" t="inlineStr">
        <is>
          <t>00</t>
        </is>
      </c>
      <c r="D14" t="inlineStr">
        <is>
          <t>0000</t>
        </is>
      </c>
      <c r="E14" t="inlineStr">
        <is>
          <t>000000</t>
        </is>
      </c>
      <c r="F14" t="inlineStr">
        <is>
          <t>SIN PRODUCTO</t>
        </is>
      </c>
      <c r="G14" t="inlineStr">
        <is>
          <t>00</t>
        </is>
      </c>
      <c r="H14" t="inlineStr">
        <is>
          <t>00</t>
        </is>
      </c>
      <c r="I14" t="inlineStr">
        <is>
          <t>00</t>
        </is>
      </c>
      <c r="J14" t="inlineStr">
        <is>
          <t>SIN PRODUCTO DANE</t>
        </is>
      </c>
      <c r="K14" t="inlineStr">
        <is>
          <t>00</t>
        </is>
      </c>
      <c r="L14" t="inlineStr">
        <is>
          <t>SIN ATRIBUTO</t>
        </is>
      </c>
      <c r="N14" t="inlineStr">
        <is>
          <t>2.1.1.01.01.001.07</t>
        </is>
      </c>
      <c r="O14" t="inlineStr">
        <is>
          <t>Bonificacion por servicios prestados</t>
        </is>
      </c>
      <c r="P14" t="inlineStr">
        <is>
          <t>360</t>
        </is>
      </c>
      <c r="Q14" t="inlineStr">
        <is>
          <t>SGP PROPOSITO GENERAL 42 POR CIENTO RECURSOS LIBRE DESTINACION SGP PROPOSITO GENERAL MPIOS DE CATEGORIA 4 5 Y 6 SGP ONCE</t>
        </is>
      </c>
      <c r="R14" t="n">
        <v>16987259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16987259</v>
      </c>
      <c r="Z14" t="n">
        <v>10415841</v>
      </c>
      <c r="AA14" t="n">
        <v>10415841</v>
      </c>
      <c r="AB14" t="n">
        <v>10415841</v>
      </c>
      <c r="AC14" t="n">
        <v>10415841</v>
      </c>
      <c r="AD14" t="n">
        <v>6571418</v>
      </c>
      <c r="AE14" t="n">
        <v>61.32</v>
      </c>
    </row>
    <row r="15">
      <c r="A15" t="inlineStr">
        <is>
          <t>1 - ADMINISTRACIÓN CENTRAL</t>
        </is>
      </c>
      <c r="B15" t="inlineStr">
        <is>
          <t>00 - SIN SECTOR</t>
        </is>
      </c>
      <c r="C15" t="inlineStr">
        <is>
          <t>00</t>
        </is>
      </c>
      <c r="D15" t="inlineStr">
        <is>
          <t>0000</t>
        </is>
      </c>
      <c r="E15" t="inlineStr">
        <is>
          <t>000000</t>
        </is>
      </c>
      <c r="F15" t="inlineStr">
        <is>
          <t>SIN PRODUCTO</t>
        </is>
      </c>
      <c r="G15" t="inlineStr">
        <is>
          <t>00</t>
        </is>
      </c>
      <c r="H15" t="inlineStr">
        <is>
          <t>00</t>
        </is>
      </c>
      <c r="I15" t="inlineStr">
        <is>
          <t>00</t>
        </is>
      </c>
      <c r="J15" t="inlineStr">
        <is>
          <t>SIN PRODUCTO DANE</t>
        </is>
      </c>
      <c r="K15" t="inlineStr">
        <is>
          <t>00</t>
        </is>
      </c>
      <c r="L15" t="inlineStr">
        <is>
          <t>SIN ATRIBUTO</t>
        </is>
      </c>
      <c r="N15" t="inlineStr">
        <is>
          <t>2.1.1.01.01.001.08</t>
        </is>
      </c>
      <c r="O15" t="inlineStr">
        <is>
          <t>Prestaciones sociales</t>
        </is>
      </c>
      <c r="P15" t="inlineStr">
        <is>
          <t>00</t>
        </is>
      </c>
      <c r="Q15" t="inlineStr">
        <is>
          <t>RECURSOS</t>
        </is>
      </c>
      <c r="R15" t="n">
        <v>71011379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71011379</v>
      </c>
      <c r="Z15" t="n">
        <v>13845555</v>
      </c>
      <c r="AA15" t="n">
        <v>13845555</v>
      </c>
      <c r="AB15" t="n">
        <v>13845555</v>
      </c>
      <c r="AC15" t="n">
        <v>13845555</v>
      </c>
      <c r="AD15" t="n">
        <v>57165824</v>
      </c>
      <c r="AE15" t="n">
        <v>19.5</v>
      </c>
    </row>
    <row r="16">
      <c r="A16" t="inlineStr">
        <is>
          <t>1 - ADMINISTRACIÓN CENTRAL</t>
        </is>
      </c>
      <c r="B16" t="inlineStr">
        <is>
          <t>00 - SIN SECTOR</t>
        </is>
      </c>
      <c r="C16" t="inlineStr">
        <is>
          <t>00</t>
        </is>
      </c>
      <c r="D16" t="inlineStr">
        <is>
          <t>0000</t>
        </is>
      </c>
      <c r="E16" t="inlineStr">
        <is>
          <t>000000</t>
        </is>
      </c>
      <c r="F16" t="inlineStr">
        <is>
          <t>SIN PRODUCTO</t>
        </is>
      </c>
      <c r="G16" t="inlineStr">
        <is>
          <t>00</t>
        </is>
      </c>
      <c r="H16" t="inlineStr">
        <is>
          <t>00</t>
        </is>
      </c>
      <c r="I16" t="inlineStr">
        <is>
          <t>00</t>
        </is>
      </c>
      <c r="J16" t="inlineStr">
        <is>
          <t>SIN PRODUCTO DANE</t>
        </is>
      </c>
      <c r="K16" t="inlineStr">
        <is>
          <t>00</t>
        </is>
      </c>
      <c r="L16" t="inlineStr">
        <is>
          <t>SIN ATRIBUTO</t>
        </is>
      </c>
      <c r="N16" t="inlineStr">
        <is>
          <t>2.1.1.01.01.001.08.01</t>
        </is>
      </c>
      <c r="O16" t="inlineStr">
        <is>
          <t>Prima de navidad</t>
        </is>
      </c>
      <c r="P16" t="inlineStr">
        <is>
          <t>360</t>
        </is>
      </c>
      <c r="Q16" t="inlineStr">
        <is>
          <t>SGP PROPOSITO GENERAL 42 POR CIENTO RECURSOS LIBRE DESTINACION SGP PROPOSITO GENERAL MPIOS DE CATEGORIA 4 5 Y 6 SGP ONCE</t>
        </is>
      </c>
      <c r="R16" t="n">
        <v>47980661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47980661</v>
      </c>
      <c r="Z16" t="n">
        <v>0</v>
      </c>
      <c r="AA16" t="n">
        <v>0</v>
      </c>
      <c r="AB16" t="n">
        <v>0</v>
      </c>
      <c r="AC16" t="n">
        <v>0</v>
      </c>
      <c r="AD16" t="n">
        <v>47980661</v>
      </c>
      <c r="AE16" t="n">
        <v>0</v>
      </c>
    </row>
    <row r="17">
      <c r="A17" t="inlineStr">
        <is>
          <t>1 - ADMINISTRACIÓN CENTRAL</t>
        </is>
      </c>
      <c r="B17" t="inlineStr">
        <is>
          <t>00 - SIN SECTOR</t>
        </is>
      </c>
      <c r="C17" t="inlineStr">
        <is>
          <t>00</t>
        </is>
      </c>
      <c r="D17" t="inlineStr">
        <is>
          <t>0000</t>
        </is>
      </c>
      <c r="E17" t="inlineStr">
        <is>
          <t>000000</t>
        </is>
      </c>
      <c r="F17" t="inlineStr">
        <is>
          <t>SIN PRODUCTO</t>
        </is>
      </c>
      <c r="G17" t="inlineStr">
        <is>
          <t>00</t>
        </is>
      </c>
      <c r="H17" t="inlineStr">
        <is>
          <t>00</t>
        </is>
      </c>
      <c r="I17" t="inlineStr">
        <is>
          <t>00</t>
        </is>
      </c>
      <c r="J17" t="inlineStr">
        <is>
          <t>SIN PRODUCTO DANE</t>
        </is>
      </c>
      <c r="K17" t="inlineStr">
        <is>
          <t>00</t>
        </is>
      </c>
      <c r="L17" t="inlineStr">
        <is>
          <t>SIN ATRIBUTO</t>
        </is>
      </c>
      <c r="N17" t="inlineStr">
        <is>
          <t>2.1.1.01.01.001.08.02</t>
        </is>
      </c>
      <c r="O17" t="inlineStr">
        <is>
          <t>Prima de vacaciones</t>
        </is>
      </c>
      <c r="P17" t="inlineStr">
        <is>
          <t>360</t>
        </is>
      </c>
      <c r="Q17" t="inlineStr">
        <is>
          <t>SGP PROPOSITO GENERAL 42 POR CIENTO RECURSOS LIBRE DESTINACION SGP PROPOSITO GENERAL MPIOS DE CATEGORIA 4 5 Y 6 SGP ONCE</t>
        </is>
      </c>
      <c r="R17" t="n">
        <v>23030718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23030718</v>
      </c>
      <c r="Z17" t="n">
        <v>13845555</v>
      </c>
      <c r="AA17" t="n">
        <v>13845555</v>
      </c>
      <c r="AB17" t="n">
        <v>13845555</v>
      </c>
      <c r="AC17" t="n">
        <v>13845555</v>
      </c>
      <c r="AD17" t="n">
        <v>9185163</v>
      </c>
      <c r="AE17" t="n">
        <v>60.12</v>
      </c>
    </row>
    <row r="18">
      <c r="A18" t="inlineStr">
        <is>
          <t>1 - ADMINISTRACIÓN CENTRAL</t>
        </is>
      </c>
      <c r="B18" t="inlineStr">
        <is>
          <t>00 - SIN SECTOR</t>
        </is>
      </c>
      <c r="C18" t="inlineStr">
        <is>
          <t>00</t>
        </is>
      </c>
      <c r="D18" t="inlineStr">
        <is>
          <t>0000</t>
        </is>
      </c>
      <c r="E18" t="inlineStr">
        <is>
          <t>000000</t>
        </is>
      </c>
      <c r="F18" t="inlineStr">
        <is>
          <t>SIN PRODUCTO</t>
        </is>
      </c>
      <c r="G18" t="inlineStr">
        <is>
          <t>00</t>
        </is>
      </c>
      <c r="H18" t="inlineStr">
        <is>
          <t>00</t>
        </is>
      </c>
      <c r="I18" t="inlineStr">
        <is>
          <t>00</t>
        </is>
      </c>
      <c r="J18" t="inlineStr">
        <is>
          <t>SIN PRODUCTO DANE</t>
        </is>
      </c>
      <c r="K18" t="inlineStr">
        <is>
          <t>00</t>
        </is>
      </c>
      <c r="L18" t="inlineStr">
        <is>
          <t>SIN ATRIBUTO</t>
        </is>
      </c>
      <c r="N18" t="inlineStr">
        <is>
          <t>2.1.1.01.02</t>
        </is>
      </c>
      <c r="O18" t="inlineStr">
        <is>
          <t>Contribuciones inherentes a la nomina</t>
        </is>
      </c>
      <c r="P18" t="inlineStr">
        <is>
          <t>00</t>
        </is>
      </c>
      <c r="Q18" t="inlineStr">
        <is>
          <t>RECURSOS</t>
        </is>
      </c>
      <c r="R18" t="n">
        <v>300001527</v>
      </c>
      <c r="S18" t="n">
        <v>0</v>
      </c>
      <c r="T18" t="n">
        <v>0</v>
      </c>
      <c r="U18" t="n">
        <v>5430200</v>
      </c>
      <c r="V18" t="n">
        <v>5430200</v>
      </c>
      <c r="W18" t="n">
        <v>0</v>
      </c>
      <c r="X18" t="n">
        <v>0</v>
      </c>
      <c r="Y18" t="n">
        <v>300001527</v>
      </c>
      <c r="Z18" t="n">
        <v>136314495</v>
      </c>
      <c r="AA18" t="n">
        <v>136314495</v>
      </c>
      <c r="AB18" t="n">
        <v>136314495</v>
      </c>
      <c r="AC18" t="n">
        <v>136314495</v>
      </c>
      <c r="AD18" t="n">
        <v>163687032</v>
      </c>
      <c r="AE18" t="n">
        <v>45.44</v>
      </c>
    </row>
    <row r="19">
      <c r="A19" t="inlineStr">
        <is>
          <t>1 - ADMINISTRACIÓN CENTRAL</t>
        </is>
      </c>
      <c r="B19" t="inlineStr">
        <is>
          <t>00 - SIN SECTOR</t>
        </is>
      </c>
      <c r="C19" t="inlineStr">
        <is>
          <t>00</t>
        </is>
      </c>
      <c r="D19" t="inlineStr">
        <is>
          <t>0000</t>
        </is>
      </c>
      <c r="E19" t="inlineStr">
        <is>
          <t>000000</t>
        </is>
      </c>
      <c r="F19" t="inlineStr">
        <is>
          <t>SIN PRODUCTO</t>
        </is>
      </c>
      <c r="G19" t="inlineStr">
        <is>
          <t>00</t>
        </is>
      </c>
      <c r="H19" t="inlineStr">
        <is>
          <t>00</t>
        </is>
      </c>
      <c r="I19" t="inlineStr">
        <is>
          <t>00</t>
        </is>
      </c>
      <c r="J19" t="inlineStr">
        <is>
          <t>SIN PRODUCTO DANE</t>
        </is>
      </c>
      <c r="K19" t="inlineStr">
        <is>
          <t>00</t>
        </is>
      </c>
      <c r="L19" t="inlineStr">
        <is>
          <t>SIN ATRIBUTO</t>
        </is>
      </c>
      <c r="N19" t="inlineStr">
        <is>
          <t>2.1.1.01.02.001</t>
        </is>
      </c>
      <c r="O19" t="inlineStr">
        <is>
          <t>Aportes a la seguridad social en pensiones</t>
        </is>
      </c>
      <c r="P19" t="inlineStr">
        <is>
          <t>360</t>
        </is>
      </c>
      <c r="Q19" t="inlineStr">
        <is>
          <t>SGP PROPOSITO GENERAL 42 POR CIENTO RECURSOS LIBRE DESTINACION SGP PROPOSITO GENERAL MPIOS DE CATEGORIA 4 5 Y 6 SGP ONCE</t>
        </is>
      </c>
      <c r="R19" t="n">
        <v>63675332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63675332</v>
      </c>
      <c r="Z19" t="n">
        <v>25459300</v>
      </c>
      <c r="AA19" t="n">
        <v>25459300</v>
      </c>
      <c r="AB19" t="n">
        <v>25459300</v>
      </c>
      <c r="AC19" t="n">
        <v>25459300</v>
      </c>
      <c r="AD19" t="n">
        <v>38216032</v>
      </c>
      <c r="AE19" t="n">
        <v>39.98</v>
      </c>
    </row>
    <row r="20">
      <c r="A20" t="inlineStr">
        <is>
          <t>1 - ADMINISTRACIÓN CENTRAL</t>
        </is>
      </c>
      <c r="B20" t="inlineStr">
        <is>
          <t>00 - SIN SECTOR</t>
        </is>
      </c>
      <c r="C20" t="inlineStr">
        <is>
          <t>00</t>
        </is>
      </c>
      <c r="D20" t="inlineStr">
        <is>
          <t>0000</t>
        </is>
      </c>
      <c r="E20" t="inlineStr">
        <is>
          <t>000000</t>
        </is>
      </c>
      <c r="F20" t="inlineStr">
        <is>
          <t>SIN PRODUCTO</t>
        </is>
      </c>
      <c r="G20" t="inlineStr">
        <is>
          <t>00</t>
        </is>
      </c>
      <c r="H20" t="inlineStr">
        <is>
          <t>00</t>
        </is>
      </c>
      <c r="I20" t="inlineStr">
        <is>
          <t>00</t>
        </is>
      </c>
      <c r="J20" t="inlineStr">
        <is>
          <t>SIN PRODUCTO DANE</t>
        </is>
      </c>
      <c r="K20" t="inlineStr">
        <is>
          <t>00</t>
        </is>
      </c>
      <c r="L20" t="inlineStr">
        <is>
          <t>SIN ATRIBUTO</t>
        </is>
      </c>
      <c r="N20" t="inlineStr">
        <is>
          <t>2.1.1.01.02.002</t>
        </is>
      </c>
      <c r="O20" t="inlineStr">
        <is>
          <t>Aportes a la seguridad social en salud</t>
        </is>
      </c>
      <c r="P20" t="inlineStr">
        <is>
          <t>360</t>
        </is>
      </c>
      <c r="Q20" t="inlineStr">
        <is>
          <t>SGP PROPOSITO GENERAL 42 POR CIENTO RECURSOS LIBRE DESTINACION SGP PROPOSITO GENERAL MPIOS DE CATEGORIA 4 5 Y 6 SGP ONCE</t>
        </is>
      </c>
      <c r="R20" t="n">
        <v>45103367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45103367</v>
      </c>
      <c r="Z20" t="n">
        <v>18032900</v>
      </c>
      <c r="AA20" t="n">
        <v>18032900</v>
      </c>
      <c r="AB20" t="n">
        <v>18032900</v>
      </c>
      <c r="AC20" t="n">
        <v>18032900</v>
      </c>
      <c r="AD20" t="n">
        <v>27070467</v>
      </c>
      <c r="AE20" t="n">
        <v>39.98</v>
      </c>
    </row>
    <row r="21">
      <c r="A21" t="inlineStr">
        <is>
          <t>1 - ADMINISTRACIÓN CENTRAL</t>
        </is>
      </c>
      <c r="B21" t="inlineStr">
        <is>
          <t>00 - SIN SECTOR</t>
        </is>
      </c>
      <c r="C21" t="inlineStr">
        <is>
          <t>00</t>
        </is>
      </c>
      <c r="D21" t="inlineStr">
        <is>
          <t>0000</t>
        </is>
      </c>
      <c r="E21" t="inlineStr">
        <is>
          <t>000000</t>
        </is>
      </c>
      <c r="F21" t="inlineStr">
        <is>
          <t>SIN PRODUCTO</t>
        </is>
      </c>
      <c r="G21" t="inlineStr">
        <is>
          <t>00</t>
        </is>
      </c>
      <c r="H21" t="inlineStr">
        <is>
          <t>00</t>
        </is>
      </c>
      <c r="I21" t="inlineStr">
        <is>
          <t>00</t>
        </is>
      </c>
      <c r="J21" t="inlineStr">
        <is>
          <t>SIN PRODUCTO DANE</t>
        </is>
      </c>
      <c r="K21" t="inlineStr">
        <is>
          <t>00</t>
        </is>
      </c>
      <c r="L21" t="inlineStr">
        <is>
          <t>SIN ATRIBUTO</t>
        </is>
      </c>
      <c r="N21" t="inlineStr">
        <is>
          <t>2.1.1.01.02.003</t>
        </is>
      </c>
      <c r="O21" t="inlineStr">
        <is>
          <t xml:space="preserve">Aportes de cesantias </t>
        </is>
      </c>
      <c r="P21" t="inlineStr">
        <is>
          <t>00</t>
        </is>
      </c>
      <c r="Q21" t="inlineStr">
        <is>
          <t>RECURSOS</t>
        </is>
      </c>
      <c r="R21" t="n">
        <v>58216536</v>
      </c>
      <c r="S21" t="n">
        <v>0</v>
      </c>
      <c r="T21" t="n">
        <v>0</v>
      </c>
      <c r="U21" t="n">
        <v>0</v>
      </c>
      <c r="V21" t="n">
        <v>4589600</v>
      </c>
      <c r="W21" t="n">
        <v>0</v>
      </c>
      <c r="X21" t="n">
        <v>0</v>
      </c>
      <c r="Y21" t="n">
        <v>53626936</v>
      </c>
      <c r="Z21" t="n">
        <v>48027395</v>
      </c>
      <c r="AA21" t="n">
        <v>48027395</v>
      </c>
      <c r="AB21" t="n">
        <v>48027395</v>
      </c>
      <c r="AC21" t="n">
        <v>48027395</v>
      </c>
      <c r="AD21" t="n">
        <v>5599541</v>
      </c>
      <c r="AE21" t="n">
        <v>89.56</v>
      </c>
    </row>
    <row r="22">
      <c r="A22" t="inlineStr">
        <is>
          <t>1 - ADMINISTRACIÓN CENTRAL</t>
        </is>
      </c>
      <c r="B22" t="inlineStr">
        <is>
          <t>00 - SIN SECTOR</t>
        </is>
      </c>
      <c r="C22" t="inlineStr">
        <is>
          <t>00</t>
        </is>
      </c>
      <c r="D22" t="inlineStr">
        <is>
          <t>0000</t>
        </is>
      </c>
      <c r="E22" t="inlineStr">
        <is>
          <t>000000</t>
        </is>
      </c>
      <c r="F22" t="inlineStr">
        <is>
          <t>SIN PRODUCTO</t>
        </is>
      </c>
      <c r="G22" t="inlineStr">
        <is>
          <t>00</t>
        </is>
      </c>
      <c r="H22" t="inlineStr">
        <is>
          <t>00</t>
        </is>
      </c>
      <c r="I22" t="inlineStr">
        <is>
          <t>00</t>
        </is>
      </c>
      <c r="J22" t="inlineStr">
        <is>
          <t>SIN PRODUCTO DANE</t>
        </is>
      </c>
      <c r="K22" t="inlineStr">
        <is>
          <t>00</t>
        </is>
      </c>
      <c r="L22" t="inlineStr">
        <is>
          <t>SIN ATRIBUTO</t>
        </is>
      </c>
      <c r="N22" t="inlineStr">
        <is>
          <t>2.1.1.01.02.003.01</t>
        </is>
      </c>
      <c r="O22" t="inlineStr">
        <is>
          <t>Aportes de cesantias</t>
        </is>
      </c>
      <c r="P22" t="inlineStr">
        <is>
          <t>360</t>
        </is>
      </c>
      <c r="Q22" t="inlineStr">
        <is>
          <t>SGP PROPOSITO GENERAL 42 POR CIENTO RECURSOS LIBRE DESTINACION SGP PROPOSITO GENERAL MPIOS DE CATEGORIA 4 5 Y 6 SGP ONCE</t>
        </is>
      </c>
      <c r="R22" t="n">
        <v>51979048</v>
      </c>
      <c r="S22" t="n">
        <v>0</v>
      </c>
      <c r="T22" t="n">
        <v>0</v>
      </c>
      <c r="U22" t="n">
        <v>0</v>
      </c>
      <c r="V22" t="n">
        <v>4589600</v>
      </c>
      <c r="W22" t="n">
        <v>0</v>
      </c>
      <c r="X22" t="n">
        <v>0</v>
      </c>
      <c r="Y22" t="n">
        <v>47389448</v>
      </c>
      <c r="Z22" t="n">
        <v>43049935</v>
      </c>
      <c r="AA22" t="n">
        <v>43049935</v>
      </c>
      <c r="AB22" t="n">
        <v>43049935</v>
      </c>
      <c r="AC22" t="n">
        <v>43049935</v>
      </c>
      <c r="AD22" t="n">
        <v>4339513</v>
      </c>
      <c r="AE22" t="n">
        <v>90.84</v>
      </c>
    </row>
    <row r="23">
      <c r="A23" t="inlineStr">
        <is>
          <t>1 - ADMINISTRACIÓN CENTRAL</t>
        </is>
      </c>
      <c r="B23" t="inlineStr">
        <is>
          <t>00 - SIN SECTOR</t>
        </is>
      </c>
      <c r="C23" t="inlineStr">
        <is>
          <t>00</t>
        </is>
      </c>
      <c r="D23" t="inlineStr">
        <is>
          <t>0000</t>
        </is>
      </c>
      <c r="E23" t="inlineStr">
        <is>
          <t>000000</t>
        </is>
      </c>
      <c r="F23" t="inlineStr">
        <is>
          <t>SIN PRODUCTO</t>
        </is>
      </c>
      <c r="G23" t="inlineStr">
        <is>
          <t>00</t>
        </is>
      </c>
      <c r="H23" t="inlineStr">
        <is>
          <t>00</t>
        </is>
      </c>
      <c r="I23" t="inlineStr">
        <is>
          <t>00</t>
        </is>
      </c>
      <c r="J23" t="inlineStr">
        <is>
          <t>SIN PRODUCTO DANE</t>
        </is>
      </c>
      <c r="K23" t="inlineStr">
        <is>
          <t>00</t>
        </is>
      </c>
      <c r="L23" t="inlineStr">
        <is>
          <t>SIN ATRIBUTO</t>
        </is>
      </c>
      <c r="N23" t="inlineStr">
        <is>
          <t>2.1.1.01.02.003.02</t>
        </is>
      </c>
      <c r="O23" t="inlineStr">
        <is>
          <t>Aportes de cesantias - Intereses</t>
        </is>
      </c>
      <c r="P23" t="inlineStr">
        <is>
          <t>360</t>
        </is>
      </c>
      <c r="Q23" t="inlineStr">
        <is>
          <t>SGP PROPOSITO GENERAL 42 POR CIENTO RECURSOS LIBRE DESTINACION SGP PROPOSITO GENERAL MPIOS DE CATEGORIA 4 5 Y 6 SGP ONCE</t>
        </is>
      </c>
      <c r="R23" t="n">
        <v>6237488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6237488</v>
      </c>
      <c r="Z23" t="n">
        <v>4977460</v>
      </c>
      <c r="AA23" t="n">
        <v>4977460</v>
      </c>
      <c r="AB23" t="n">
        <v>4977460</v>
      </c>
      <c r="AC23" t="n">
        <v>4977460</v>
      </c>
      <c r="AD23" t="n">
        <v>1260028</v>
      </c>
      <c r="AE23" t="n">
        <v>79.8</v>
      </c>
    </row>
    <row r="24">
      <c r="A24" t="inlineStr">
        <is>
          <t>1 - ADMINISTRACIÓN CENTRAL</t>
        </is>
      </c>
      <c r="B24" t="inlineStr">
        <is>
          <t>00 - SIN SECTOR</t>
        </is>
      </c>
      <c r="C24" t="inlineStr">
        <is>
          <t>00</t>
        </is>
      </c>
      <c r="D24" t="inlineStr">
        <is>
          <t>0000</t>
        </is>
      </c>
      <c r="E24" t="inlineStr">
        <is>
          <t>000000</t>
        </is>
      </c>
      <c r="F24" t="inlineStr">
        <is>
          <t>SIN PRODUCTO</t>
        </is>
      </c>
      <c r="G24" t="inlineStr">
        <is>
          <t>00</t>
        </is>
      </c>
      <c r="H24" t="inlineStr">
        <is>
          <t>00</t>
        </is>
      </c>
      <c r="I24" t="inlineStr">
        <is>
          <t>00</t>
        </is>
      </c>
      <c r="J24" t="inlineStr">
        <is>
          <t>SIN PRODUCTO DANE</t>
        </is>
      </c>
      <c r="K24" t="inlineStr">
        <is>
          <t>00</t>
        </is>
      </c>
      <c r="L24" t="inlineStr">
        <is>
          <t>SIN ATRIBUTO</t>
        </is>
      </c>
      <c r="N24" t="inlineStr">
        <is>
          <t>2.1.1.01.02.004</t>
        </is>
      </c>
      <c r="O24" t="inlineStr">
        <is>
          <t>Aportes a cajas de compensacion familiar</t>
        </is>
      </c>
      <c r="P24" t="inlineStr">
        <is>
          <t>360</t>
        </is>
      </c>
      <c r="Q24" t="inlineStr">
        <is>
          <t>SGP PROPOSITO GENERAL 42 POR CIENTO RECURSOS LIBRE DESTINACION SGP PROPOSITO GENERAL MPIOS DE CATEGORIA 4 5 Y 6 SGP ONCE</t>
        </is>
      </c>
      <c r="R24" t="n">
        <v>25945408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25945408</v>
      </c>
      <c r="Z24" t="n">
        <v>9723800</v>
      </c>
      <c r="AA24" t="n">
        <v>9723800</v>
      </c>
      <c r="AB24" t="n">
        <v>9723800</v>
      </c>
      <c r="AC24" t="n">
        <v>9723800</v>
      </c>
      <c r="AD24" t="n">
        <v>16221608</v>
      </c>
      <c r="AE24" t="n">
        <v>37.48</v>
      </c>
    </row>
    <row r="25">
      <c r="A25" t="inlineStr">
        <is>
          <t>1 - ADMINISTRACIÓN CENTRAL</t>
        </is>
      </c>
      <c r="B25" t="inlineStr">
        <is>
          <t>00 - SIN SECTOR</t>
        </is>
      </c>
      <c r="C25" t="inlineStr">
        <is>
          <t>00</t>
        </is>
      </c>
      <c r="D25" t="inlineStr">
        <is>
          <t>0000</t>
        </is>
      </c>
      <c r="E25" t="inlineStr">
        <is>
          <t>000000</t>
        </is>
      </c>
      <c r="F25" t="inlineStr">
        <is>
          <t>SIN PRODUCTO</t>
        </is>
      </c>
      <c r="G25" t="inlineStr">
        <is>
          <t>00</t>
        </is>
      </c>
      <c r="H25" t="inlineStr">
        <is>
          <t>00</t>
        </is>
      </c>
      <c r="I25" t="inlineStr">
        <is>
          <t>00</t>
        </is>
      </c>
      <c r="J25" t="inlineStr">
        <is>
          <t>SIN PRODUCTO DANE</t>
        </is>
      </c>
      <c r="K25" t="inlineStr">
        <is>
          <t>00</t>
        </is>
      </c>
      <c r="L25" t="inlineStr">
        <is>
          <t>SIN ATRIBUTO</t>
        </is>
      </c>
      <c r="N25" t="inlineStr">
        <is>
          <t>2.1.1.01.02.005</t>
        </is>
      </c>
      <c r="O25" t="inlineStr">
        <is>
          <t>Aportes generales al sistema de riesgos laborales</t>
        </is>
      </c>
      <c r="P25" t="inlineStr">
        <is>
          <t>360</t>
        </is>
      </c>
      <c r="Q25" t="inlineStr">
        <is>
          <t>SGP PROPOSITO GENERAL 42 POR CIENTO RECURSOS LIBRE DESTINACION SGP PROPOSITO GENERAL MPIOS DE CATEGORIA 4 5 Y 6 SGP ONCE</t>
        </is>
      </c>
      <c r="R25" t="n">
        <v>2929074</v>
      </c>
      <c r="S25" t="n">
        <v>0</v>
      </c>
      <c r="T25" t="n">
        <v>0</v>
      </c>
      <c r="U25" t="n">
        <v>4589600</v>
      </c>
      <c r="V25" t="n">
        <v>0</v>
      </c>
      <c r="W25" t="n">
        <v>0</v>
      </c>
      <c r="X25" t="n">
        <v>0</v>
      </c>
      <c r="Y25" t="n">
        <v>7518674</v>
      </c>
      <c r="Z25" t="n">
        <v>3086600</v>
      </c>
      <c r="AA25" t="n">
        <v>3086600</v>
      </c>
      <c r="AB25" t="n">
        <v>3086600</v>
      </c>
      <c r="AC25" t="n">
        <v>3086600</v>
      </c>
      <c r="AD25" t="n">
        <v>4432074</v>
      </c>
      <c r="AE25" t="n">
        <v>41.05</v>
      </c>
    </row>
    <row r="26">
      <c r="A26" t="inlineStr">
        <is>
          <t>1 - ADMINISTRACIÓN CENTRAL</t>
        </is>
      </c>
      <c r="B26" t="inlineStr">
        <is>
          <t>00 - SIN SECTOR</t>
        </is>
      </c>
      <c r="C26" t="inlineStr">
        <is>
          <t>00</t>
        </is>
      </c>
      <c r="D26" t="inlineStr">
        <is>
          <t>0000</t>
        </is>
      </c>
      <c r="E26" t="inlineStr">
        <is>
          <t>000000</t>
        </is>
      </c>
      <c r="F26" t="inlineStr">
        <is>
          <t>SIN PRODUCTO</t>
        </is>
      </c>
      <c r="G26" t="inlineStr">
        <is>
          <t>00</t>
        </is>
      </c>
      <c r="H26" t="inlineStr">
        <is>
          <t>00</t>
        </is>
      </c>
      <c r="I26" t="inlineStr">
        <is>
          <t>00</t>
        </is>
      </c>
      <c r="J26" t="inlineStr">
        <is>
          <t>SIN PRODUCTO DANE</t>
        </is>
      </c>
      <c r="K26" t="inlineStr">
        <is>
          <t>00</t>
        </is>
      </c>
      <c r="L26" t="inlineStr">
        <is>
          <t>SIN ATRIBUTO</t>
        </is>
      </c>
      <c r="N26" t="inlineStr">
        <is>
          <t>2.1.1.01.02.006</t>
        </is>
      </c>
      <c r="O26" t="inlineStr">
        <is>
          <t>Aportes al icbf</t>
        </is>
      </c>
      <c r="P26" t="inlineStr">
        <is>
          <t>360</t>
        </is>
      </c>
      <c r="Q26" t="inlineStr">
        <is>
          <t>SGP PROPOSITO GENERAL 42 POR CIENTO RECURSOS LIBRE DESTINACION SGP PROPOSITO GENERAL MPIOS DE CATEGORIA 4 5 Y 6 SGP ONCE</t>
        </is>
      </c>
      <c r="R26" t="n">
        <v>19459060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19459060</v>
      </c>
      <c r="Z26" t="n">
        <v>7293000</v>
      </c>
      <c r="AA26" t="n">
        <v>7293000</v>
      </c>
      <c r="AB26" t="n">
        <v>7293000</v>
      </c>
      <c r="AC26" t="n">
        <v>7293000</v>
      </c>
      <c r="AD26" t="n">
        <v>12166060</v>
      </c>
      <c r="AE26" t="n">
        <v>37.48</v>
      </c>
    </row>
    <row r="27">
      <c r="A27" t="inlineStr">
        <is>
          <t>1 - ADMINISTRACIÓN CENTRAL</t>
        </is>
      </c>
      <c r="B27" t="inlineStr">
        <is>
          <t>00 - SIN SECTOR</t>
        </is>
      </c>
      <c r="C27" t="inlineStr">
        <is>
          <t>00</t>
        </is>
      </c>
      <c r="D27" t="inlineStr">
        <is>
          <t>0000</t>
        </is>
      </c>
      <c r="E27" t="inlineStr">
        <is>
          <t>000000</t>
        </is>
      </c>
      <c r="F27" t="inlineStr">
        <is>
          <t>SIN PRODUCTO</t>
        </is>
      </c>
      <c r="G27" t="inlineStr">
        <is>
          <t>00</t>
        </is>
      </c>
      <c r="H27" t="inlineStr">
        <is>
          <t>00</t>
        </is>
      </c>
      <c r="I27" t="inlineStr">
        <is>
          <t>00</t>
        </is>
      </c>
      <c r="J27" t="inlineStr">
        <is>
          <t>SIN PRODUCTO DANE</t>
        </is>
      </c>
      <c r="K27" t="inlineStr">
        <is>
          <t>00</t>
        </is>
      </c>
      <c r="L27" t="inlineStr">
        <is>
          <t>SIN ATRIBUTO</t>
        </is>
      </c>
      <c r="N27" t="inlineStr">
        <is>
          <t>2.1.1.01.02.007</t>
        </is>
      </c>
      <c r="O27" t="inlineStr">
        <is>
          <t>Aportes al sena</t>
        </is>
      </c>
      <c r="P27" t="inlineStr">
        <is>
          <t>360</t>
        </is>
      </c>
      <c r="Q27" t="inlineStr">
        <is>
          <t>SGP PROPOSITO GENERAL 42 POR CIENTO RECURSOS LIBRE DESTINACION SGP PROPOSITO GENERAL MPIOS DE CATEGORIA 4 5 Y 6 SGP ONCE</t>
        </is>
      </c>
      <c r="R27" t="n">
        <v>3243183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3243183</v>
      </c>
      <c r="Z27" t="n">
        <v>1218300</v>
      </c>
      <c r="AA27" t="n">
        <v>1218300</v>
      </c>
      <c r="AB27" t="n">
        <v>1218300</v>
      </c>
      <c r="AC27" t="n">
        <v>1218300</v>
      </c>
      <c r="AD27" t="n">
        <v>2024883</v>
      </c>
      <c r="AE27" t="n">
        <v>37.56</v>
      </c>
    </row>
    <row r="28">
      <c r="A28" t="inlineStr">
        <is>
          <t>1 - ADMINISTRACIÓN CENTRAL</t>
        </is>
      </c>
      <c r="B28" t="inlineStr">
        <is>
          <t>00 - SIN SECTOR</t>
        </is>
      </c>
      <c r="C28" t="inlineStr">
        <is>
          <t>00</t>
        </is>
      </c>
      <c r="D28" t="inlineStr">
        <is>
          <t>0000</t>
        </is>
      </c>
      <c r="E28" t="inlineStr">
        <is>
          <t>000000</t>
        </is>
      </c>
      <c r="F28" t="inlineStr">
        <is>
          <t>SIN PRODUCTO</t>
        </is>
      </c>
      <c r="G28" t="inlineStr">
        <is>
          <t>00</t>
        </is>
      </c>
      <c r="H28" t="inlineStr">
        <is>
          <t>00</t>
        </is>
      </c>
      <c r="I28" t="inlineStr">
        <is>
          <t>00</t>
        </is>
      </c>
      <c r="J28" t="inlineStr">
        <is>
          <t>SIN PRODUCTO DANE</t>
        </is>
      </c>
      <c r="K28" t="inlineStr">
        <is>
          <t>00</t>
        </is>
      </c>
      <c r="L28" t="inlineStr">
        <is>
          <t>SIN ATRIBUTO</t>
        </is>
      </c>
      <c r="N28" t="inlineStr">
        <is>
          <t>2.1.1.01.02.008</t>
        </is>
      </c>
      <c r="O28" t="inlineStr">
        <is>
          <t>Aportes a la esap</t>
        </is>
      </c>
      <c r="P28" t="inlineStr">
        <is>
          <t>360</t>
        </is>
      </c>
      <c r="Q28" t="inlineStr">
        <is>
          <t>SGP PROPOSITO GENERAL 42 POR CIENTO RECURSOS LIBRE DESTINACION SGP PROPOSITO GENERAL MPIOS DE CATEGORIA 4 5 Y 6 SGP ONCE</t>
        </is>
      </c>
      <c r="R28" t="n">
        <v>3243183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3243183</v>
      </c>
      <c r="Z28" t="n">
        <v>1218300</v>
      </c>
      <c r="AA28" t="n">
        <v>1218300</v>
      </c>
      <c r="AB28" t="n">
        <v>1218300</v>
      </c>
      <c r="AC28" t="n">
        <v>1218300</v>
      </c>
      <c r="AD28" t="n">
        <v>2024883</v>
      </c>
      <c r="AE28" t="n">
        <v>37.56</v>
      </c>
    </row>
    <row r="29">
      <c r="A29" t="inlineStr">
        <is>
          <t>1 - ADMINISTRACIÓN CENTRAL</t>
        </is>
      </c>
      <c r="B29" t="inlineStr">
        <is>
          <t>00 - SIN SECTOR</t>
        </is>
      </c>
      <c r="C29" t="inlineStr">
        <is>
          <t>00</t>
        </is>
      </c>
      <c r="D29" t="inlineStr">
        <is>
          <t>0000</t>
        </is>
      </c>
      <c r="E29" t="inlineStr">
        <is>
          <t>000000</t>
        </is>
      </c>
      <c r="F29" t="inlineStr">
        <is>
          <t>SIN PRODUCTO</t>
        </is>
      </c>
      <c r="G29" t="inlineStr">
        <is>
          <t>00</t>
        </is>
      </c>
      <c r="H29" t="inlineStr">
        <is>
          <t>00</t>
        </is>
      </c>
      <c r="I29" t="inlineStr">
        <is>
          <t>00</t>
        </is>
      </c>
      <c r="J29" t="inlineStr">
        <is>
          <t>SIN PRODUCTO DANE</t>
        </is>
      </c>
      <c r="K29" t="inlineStr">
        <is>
          <t>00</t>
        </is>
      </c>
      <c r="L29" t="inlineStr">
        <is>
          <t>SIN ATRIBUTO</t>
        </is>
      </c>
      <c r="N29" t="inlineStr">
        <is>
          <t>2.1.1.01.02.009</t>
        </is>
      </c>
      <c r="O29" t="inlineStr">
        <is>
          <t>Aportes a escuelas industriales e institutos tecnicos</t>
        </is>
      </c>
      <c r="P29" t="inlineStr">
        <is>
          <t>360</t>
        </is>
      </c>
      <c r="Q29" t="inlineStr">
        <is>
          <t>SGP PROPOSITO GENERAL 42 POR CIENTO RECURSOS LIBRE DESTINACION SGP PROPOSITO GENERAL MPIOS DE CATEGORIA 4 5 Y 6 SGP ONCE</t>
        </is>
      </c>
      <c r="R29" t="n">
        <v>6486359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6486359</v>
      </c>
      <c r="Z29" t="n">
        <v>2433000</v>
      </c>
      <c r="AA29" t="n">
        <v>2433000</v>
      </c>
      <c r="AB29" t="n">
        <v>2433000</v>
      </c>
      <c r="AC29" t="n">
        <v>2433000</v>
      </c>
      <c r="AD29" t="n">
        <v>4053359</v>
      </c>
      <c r="AE29" t="n">
        <v>37.51</v>
      </c>
    </row>
    <row r="30">
      <c r="A30" t="inlineStr">
        <is>
          <t>1 - ADMINISTRACIÓN CENTRAL</t>
        </is>
      </c>
      <c r="B30" t="inlineStr">
        <is>
          <t>00 - SIN SECTOR</t>
        </is>
      </c>
      <c r="C30" t="inlineStr">
        <is>
          <t>00</t>
        </is>
      </c>
      <c r="D30" t="inlineStr">
        <is>
          <t>0000</t>
        </is>
      </c>
      <c r="E30" t="inlineStr">
        <is>
          <t>000000</t>
        </is>
      </c>
      <c r="F30" t="inlineStr">
        <is>
          <t>SIN PRODUCTO</t>
        </is>
      </c>
      <c r="G30" t="inlineStr">
        <is>
          <t>00</t>
        </is>
      </c>
      <c r="H30" t="inlineStr">
        <is>
          <t>00</t>
        </is>
      </c>
      <c r="I30" t="inlineStr">
        <is>
          <t>00</t>
        </is>
      </c>
      <c r="J30" t="inlineStr">
        <is>
          <t>SIN PRODUCTO DANE</t>
        </is>
      </c>
      <c r="K30" t="inlineStr">
        <is>
          <t>00</t>
        </is>
      </c>
      <c r="L30" t="inlineStr">
        <is>
          <t>SIN ATRIBUTO</t>
        </is>
      </c>
      <c r="N30" t="inlineStr">
        <is>
          <t>2.1.1.01.02.020</t>
        </is>
      </c>
      <c r="O30" t="inlineStr">
        <is>
          <t>Contribuciones inherentes a la nomina de diputados o concejales</t>
        </is>
      </c>
      <c r="P30" t="inlineStr">
        <is>
          <t>00</t>
        </is>
      </c>
      <c r="Q30" t="inlineStr">
        <is>
          <t>RECURSOS</t>
        </is>
      </c>
      <c r="R30" t="n">
        <v>71700025</v>
      </c>
      <c r="S30" t="n">
        <v>0</v>
      </c>
      <c r="T30" t="n">
        <v>0</v>
      </c>
      <c r="U30" t="n">
        <v>840600</v>
      </c>
      <c r="V30" t="n">
        <v>840600</v>
      </c>
      <c r="W30" t="n">
        <v>0</v>
      </c>
      <c r="X30" t="n">
        <v>0</v>
      </c>
      <c r="Y30" t="n">
        <v>71700025</v>
      </c>
      <c r="Z30" t="n">
        <v>19821900</v>
      </c>
      <c r="AA30" t="n">
        <v>19821900</v>
      </c>
      <c r="AB30" t="n">
        <v>19821900</v>
      </c>
      <c r="AC30" t="n">
        <v>19821900</v>
      </c>
      <c r="AD30" t="n">
        <v>51878125</v>
      </c>
      <c r="AE30" t="n">
        <v>27.65</v>
      </c>
    </row>
    <row r="31">
      <c r="A31" t="inlineStr">
        <is>
          <t>1 - ADMINISTRACIÓN CENTRAL</t>
        </is>
      </c>
      <c r="B31" t="inlineStr">
        <is>
          <t>00 - SIN SECTOR</t>
        </is>
      </c>
      <c r="C31" t="inlineStr">
        <is>
          <t>00</t>
        </is>
      </c>
      <c r="D31" t="inlineStr">
        <is>
          <t>0000</t>
        </is>
      </c>
      <c r="E31" t="inlineStr">
        <is>
          <t>000000</t>
        </is>
      </c>
      <c r="F31" t="inlineStr">
        <is>
          <t>SIN PRODUCTO</t>
        </is>
      </c>
      <c r="G31" t="inlineStr">
        <is>
          <t>00</t>
        </is>
      </c>
      <c r="H31" t="inlineStr">
        <is>
          <t>00</t>
        </is>
      </c>
      <c r="I31" t="inlineStr">
        <is>
          <t>00</t>
        </is>
      </c>
      <c r="J31" t="inlineStr">
        <is>
          <t>SIN PRODUCTO DANE</t>
        </is>
      </c>
      <c r="K31" t="inlineStr">
        <is>
          <t>00</t>
        </is>
      </c>
      <c r="L31" t="inlineStr">
        <is>
          <t>SIN ATRIBUTO</t>
        </is>
      </c>
      <c r="N31" t="inlineStr">
        <is>
          <t>2.1.1.01.02.020.01</t>
        </is>
      </c>
      <c r="O31" t="inlineStr">
        <is>
          <t>Aportes a la seguridad social en pensiones</t>
        </is>
      </c>
      <c r="P31" t="inlineStr">
        <is>
          <t>360</t>
        </is>
      </c>
      <c r="Q31" t="inlineStr">
        <is>
          <t>SGP PROPOSITO GENERAL 42 POR CIENTO RECURSOS LIBRE DESTINACION SGP PROPOSITO GENERAL MPIOS DE CATEGORIA 4 5 Y 6 SGP ONCE</t>
        </is>
      </c>
      <c r="R31" t="n">
        <v>37548864</v>
      </c>
      <c r="S31" t="n">
        <v>0</v>
      </c>
      <c r="T31" t="n">
        <v>0</v>
      </c>
      <c r="U31" t="n">
        <v>0</v>
      </c>
      <c r="V31" t="n">
        <v>840600</v>
      </c>
      <c r="W31" t="n">
        <v>0</v>
      </c>
      <c r="X31" t="n">
        <v>0</v>
      </c>
      <c r="Y31" t="n">
        <v>36708264</v>
      </c>
      <c r="Z31" t="n">
        <v>7653500</v>
      </c>
      <c r="AA31" t="n">
        <v>7653500</v>
      </c>
      <c r="AB31" t="n">
        <v>7653500</v>
      </c>
      <c r="AC31" t="n">
        <v>7653500</v>
      </c>
      <c r="AD31" t="n">
        <v>29054764</v>
      </c>
      <c r="AE31" t="n">
        <v>20.85</v>
      </c>
    </row>
    <row r="32">
      <c r="A32" t="inlineStr">
        <is>
          <t>1 - ADMINISTRACIÓN CENTRAL</t>
        </is>
      </c>
      <c r="B32" t="inlineStr">
        <is>
          <t>00 - SIN SECTOR</t>
        </is>
      </c>
      <c r="C32" t="inlineStr">
        <is>
          <t>00</t>
        </is>
      </c>
      <c r="D32" t="inlineStr">
        <is>
          <t>0000</t>
        </is>
      </c>
      <c r="E32" t="inlineStr">
        <is>
          <t>000000</t>
        </is>
      </c>
      <c r="F32" t="inlineStr">
        <is>
          <t>SIN PRODUCTO</t>
        </is>
      </c>
      <c r="G32" t="inlineStr">
        <is>
          <t>00</t>
        </is>
      </c>
      <c r="H32" t="inlineStr">
        <is>
          <t>00</t>
        </is>
      </c>
      <c r="I32" t="inlineStr">
        <is>
          <t>00</t>
        </is>
      </c>
      <c r="J32" t="inlineStr">
        <is>
          <t>SIN PRODUCTO DANE</t>
        </is>
      </c>
      <c r="K32" t="inlineStr">
        <is>
          <t>00</t>
        </is>
      </c>
      <c r="L32" t="inlineStr">
        <is>
          <t>SIN ATRIBUTO</t>
        </is>
      </c>
      <c r="N32" t="inlineStr">
        <is>
          <t>2.1.1.01.02.020.02</t>
        </is>
      </c>
      <c r="O32" t="inlineStr">
        <is>
          <t>Aportes a la seguridad social en salud</t>
        </is>
      </c>
      <c r="P32" t="inlineStr">
        <is>
          <t>360</t>
        </is>
      </c>
      <c r="Q32" t="inlineStr">
        <is>
          <t>SGP PROPOSITO GENERAL 42 POR CIENTO RECURSOS LIBRE DESTINACION SGP PROPOSITO GENERAL MPIOS DE CATEGORIA 4 5 Y 6 SGP ONCE</t>
        </is>
      </c>
      <c r="R32" t="n">
        <v>29335050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29335050</v>
      </c>
      <c r="Z32" t="n">
        <v>10339500</v>
      </c>
      <c r="AA32" t="n">
        <v>10339500</v>
      </c>
      <c r="AB32" t="n">
        <v>10339500</v>
      </c>
      <c r="AC32" t="n">
        <v>10339500</v>
      </c>
      <c r="AD32" t="n">
        <v>18995550</v>
      </c>
      <c r="AE32" t="n">
        <v>35.25</v>
      </c>
    </row>
    <row r="33">
      <c r="A33" t="inlineStr">
        <is>
          <t>1 - ADMINISTRACIÓN CENTRAL</t>
        </is>
      </c>
      <c r="B33" t="inlineStr">
        <is>
          <t>00 - SIN SECTOR</t>
        </is>
      </c>
      <c r="C33" t="inlineStr">
        <is>
          <t>00</t>
        </is>
      </c>
      <c r="D33" t="inlineStr">
        <is>
          <t>0000</t>
        </is>
      </c>
      <c r="E33" t="inlineStr">
        <is>
          <t>000000</t>
        </is>
      </c>
      <c r="F33" t="inlineStr">
        <is>
          <t>SIN PRODUCTO</t>
        </is>
      </c>
      <c r="G33" t="inlineStr">
        <is>
          <t>00</t>
        </is>
      </c>
      <c r="H33" t="inlineStr">
        <is>
          <t>00</t>
        </is>
      </c>
      <c r="I33" t="inlineStr">
        <is>
          <t>00</t>
        </is>
      </c>
      <c r="J33" t="inlineStr">
        <is>
          <t>SIN PRODUCTO DANE</t>
        </is>
      </c>
      <c r="K33" t="inlineStr">
        <is>
          <t>00</t>
        </is>
      </c>
      <c r="L33" t="inlineStr">
        <is>
          <t>SIN ATRIBUTO</t>
        </is>
      </c>
      <c r="N33" t="inlineStr">
        <is>
          <t>2.1.1.01.02.020.04</t>
        </is>
      </c>
      <c r="O33" t="inlineStr">
        <is>
          <t>Aportes a cajas de compensacion familiar</t>
        </is>
      </c>
      <c r="P33" t="inlineStr">
        <is>
          <t>360</t>
        </is>
      </c>
      <c r="Q33" t="inlineStr">
        <is>
          <t>SGP PROPOSITO GENERAL 42 POR CIENTO RECURSOS LIBRE DESTINACION SGP PROPOSITO GENERAL MPIOS DE CATEGORIA 4 5 Y 6 SGP ONCE</t>
        </is>
      </c>
      <c r="R33" t="n">
        <v>4693608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4693608</v>
      </c>
      <c r="Z33" t="n">
        <v>1656400</v>
      </c>
      <c r="AA33" t="n">
        <v>1656400</v>
      </c>
      <c r="AB33" t="n">
        <v>1656400</v>
      </c>
      <c r="AC33" t="n">
        <v>1656400</v>
      </c>
      <c r="AD33" t="n">
        <v>3037208</v>
      </c>
      <c r="AE33" t="n">
        <v>35.29</v>
      </c>
    </row>
    <row r="34">
      <c r="A34" t="inlineStr">
        <is>
          <t>1 - ADMINISTRACIÓN CENTRAL</t>
        </is>
      </c>
      <c r="B34" t="inlineStr">
        <is>
          <t>00 - SIN SECTOR</t>
        </is>
      </c>
      <c r="C34" t="inlineStr">
        <is>
          <t>00</t>
        </is>
      </c>
      <c r="D34" t="inlineStr">
        <is>
          <t>0000</t>
        </is>
      </c>
      <c r="E34" t="inlineStr">
        <is>
          <t>000000</t>
        </is>
      </c>
      <c r="F34" t="inlineStr">
        <is>
          <t>SIN PRODUCTO</t>
        </is>
      </c>
      <c r="G34" t="inlineStr">
        <is>
          <t>00</t>
        </is>
      </c>
      <c r="H34" t="inlineStr">
        <is>
          <t>00</t>
        </is>
      </c>
      <c r="I34" t="inlineStr">
        <is>
          <t>00</t>
        </is>
      </c>
      <c r="J34" t="inlineStr">
        <is>
          <t>SIN PRODUCTO DANE</t>
        </is>
      </c>
      <c r="K34" t="inlineStr">
        <is>
          <t>00</t>
        </is>
      </c>
      <c r="L34" t="inlineStr">
        <is>
          <t>SIN ATRIBUTO</t>
        </is>
      </c>
      <c r="N34" t="inlineStr">
        <is>
          <t>2.1.1.01.02.020.05</t>
        </is>
      </c>
      <c r="O34" t="inlineStr">
        <is>
          <t>Aportes generales al sistema de riesgos laborales</t>
        </is>
      </c>
      <c r="P34" t="inlineStr">
        <is>
          <t>360</t>
        </is>
      </c>
      <c r="Q34" t="inlineStr">
        <is>
          <t>SGP PROPOSITO GENERAL 42 POR CIENTO RECURSOS LIBRE DESTINACION SGP PROPOSITO GENERAL MPIOS DE CATEGORIA 4 5 Y 6 SGP ONCE</t>
        </is>
      </c>
      <c r="R34" t="n">
        <v>122503</v>
      </c>
      <c r="S34" t="n">
        <v>0</v>
      </c>
      <c r="T34" t="n">
        <v>0</v>
      </c>
      <c r="U34" t="n">
        <v>840600</v>
      </c>
      <c r="V34" t="n">
        <v>0</v>
      </c>
      <c r="W34" t="n">
        <v>0</v>
      </c>
      <c r="X34" t="n">
        <v>0</v>
      </c>
      <c r="Y34" t="n">
        <v>963103</v>
      </c>
      <c r="Z34" t="n">
        <v>172500</v>
      </c>
      <c r="AA34" t="n">
        <v>172500</v>
      </c>
      <c r="AB34" t="n">
        <v>172500</v>
      </c>
      <c r="AC34" t="n">
        <v>172500</v>
      </c>
      <c r="AD34" t="n">
        <v>790603</v>
      </c>
      <c r="AE34" t="n">
        <v>17.91</v>
      </c>
    </row>
    <row r="35">
      <c r="A35" t="inlineStr">
        <is>
          <t>1 - ADMINISTRACIÓN CENTRAL</t>
        </is>
      </c>
      <c r="B35" t="inlineStr">
        <is>
          <t>00 - SIN SECTOR</t>
        </is>
      </c>
      <c r="C35" t="inlineStr">
        <is>
          <t>00</t>
        </is>
      </c>
      <c r="D35" t="inlineStr">
        <is>
          <t>0000</t>
        </is>
      </c>
      <c r="E35" t="inlineStr">
        <is>
          <t>000000</t>
        </is>
      </c>
      <c r="F35" t="inlineStr">
        <is>
          <t>SIN PRODUCTO</t>
        </is>
      </c>
      <c r="G35" t="inlineStr">
        <is>
          <t>00</t>
        </is>
      </c>
      <c r="H35" t="inlineStr">
        <is>
          <t>00</t>
        </is>
      </c>
      <c r="I35" t="inlineStr">
        <is>
          <t>00</t>
        </is>
      </c>
      <c r="J35" t="inlineStr">
        <is>
          <t>SIN PRODUCTO DANE</t>
        </is>
      </c>
      <c r="K35" t="inlineStr">
        <is>
          <t>00</t>
        </is>
      </c>
      <c r="L35" t="inlineStr">
        <is>
          <t>SIN ATRIBUTO</t>
        </is>
      </c>
      <c r="N35" t="inlineStr">
        <is>
          <t>2.1.1.01.03</t>
        </is>
      </c>
      <c r="O35" t="inlineStr">
        <is>
          <t>Remuneraciones no constitutivas de factor salarial</t>
        </is>
      </c>
      <c r="P35" t="inlineStr">
        <is>
          <t>00</t>
        </is>
      </c>
      <c r="Q35" t="inlineStr">
        <is>
          <t>RECURSOS</t>
        </is>
      </c>
      <c r="R35" t="n">
        <v>103235299</v>
      </c>
      <c r="S35" t="n">
        <v>0</v>
      </c>
      <c r="T35" t="n">
        <v>0</v>
      </c>
      <c r="U35" t="n">
        <v>29903112</v>
      </c>
      <c r="V35" t="n">
        <v>9903112</v>
      </c>
      <c r="W35" t="n">
        <v>0</v>
      </c>
      <c r="X35" t="n">
        <v>0</v>
      </c>
      <c r="Y35" t="n">
        <v>123235299</v>
      </c>
      <c r="Z35" t="n">
        <v>53853212</v>
      </c>
      <c r="AA35" t="n">
        <v>53853212</v>
      </c>
      <c r="AB35" t="n">
        <v>53853212</v>
      </c>
      <c r="AC35" t="n">
        <v>53853212</v>
      </c>
      <c r="AD35" t="n">
        <v>69382087</v>
      </c>
      <c r="AE35" t="n">
        <v>43.7</v>
      </c>
    </row>
    <row r="36">
      <c r="A36" t="inlineStr">
        <is>
          <t>1 - ADMINISTRACIÓN CENTRAL</t>
        </is>
      </c>
      <c r="B36" t="inlineStr">
        <is>
          <t>00 - SIN SECTOR</t>
        </is>
      </c>
      <c r="C36" t="inlineStr">
        <is>
          <t>00</t>
        </is>
      </c>
      <c r="D36" t="inlineStr">
        <is>
          <t>0000</t>
        </is>
      </c>
      <c r="E36" t="inlineStr">
        <is>
          <t>000000</t>
        </is>
      </c>
      <c r="F36" t="inlineStr">
        <is>
          <t>SIN PRODUCTO</t>
        </is>
      </c>
      <c r="G36" t="inlineStr">
        <is>
          <t>00</t>
        </is>
      </c>
      <c r="H36" t="inlineStr">
        <is>
          <t>00</t>
        </is>
      </c>
      <c r="I36" t="inlineStr">
        <is>
          <t>00</t>
        </is>
      </c>
      <c r="J36" t="inlineStr">
        <is>
          <t>SIN PRODUCTO DANE</t>
        </is>
      </c>
      <c r="K36" t="inlineStr">
        <is>
          <t>00</t>
        </is>
      </c>
      <c r="L36" t="inlineStr">
        <is>
          <t>SIN ATRIBUTO</t>
        </is>
      </c>
      <c r="N36" t="inlineStr">
        <is>
          <t>2.1.1.01.03.001</t>
        </is>
      </c>
      <c r="O36" t="inlineStr">
        <is>
          <t>Prestaciones sociales</t>
        </is>
      </c>
      <c r="P36" t="inlineStr">
        <is>
          <t>00</t>
        </is>
      </c>
      <c r="Q36" t="inlineStr">
        <is>
          <t>RECURSOS</t>
        </is>
      </c>
      <c r="R36" t="n">
        <v>36582545</v>
      </c>
      <c r="S36" t="n">
        <v>0</v>
      </c>
      <c r="T36" t="n">
        <v>0</v>
      </c>
      <c r="U36" t="n">
        <v>9903112</v>
      </c>
      <c r="V36" t="n">
        <v>9903112</v>
      </c>
      <c r="W36" t="n">
        <v>0</v>
      </c>
      <c r="X36" t="n">
        <v>0</v>
      </c>
      <c r="Y36" t="n">
        <v>36582545</v>
      </c>
      <c r="Z36" t="n">
        <v>23463227</v>
      </c>
      <c r="AA36" t="n">
        <v>23463227</v>
      </c>
      <c r="AB36" t="n">
        <v>23463227</v>
      </c>
      <c r="AC36" t="n">
        <v>23463227</v>
      </c>
      <c r="AD36" t="n">
        <v>13119318</v>
      </c>
      <c r="AE36" t="n">
        <v>64.14</v>
      </c>
    </row>
    <row r="37">
      <c r="A37" t="inlineStr">
        <is>
          <t>1 - ADMINISTRACIÓN CENTRAL</t>
        </is>
      </c>
      <c r="B37" t="inlineStr">
        <is>
          <t>00 - SIN SECTOR</t>
        </is>
      </c>
      <c r="C37" t="inlineStr">
        <is>
          <t>00</t>
        </is>
      </c>
      <c r="D37" t="inlineStr">
        <is>
          <t>0000</t>
        </is>
      </c>
      <c r="E37" t="inlineStr">
        <is>
          <t>000000</t>
        </is>
      </c>
      <c r="F37" t="inlineStr">
        <is>
          <t>SIN PRODUCTO</t>
        </is>
      </c>
      <c r="G37" t="inlineStr">
        <is>
          <t>00</t>
        </is>
      </c>
      <c r="H37" t="inlineStr">
        <is>
          <t>00</t>
        </is>
      </c>
      <c r="I37" t="inlineStr">
        <is>
          <t>00</t>
        </is>
      </c>
      <c r="J37" t="inlineStr">
        <is>
          <t>SIN PRODUCTO DANE</t>
        </is>
      </c>
      <c r="K37" t="inlineStr">
        <is>
          <t>00</t>
        </is>
      </c>
      <c r="L37" t="inlineStr">
        <is>
          <t>SIN ATRIBUTO</t>
        </is>
      </c>
      <c r="N37" t="inlineStr">
        <is>
          <t>2.1.1.01.03.001.01</t>
        </is>
      </c>
      <c r="O37" t="inlineStr">
        <is>
          <t>Vacaciones</t>
        </is>
      </c>
      <c r="P37" t="inlineStr">
        <is>
          <t>360</t>
        </is>
      </c>
      <c r="Q37" t="inlineStr">
        <is>
          <t>SGP PROPOSITO GENERAL 42 POR CIENTO RECURSOS LIBRE DESTINACION SGP PROPOSITO GENERAL MPIOS DE CATEGORIA 4 5 Y 6 SGP ONCE</t>
        </is>
      </c>
      <c r="R37" t="n">
        <v>23778387</v>
      </c>
      <c r="S37" t="n">
        <v>0</v>
      </c>
      <c r="T37" t="n">
        <v>0</v>
      </c>
      <c r="U37" t="n">
        <v>0</v>
      </c>
      <c r="V37" t="n">
        <v>9903112</v>
      </c>
      <c r="W37" t="n">
        <v>0</v>
      </c>
      <c r="X37" t="n">
        <v>0</v>
      </c>
      <c r="Y37" t="n">
        <v>13875275</v>
      </c>
      <c r="Z37" t="n">
        <v>1901561</v>
      </c>
      <c r="AA37" t="n">
        <v>1901561</v>
      </c>
      <c r="AB37" t="n">
        <v>1901561</v>
      </c>
      <c r="AC37" t="n">
        <v>1901561</v>
      </c>
      <c r="AD37" t="n">
        <v>11973714</v>
      </c>
      <c r="AE37" t="n">
        <v>13.7</v>
      </c>
    </row>
    <row r="38">
      <c r="A38" t="inlineStr">
        <is>
          <t>1 - ADMINISTRACIÓN CENTRAL</t>
        </is>
      </c>
      <c r="B38" t="inlineStr">
        <is>
          <t>00 - SIN SECTOR</t>
        </is>
      </c>
      <c r="C38" t="inlineStr">
        <is>
          <t>00</t>
        </is>
      </c>
      <c r="D38" t="inlineStr">
        <is>
          <t>0000</t>
        </is>
      </c>
      <c r="E38" t="inlineStr">
        <is>
          <t>000000</t>
        </is>
      </c>
      <c r="F38" t="inlineStr">
        <is>
          <t>SIN PRODUCTO</t>
        </is>
      </c>
      <c r="G38" t="inlineStr">
        <is>
          <t>00</t>
        </is>
      </c>
      <c r="H38" t="inlineStr">
        <is>
          <t>00</t>
        </is>
      </c>
      <c r="I38" t="inlineStr">
        <is>
          <t>00</t>
        </is>
      </c>
      <c r="J38" t="inlineStr">
        <is>
          <t>SIN PRODUCTO DANE</t>
        </is>
      </c>
      <c r="K38" t="inlineStr">
        <is>
          <t>00</t>
        </is>
      </c>
      <c r="L38" t="inlineStr">
        <is>
          <t>SIN ATRIBUTO</t>
        </is>
      </c>
      <c r="N38" t="inlineStr">
        <is>
          <t>2.1.1.01.03.001.02</t>
        </is>
      </c>
      <c r="O38" t="inlineStr">
        <is>
          <t>Indemnizacion por vacaciones</t>
        </is>
      </c>
      <c r="P38" t="inlineStr">
        <is>
          <t>360</t>
        </is>
      </c>
      <c r="Q38" t="inlineStr">
        <is>
          <t>SGP PROPOSITO GENERAL 42 POR CIENTO RECURSOS LIBRE DESTINACION SGP PROPOSITO GENERAL MPIOS DE CATEGORIA 4 5 Y 6 SGP ONCE</t>
        </is>
      </c>
      <c r="R38" t="n">
        <v>10000000</v>
      </c>
      <c r="S38" t="n">
        <v>0</v>
      </c>
      <c r="T38" t="n">
        <v>0</v>
      </c>
      <c r="U38" t="n">
        <v>9903112</v>
      </c>
      <c r="V38" t="n">
        <v>0</v>
      </c>
      <c r="W38" t="n">
        <v>0</v>
      </c>
      <c r="X38" t="n">
        <v>0</v>
      </c>
      <c r="Y38" t="n">
        <v>19903112</v>
      </c>
      <c r="Z38" t="n">
        <v>19903112</v>
      </c>
      <c r="AA38" t="n">
        <v>19903112</v>
      </c>
      <c r="AB38" t="n">
        <v>19903112</v>
      </c>
      <c r="AC38" t="n">
        <v>19903112</v>
      </c>
      <c r="AD38" t="n">
        <v>0</v>
      </c>
      <c r="AE38" t="n">
        <v>100</v>
      </c>
    </row>
    <row r="39">
      <c r="A39" t="inlineStr">
        <is>
          <t>1 - ADMINISTRACIÓN CENTRAL</t>
        </is>
      </c>
      <c r="B39" t="inlineStr">
        <is>
          <t>00 - SIN SECTOR</t>
        </is>
      </c>
      <c r="C39" t="inlineStr">
        <is>
          <t>00</t>
        </is>
      </c>
      <c r="D39" t="inlineStr">
        <is>
          <t>0000</t>
        </is>
      </c>
      <c r="E39" t="inlineStr">
        <is>
          <t>000000</t>
        </is>
      </c>
      <c r="F39" t="inlineStr">
        <is>
          <t>SIN PRODUCTO</t>
        </is>
      </c>
      <c r="G39" t="inlineStr">
        <is>
          <t>00</t>
        </is>
      </c>
      <c r="H39" t="inlineStr">
        <is>
          <t>00</t>
        </is>
      </c>
      <c r="I39" t="inlineStr">
        <is>
          <t>00</t>
        </is>
      </c>
      <c r="J39" t="inlineStr">
        <is>
          <t>SIN PRODUCTO DANE</t>
        </is>
      </c>
      <c r="K39" t="inlineStr">
        <is>
          <t>00</t>
        </is>
      </c>
      <c r="L39" t="inlineStr">
        <is>
          <t>SIN ATRIBUTO</t>
        </is>
      </c>
      <c r="N39" t="inlineStr">
        <is>
          <t>2.1.1.01.03.001.03</t>
        </is>
      </c>
      <c r="O39" t="inlineStr">
        <is>
          <t>Bonificacion especial de recreacion</t>
        </is>
      </c>
      <c r="P39" t="inlineStr">
        <is>
          <t>360</t>
        </is>
      </c>
      <c r="Q39" t="inlineStr">
        <is>
          <t>SGP PROPOSITO GENERAL 42 POR CIENTO RECURSOS LIBRE DESTINACION SGP PROPOSITO GENERAL MPIOS DE CATEGORIA 4 5 Y 6 SGP ONCE</t>
        </is>
      </c>
      <c r="R39" t="n">
        <v>2804158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2804158</v>
      </c>
      <c r="Z39" t="n">
        <v>1658554</v>
      </c>
      <c r="AA39" t="n">
        <v>1658554</v>
      </c>
      <c r="AB39" t="n">
        <v>1658554</v>
      </c>
      <c r="AC39" t="n">
        <v>1658554</v>
      </c>
      <c r="AD39" t="n">
        <v>1145604</v>
      </c>
      <c r="AE39" t="n">
        <v>59.15</v>
      </c>
    </row>
    <row r="40">
      <c r="A40" t="inlineStr">
        <is>
          <t>1 - ADMINISTRACIÓN CENTRAL</t>
        </is>
      </c>
      <c r="B40" t="inlineStr">
        <is>
          <t>00 - SIN SECTOR</t>
        </is>
      </c>
      <c r="C40" t="inlineStr">
        <is>
          <t>00</t>
        </is>
      </c>
      <c r="D40" t="inlineStr">
        <is>
          <t>0000</t>
        </is>
      </c>
      <c r="E40" t="inlineStr">
        <is>
          <t>000000</t>
        </is>
      </c>
      <c r="F40" t="inlineStr">
        <is>
          <t>SIN PRODUCTO</t>
        </is>
      </c>
      <c r="G40" t="inlineStr">
        <is>
          <t>00</t>
        </is>
      </c>
      <c r="H40" t="inlineStr">
        <is>
          <t>00</t>
        </is>
      </c>
      <c r="I40" t="inlineStr">
        <is>
          <t>00</t>
        </is>
      </c>
      <c r="J40" t="inlineStr">
        <is>
          <t>SIN PRODUCTO DANE</t>
        </is>
      </c>
      <c r="K40" t="inlineStr">
        <is>
          <t>00</t>
        </is>
      </c>
      <c r="L40" t="inlineStr">
        <is>
          <t>SIN ATRIBUTO</t>
        </is>
      </c>
      <c r="N40" t="inlineStr">
        <is>
          <t>2.1.1.01.03.003</t>
        </is>
      </c>
      <c r="O40" t="inlineStr">
        <is>
          <t>Bonificacion de direccion para gobernadores y alcaldes</t>
        </is>
      </c>
      <c r="P40" t="inlineStr">
        <is>
          <t>360</t>
        </is>
      </c>
      <c r="Q40" t="inlineStr">
        <is>
          <t>SGP PROPOSITO GENERAL 42 POR CIENTO RECURSOS LIBRE DESTINACION SGP PROPOSITO GENERAL MPIOS DE CATEGORIA 4 5 Y 6 SGP ONCE</t>
        </is>
      </c>
      <c r="R40" t="n">
        <v>56128635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56128635</v>
      </c>
      <c r="Z40" t="n">
        <v>18199285</v>
      </c>
      <c r="AA40" t="n">
        <v>18199285</v>
      </c>
      <c r="AB40" t="n">
        <v>18199285</v>
      </c>
      <c r="AC40" t="n">
        <v>18199285</v>
      </c>
      <c r="AD40" t="n">
        <v>37929350</v>
      </c>
      <c r="AE40" t="n">
        <v>32.42</v>
      </c>
    </row>
    <row r="41">
      <c r="A41" t="inlineStr">
        <is>
          <t>1 - ADMINISTRACIÓN CENTRAL</t>
        </is>
      </c>
      <c r="B41" t="inlineStr">
        <is>
          <t>00 - SIN SECTOR</t>
        </is>
      </c>
      <c r="C41" t="inlineStr">
        <is>
          <t>00</t>
        </is>
      </c>
      <c r="D41" t="inlineStr">
        <is>
          <t>0000</t>
        </is>
      </c>
      <c r="E41" t="inlineStr">
        <is>
          <t>000000</t>
        </is>
      </c>
      <c r="F41" t="inlineStr">
        <is>
          <t>SIN PRODUCTO</t>
        </is>
      </c>
      <c r="G41" t="inlineStr">
        <is>
          <t>00</t>
        </is>
      </c>
      <c r="H41" t="inlineStr">
        <is>
          <t>00</t>
        </is>
      </c>
      <c r="I41" t="inlineStr">
        <is>
          <t>00</t>
        </is>
      </c>
      <c r="J41" t="inlineStr">
        <is>
          <t>SIN PRODUCTO DANE</t>
        </is>
      </c>
      <c r="K41" t="inlineStr">
        <is>
          <t>00</t>
        </is>
      </c>
      <c r="L41" t="inlineStr">
        <is>
          <t>SIN ATRIBUTO</t>
        </is>
      </c>
      <c r="N41" t="inlineStr">
        <is>
          <t>2.1.1.01.03.004</t>
        </is>
      </c>
      <c r="O41" t="inlineStr">
        <is>
          <t>Bonificacion de gestion territorial para alcaldes</t>
        </is>
      </c>
      <c r="P41" t="inlineStr">
        <is>
          <t>360</t>
        </is>
      </c>
      <c r="Q41" t="inlineStr">
        <is>
          <t>SGP PROPOSITO GENERAL 42 POR CIENTO RECURSOS LIBRE DESTINACION SGP PROPOSITO GENERAL MPIOS DE CATEGORIA 4 5 Y 6 SGP ONCE</t>
        </is>
      </c>
      <c r="R41" t="n">
        <v>10524119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10524119</v>
      </c>
      <c r="Z41" t="n">
        <v>0</v>
      </c>
      <c r="AA41" t="n">
        <v>0</v>
      </c>
      <c r="AB41" t="n">
        <v>0</v>
      </c>
      <c r="AC41" t="n">
        <v>0</v>
      </c>
      <c r="AD41" t="n">
        <v>10524119</v>
      </c>
      <c r="AE41" t="n">
        <v>0</v>
      </c>
    </row>
    <row r="42">
      <c r="A42" t="inlineStr">
        <is>
          <t>1 - ADMINISTRACIÓN CENTRAL</t>
        </is>
      </c>
      <c r="B42" t="inlineStr">
        <is>
          <t>00 - SIN SECTOR</t>
        </is>
      </c>
      <c r="C42" t="inlineStr">
        <is>
          <t>00</t>
        </is>
      </c>
      <c r="D42" t="inlineStr">
        <is>
          <t>0000</t>
        </is>
      </c>
      <c r="E42" t="inlineStr">
        <is>
          <t>000000</t>
        </is>
      </c>
      <c r="F42" t="inlineStr">
        <is>
          <t>SIN PRODUCTO</t>
        </is>
      </c>
      <c r="G42" t="inlineStr">
        <is>
          <t>00</t>
        </is>
      </c>
      <c r="H42" t="inlineStr">
        <is>
          <t>00</t>
        </is>
      </c>
      <c r="I42" t="inlineStr">
        <is>
          <t>00</t>
        </is>
      </c>
      <c r="J42" t="inlineStr">
        <is>
          <t>SIN PRODUCTO DANE</t>
        </is>
      </c>
      <c r="K42" t="inlineStr">
        <is>
          <t>00</t>
        </is>
      </c>
      <c r="L42" t="inlineStr">
        <is>
          <t>SIN ATRIBUTO</t>
        </is>
      </c>
      <c r="N42" t="inlineStr">
        <is>
          <t>2.1.1.01.03.125</t>
        </is>
      </c>
      <c r="O42" t="inlineStr">
        <is>
          <t>transporte rural de concejales</t>
        </is>
      </c>
      <c r="P42" t="inlineStr">
        <is>
          <t>360</t>
        </is>
      </c>
      <c r="Q42" t="inlineStr">
        <is>
          <t>SGP PROPOSITO GENERAL 42 POR CIENTO RECURSOS LIBRE DESTINACION SGP PROPOSITO GENERAL MPIOS DE CATEGORIA 4 5 Y 6 SGP ONCE</t>
        </is>
      </c>
      <c r="R42" t="n">
        <v>0</v>
      </c>
      <c r="S42" t="n">
        <v>0</v>
      </c>
      <c r="T42" t="n">
        <v>0</v>
      </c>
      <c r="U42" t="n">
        <v>20000000</v>
      </c>
      <c r="V42" t="n">
        <v>0</v>
      </c>
      <c r="W42" t="n">
        <v>0</v>
      </c>
      <c r="X42" t="n">
        <v>0</v>
      </c>
      <c r="Y42" t="n">
        <v>20000000</v>
      </c>
      <c r="Z42" t="n">
        <v>12190700</v>
      </c>
      <c r="AA42" t="n">
        <v>12190700</v>
      </c>
      <c r="AB42" t="n">
        <v>12190700</v>
      </c>
      <c r="AC42" t="n">
        <v>12190700</v>
      </c>
      <c r="AD42" t="n">
        <v>7809300</v>
      </c>
      <c r="AE42" t="n">
        <v>60.95</v>
      </c>
    </row>
    <row r="43">
      <c r="A43" t="inlineStr">
        <is>
          <t>1 - ADMINISTRACIÓN CENTRAL</t>
        </is>
      </c>
      <c r="B43" t="inlineStr">
        <is>
          <t>00 - SIN SECTOR</t>
        </is>
      </c>
      <c r="C43" t="inlineStr">
        <is>
          <t>00</t>
        </is>
      </c>
      <c r="D43" t="inlineStr">
        <is>
          <t>0000</t>
        </is>
      </c>
      <c r="E43" t="inlineStr">
        <is>
          <t>000000</t>
        </is>
      </c>
      <c r="F43" t="inlineStr">
        <is>
          <t>SIN PRODUCTO</t>
        </is>
      </c>
      <c r="G43" t="inlineStr">
        <is>
          <t>00</t>
        </is>
      </c>
      <c r="H43" t="inlineStr">
        <is>
          <t>00</t>
        </is>
      </c>
      <c r="I43" t="inlineStr">
        <is>
          <t>00</t>
        </is>
      </c>
      <c r="J43" t="inlineStr">
        <is>
          <t>SIN PRODUCTO DANE</t>
        </is>
      </c>
      <c r="K43" t="inlineStr">
        <is>
          <t>00</t>
        </is>
      </c>
      <c r="L43" t="inlineStr">
        <is>
          <t>SIN ATRIBUTO</t>
        </is>
      </c>
      <c r="N43" t="inlineStr">
        <is>
          <t>2.1.2</t>
        </is>
      </c>
      <c r="O43" t="inlineStr">
        <is>
          <t>Adquisicion de bienes y servicios</t>
        </is>
      </c>
      <c r="P43" t="inlineStr">
        <is>
          <t>00</t>
        </is>
      </c>
      <c r="Q43" t="inlineStr">
        <is>
          <t>RECURSOS</t>
        </is>
      </c>
      <c r="R43" t="n">
        <v>1252400000</v>
      </c>
      <c r="S43" t="n">
        <v>1607176</v>
      </c>
      <c r="T43" t="n">
        <v>152667595</v>
      </c>
      <c r="U43" t="n">
        <v>206135818</v>
      </c>
      <c r="V43" t="n">
        <v>231465068</v>
      </c>
      <c r="W43" t="n">
        <v>0</v>
      </c>
      <c r="X43" t="n">
        <v>0</v>
      </c>
      <c r="Y43" t="n">
        <v>1076010331</v>
      </c>
      <c r="Z43" t="n">
        <v>671355303.6</v>
      </c>
      <c r="AA43" t="n">
        <v>659381976.6</v>
      </c>
      <c r="AB43" t="n">
        <v>315163326.6</v>
      </c>
      <c r="AC43" t="n">
        <v>315163326.6</v>
      </c>
      <c r="AD43" t="n">
        <v>404655027.4</v>
      </c>
      <c r="AE43" t="n">
        <v>62.39</v>
      </c>
    </row>
    <row r="44">
      <c r="A44" t="inlineStr">
        <is>
          <t>1 - ADMINISTRACIÓN CENTRAL</t>
        </is>
      </c>
      <c r="B44" t="inlineStr">
        <is>
          <t>00 - SIN SECTOR</t>
        </is>
      </c>
      <c r="C44" t="inlineStr">
        <is>
          <t>00</t>
        </is>
      </c>
      <c r="D44" t="inlineStr">
        <is>
          <t>0000</t>
        </is>
      </c>
      <c r="E44" t="inlineStr">
        <is>
          <t>000000</t>
        </is>
      </c>
      <c r="F44" t="inlineStr">
        <is>
          <t>SIN PRODUCTO</t>
        </is>
      </c>
      <c r="G44" t="inlineStr">
        <is>
          <t>00</t>
        </is>
      </c>
      <c r="H44" t="inlineStr">
        <is>
          <t>00</t>
        </is>
      </c>
      <c r="I44" t="inlineStr">
        <is>
          <t>00</t>
        </is>
      </c>
      <c r="J44" t="inlineStr">
        <is>
          <t>SIN PRODUCTO DANE</t>
        </is>
      </c>
      <c r="K44" t="inlineStr">
        <is>
          <t>00</t>
        </is>
      </c>
      <c r="L44" t="inlineStr">
        <is>
          <t>SIN ATRIBUTO</t>
        </is>
      </c>
      <c r="N44" t="inlineStr">
        <is>
          <t>2.1.2.01</t>
        </is>
      </c>
      <c r="O44" t="inlineStr">
        <is>
          <t>Adquisicion de activos no financieros</t>
        </is>
      </c>
      <c r="P44" t="inlineStr">
        <is>
          <t>00</t>
        </is>
      </c>
      <c r="Q44" t="inlineStr">
        <is>
          <t>RECURSOS</t>
        </is>
      </c>
      <c r="R44" t="n">
        <v>80000000</v>
      </c>
      <c r="S44" t="n">
        <v>0</v>
      </c>
      <c r="T44" t="n">
        <v>80000000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1 - ADMINISTRACIÓN CENTRAL</t>
        </is>
      </c>
      <c r="B45" t="inlineStr">
        <is>
          <t>00 - SIN SECTOR</t>
        </is>
      </c>
      <c r="C45" t="inlineStr">
        <is>
          <t>00</t>
        </is>
      </c>
      <c r="D45" t="inlineStr">
        <is>
          <t>0000</t>
        </is>
      </c>
      <c r="E45" t="inlineStr">
        <is>
          <t>000000</t>
        </is>
      </c>
      <c r="F45" t="inlineStr">
        <is>
          <t>SIN PRODUCTO</t>
        </is>
      </c>
      <c r="G45" t="inlineStr">
        <is>
          <t>00</t>
        </is>
      </c>
      <c r="H45" t="inlineStr">
        <is>
          <t>00</t>
        </is>
      </c>
      <c r="I45" t="inlineStr">
        <is>
          <t>00</t>
        </is>
      </c>
      <c r="J45" t="inlineStr">
        <is>
          <t>SIN PRODUCTO DANE</t>
        </is>
      </c>
      <c r="K45" t="inlineStr">
        <is>
          <t>00</t>
        </is>
      </c>
      <c r="L45" t="inlineStr">
        <is>
          <t>SIN ATRIBUTO</t>
        </is>
      </c>
      <c r="N45" t="inlineStr">
        <is>
          <t>2.1.2.01.01</t>
        </is>
      </c>
      <c r="O45" t="inlineStr">
        <is>
          <t>Activos fijos</t>
        </is>
      </c>
      <c r="P45" t="inlineStr">
        <is>
          <t>00</t>
        </is>
      </c>
      <c r="Q45" t="inlineStr">
        <is>
          <t>RECURSOS</t>
        </is>
      </c>
      <c r="R45" t="n">
        <v>80000000</v>
      </c>
      <c r="S45" t="n">
        <v>0</v>
      </c>
      <c r="T45" t="n">
        <v>80000000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inlineStr">
        <is>
          <t>1 - ADMINISTRACIÓN CENTRAL</t>
        </is>
      </c>
      <c r="B46" t="inlineStr">
        <is>
          <t>00 - SIN SECTOR</t>
        </is>
      </c>
      <c r="C46" t="inlineStr">
        <is>
          <t>00</t>
        </is>
      </c>
      <c r="D46" t="inlineStr">
        <is>
          <t>0000</t>
        </is>
      </c>
      <c r="E46" t="inlineStr">
        <is>
          <t>000000</t>
        </is>
      </c>
      <c r="F46" t="inlineStr">
        <is>
          <t>SIN PRODUCTO</t>
        </is>
      </c>
      <c r="G46" t="inlineStr">
        <is>
          <t>00</t>
        </is>
      </c>
      <c r="H46" t="inlineStr">
        <is>
          <t>00</t>
        </is>
      </c>
      <c r="I46" t="inlineStr">
        <is>
          <t>00</t>
        </is>
      </c>
      <c r="J46" t="inlineStr">
        <is>
          <t>SIN PRODUCTO DANE</t>
        </is>
      </c>
      <c r="K46" t="inlineStr">
        <is>
          <t>00</t>
        </is>
      </c>
      <c r="L46" t="inlineStr">
        <is>
          <t>SIN ATRIBUTO</t>
        </is>
      </c>
      <c r="N46" t="inlineStr">
        <is>
          <t>2.1.2.01.01.003</t>
        </is>
      </c>
      <c r="O46" t="inlineStr">
        <is>
          <t>Maquinaria y equipo</t>
        </is>
      </c>
      <c r="P46" t="inlineStr">
        <is>
          <t>00</t>
        </is>
      </c>
      <c r="Q46" t="inlineStr">
        <is>
          <t>RECURSOS</t>
        </is>
      </c>
      <c r="R46" t="n">
        <v>40000000</v>
      </c>
      <c r="S46" t="n">
        <v>0</v>
      </c>
      <c r="T46" t="n">
        <v>40000000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inlineStr">
        <is>
          <t>1 - ADMINISTRACIÓN CENTRAL</t>
        </is>
      </c>
      <c r="B47" t="inlineStr">
        <is>
          <t>00 - SIN SECTOR</t>
        </is>
      </c>
      <c r="C47" t="inlineStr">
        <is>
          <t>00</t>
        </is>
      </c>
      <c r="D47" t="inlineStr">
        <is>
          <t>0000</t>
        </is>
      </c>
      <c r="E47" t="inlineStr">
        <is>
          <t>000000</t>
        </is>
      </c>
      <c r="F47" t="inlineStr">
        <is>
          <t>SIN PRODUCTO</t>
        </is>
      </c>
      <c r="G47" t="inlineStr">
        <is>
          <t>00</t>
        </is>
      </c>
      <c r="H47" t="inlineStr">
        <is>
          <t>00</t>
        </is>
      </c>
      <c r="I47" t="inlineStr">
        <is>
          <t>00</t>
        </is>
      </c>
      <c r="J47" t="inlineStr">
        <is>
          <t>SIN PRODUCTO DANE</t>
        </is>
      </c>
      <c r="K47" t="inlineStr">
        <is>
          <t>00</t>
        </is>
      </c>
      <c r="L47" t="inlineStr">
        <is>
          <t>SIN ATRIBUTO</t>
        </is>
      </c>
      <c r="N47" t="inlineStr">
        <is>
          <t>2.1.2.01.01.003.03</t>
        </is>
      </c>
      <c r="O47" t="inlineStr">
        <is>
          <t>Maquinaria de oficina, contabilidad e informatica</t>
        </is>
      </c>
      <c r="P47" t="inlineStr">
        <is>
          <t>00</t>
        </is>
      </c>
      <c r="Q47" t="inlineStr">
        <is>
          <t>RECURSOS</t>
        </is>
      </c>
      <c r="R47" t="n">
        <v>40000000</v>
      </c>
      <c r="S47" t="n">
        <v>0</v>
      </c>
      <c r="T47" t="n">
        <v>40000000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inlineStr">
        <is>
          <t>1 - ADMINISTRACIÓN CENTRAL</t>
        </is>
      </c>
      <c r="B48" t="inlineStr">
        <is>
          <t>00 - SIN SECTOR</t>
        </is>
      </c>
      <c r="C48" t="inlineStr">
        <is>
          <t>00</t>
        </is>
      </c>
      <c r="D48" t="inlineStr">
        <is>
          <t>0000</t>
        </is>
      </c>
      <c r="E48" t="inlineStr">
        <is>
          <t>000000</t>
        </is>
      </c>
      <c r="F48" t="inlineStr">
        <is>
          <t>SIN PRODUCTO</t>
        </is>
      </c>
      <c r="G48" t="inlineStr">
        <is>
          <t>00</t>
        </is>
      </c>
      <c r="H48" t="inlineStr">
        <is>
          <t>00</t>
        </is>
      </c>
      <c r="I48" t="inlineStr">
        <is>
          <t>00</t>
        </is>
      </c>
      <c r="J48" t="inlineStr">
        <is>
          <t>SIN PRODUCTO DANE</t>
        </is>
      </c>
      <c r="K48" t="inlineStr">
        <is>
          <t>00</t>
        </is>
      </c>
      <c r="L48" t="inlineStr">
        <is>
          <t>SIN ATRIBUTO</t>
        </is>
      </c>
      <c r="N48" t="inlineStr">
        <is>
          <t>2.1.2.01.01.003.03.02</t>
        </is>
      </c>
      <c r="O48" t="inlineStr">
        <is>
          <t>Maquinaria de informatica y sus partes, piezas y accesorios</t>
        </is>
      </c>
      <c r="P48" t="inlineStr">
        <is>
          <t>00</t>
        </is>
      </c>
      <c r="Q48" t="inlineStr">
        <is>
          <t>RECURSOS</t>
        </is>
      </c>
      <c r="R48" t="n">
        <v>40000000</v>
      </c>
      <c r="S48" t="n">
        <v>0</v>
      </c>
      <c r="T48" t="n">
        <v>40000000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inlineStr">
        <is>
          <t>1 - ADMINISTRACIÓN CENTRAL</t>
        </is>
      </c>
      <c r="B49" t="inlineStr">
        <is>
          <t>00 - SIN SECTOR</t>
        </is>
      </c>
      <c r="C49" t="inlineStr">
        <is>
          <t>00</t>
        </is>
      </c>
      <c r="D49" t="inlineStr">
        <is>
          <t>0000</t>
        </is>
      </c>
      <c r="E49" t="inlineStr">
        <is>
          <t>000000</t>
        </is>
      </c>
      <c r="F49" t="inlineStr">
        <is>
          <t>SIN PRODUCTO</t>
        </is>
      </c>
      <c r="G49" t="inlineStr">
        <is>
          <t>00</t>
        </is>
      </c>
      <c r="H49" t="inlineStr">
        <is>
          <t>00</t>
        </is>
      </c>
      <c r="I49" t="inlineStr">
        <is>
          <t>00</t>
        </is>
      </c>
      <c r="J49" t="inlineStr">
        <is>
          <t>SIN PRODUCTO DANE</t>
        </is>
      </c>
      <c r="K49" t="inlineStr">
        <is>
          <t>00</t>
        </is>
      </c>
      <c r="L49" t="inlineStr">
        <is>
          <t>SIN ATRIBUTO</t>
        </is>
      </c>
      <c r="N49" t="inlineStr">
        <is>
          <t>2.1.2.01.01.003.03.02.01</t>
        </is>
      </c>
      <c r="O49" t="inlineStr">
        <is>
          <t>Compra de equipos de oficina (Computadores, impresoras, escaner, entre otros)</t>
        </is>
      </c>
      <c r="P49" t="inlineStr">
        <is>
          <t>360</t>
        </is>
      </c>
      <c r="Q49" t="inlineStr">
        <is>
          <t>SGP PROPOSITO GENERAL 42 POR CIENTO RECURSOS LIBRE DESTINACION SGP PROPOSITO GENERAL MPIOS DE CATEGORIA 4 5 Y 6 SGP ONCE</t>
        </is>
      </c>
      <c r="R49" t="n">
        <v>40000000</v>
      </c>
      <c r="S49" t="n">
        <v>0</v>
      </c>
      <c r="T49" t="n">
        <v>40000000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inlineStr">
        <is>
          <t>1 - ADMINISTRACIÓN CENTRAL</t>
        </is>
      </c>
      <c r="B50" t="inlineStr">
        <is>
          <t>00 - SIN SECTOR</t>
        </is>
      </c>
      <c r="C50" t="inlineStr">
        <is>
          <t>00</t>
        </is>
      </c>
      <c r="D50" t="inlineStr">
        <is>
          <t>0000</t>
        </is>
      </c>
      <c r="E50" t="inlineStr">
        <is>
          <t>000000</t>
        </is>
      </c>
      <c r="F50" t="inlineStr">
        <is>
          <t>SIN PRODUCTO</t>
        </is>
      </c>
      <c r="G50" t="inlineStr">
        <is>
          <t>00</t>
        </is>
      </c>
      <c r="H50" t="inlineStr">
        <is>
          <t>00</t>
        </is>
      </c>
      <c r="I50" t="inlineStr">
        <is>
          <t>00</t>
        </is>
      </c>
      <c r="J50" t="inlineStr">
        <is>
          <t>SIN PRODUCTO DANE</t>
        </is>
      </c>
      <c r="K50" t="inlineStr">
        <is>
          <t>00</t>
        </is>
      </c>
      <c r="L50" t="inlineStr">
        <is>
          <t>SIN ATRIBUTO</t>
        </is>
      </c>
      <c r="N50" t="inlineStr">
        <is>
          <t>2.1.2.01.01.004</t>
        </is>
      </c>
      <c r="O50" t="inlineStr">
        <is>
          <t>Activos fijos no clasificados como maquinaria y equipo</t>
        </is>
      </c>
      <c r="P50" t="inlineStr">
        <is>
          <t>00</t>
        </is>
      </c>
      <c r="Q50" t="inlineStr">
        <is>
          <t>RECURSOS</t>
        </is>
      </c>
      <c r="R50" t="n">
        <v>40000000</v>
      </c>
      <c r="S50" t="n">
        <v>0</v>
      </c>
      <c r="T50" t="n">
        <v>40000000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1 - ADMINISTRACIÓN CENTRAL</t>
        </is>
      </c>
      <c r="B51" t="inlineStr">
        <is>
          <t>00 - SIN SECTOR</t>
        </is>
      </c>
      <c r="C51" t="inlineStr">
        <is>
          <t>00</t>
        </is>
      </c>
      <c r="D51" t="inlineStr">
        <is>
          <t>0000</t>
        </is>
      </c>
      <c r="E51" t="inlineStr">
        <is>
          <t>000000</t>
        </is>
      </c>
      <c r="F51" t="inlineStr">
        <is>
          <t>SIN PRODUCTO</t>
        </is>
      </c>
      <c r="G51" t="inlineStr">
        <is>
          <t>00</t>
        </is>
      </c>
      <c r="H51" t="inlineStr">
        <is>
          <t>00</t>
        </is>
      </c>
      <c r="I51" t="inlineStr">
        <is>
          <t>00</t>
        </is>
      </c>
      <c r="J51" t="inlineStr">
        <is>
          <t>SIN PRODUCTO DANE</t>
        </is>
      </c>
      <c r="K51" t="inlineStr">
        <is>
          <t>00</t>
        </is>
      </c>
      <c r="L51" t="inlineStr">
        <is>
          <t>SIN ATRIBUTO</t>
        </is>
      </c>
      <c r="N51" t="inlineStr">
        <is>
          <t>2.1.2.01.01.004.01</t>
        </is>
      </c>
      <c r="O51" t="inlineStr">
        <is>
          <t>Muebles, instrumentos musicales, articulos de deporte y antigãœedades</t>
        </is>
      </c>
      <c r="P51" t="inlineStr">
        <is>
          <t>00</t>
        </is>
      </c>
      <c r="Q51" t="inlineStr">
        <is>
          <t>RECURSOS</t>
        </is>
      </c>
      <c r="R51" t="n">
        <v>40000000</v>
      </c>
      <c r="S51" t="n">
        <v>0</v>
      </c>
      <c r="T51" t="n">
        <v>40000000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1 - ADMINISTRACIÓN CENTRAL</t>
        </is>
      </c>
      <c r="B52" t="inlineStr">
        <is>
          <t>00 - SIN SECTOR</t>
        </is>
      </c>
      <c r="C52" t="inlineStr">
        <is>
          <t>00</t>
        </is>
      </c>
      <c r="D52" t="inlineStr">
        <is>
          <t>0000</t>
        </is>
      </c>
      <c r="E52" t="inlineStr">
        <is>
          <t>000000</t>
        </is>
      </c>
      <c r="F52" t="inlineStr">
        <is>
          <t>SIN PRODUCTO</t>
        </is>
      </c>
      <c r="G52" t="inlineStr">
        <is>
          <t>00</t>
        </is>
      </c>
      <c r="H52" t="inlineStr">
        <is>
          <t>00</t>
        </is>
      </c>
      <c r="I52" t="inlineStr">
        <is>
          <t>00</t>
        </is>
      </c>
      <c r="J52" t="inlineStr">
        <is>
          <t>SIN PRODUCTO DANE</t>
        </is>
      </c>
      <c r="K52" t="inlineStr">
        <is>
          <t>00</t>
        </is>
      </c>
      <c r="L52" t="inlineStr">
        <is>
          <t>SIN ATRIBUTO</t>
        </is>
      </c>
      <c r="N52" t="inlineStr">
        <is>
          <t>2.1.2.01.01.004.01.01</t>
        </is>
      </c>
      <c r="O52" t="inlineStr">
        <is>
          <t>Muebles</t>
        </is>
      </c>
      <c r="P52" t="inlineStr">
        <is>
          <t>00</t>
        </is>
      </c>
      <c r="Q52" t="inlineStr">
        <is>
          <t>RECURSOS</t>
        </is>
      </c>
      <c r="R52" t="n">
        <v>40000000</v>
      </c>
      <c r="S52" t="n">
        <v>0</v>
      </c>
      <c r="T52" t="n">
        <v>40000000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inlineStr">
        <is>
          <t>1 - ADMINISTRACIÓN CENTRAL</t>
        </is>
      </c>
      <c r="B53" t="inlineStr">
        <is>
          <t>00 - SIN SECTOR</t>
        </is>
      </c>
      <c r="C53" t="inlineStr">
        <is>
          <t>00</t>
        </is>
      </c>
      <c r="D53" t="inlineStr">
        <is>
          <t>0000</t>
        </is>
      </c>
      <c r="E53" t="inlineStr">
        <is>
          <t>000000</t>
        </is>
      </c>
      <c r="F53" t="inlineStr">
        <is>
          <t>SIN PRODUCTO</t>
        </is>
      </c>
      <c r="G53" t="inlineStr">
        <is>
          <t>00</t>
        </is>
      </c>
      <c r="H53" t="inlineStr">
        <is>
          <t>00</t>
        </is>
      </c>
      <c r="I53" t="inlineStr">
        <is>
          <t>00</t>
        </is>
      </c>
      <c r="J53" t="inlineStr">
        <is>
          <t>SIN PRODUCTO DANE</t>
        </is>
      </c>
      <c r="K53" t="inlineStr">
        <is>
          <t>00</t>
        </is>
      </c>
      <c r="L53" t="inlineStr">
        <is>
          <t>SIN ATRIBUTO</t>
        </is>
      </c>
      <c r="N53" t="inlineStr">
        <is>
          <t>2.1.2.01.01.004.01.01.02</t>
        </is>
      </c>
      <c r="O53" t="inlineStr">
        <is>
          <t>Muebles del tipo utilizado en la oficina</t>
        </is>
      </c>
      <c r="P53" t="inlineStr">
        <is>
          <t>00</t>
        </is>
      </c>
      <c r="Q53" t="inlineStr">
        <is>
          <t>RECURSOS</t>
        </is>
      </c>
      <c r="R53" t="n">
        <v>40000000</v>
      </c>
      <c r="S53" t="n">
        <v>0</v>
      </c>
      <c r="T53" t="n">
        <v>40000000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>
        <is>
          <t>1 - ADMINISTRACIÓN CENTRAL</t>
        </is>
      </c>
      <c r="B54" t="inlineStr">
        <is>
          <t>00 - SIN SECTOR</t>
        </is>
      </c>
      <c r="C54" t="inlineStr">
        <is>
          <t>00</t>
        </is>
      </c>
      <c r="D54" t="inlineStr">
        <is>
          <t>0000</t>
        </is>
      </c>
      <c r="E54" t="inlineStr">
        <is>
          <t>000000</t>
        </is>
      </c>
      <c r="F54" t="inlineStr">
        <is>
          <t>SIN PRODUCTO</t>
        </is>
      </c>
      <c r="G54" t="inlineStr">
        <is>
          <t>00</t>
        </is>
      </c>
      <c r="H54" t="inlineStr">
        <is>
          <t>00</t>
        </is>
      </c>
      <c r="I54" t="inlineStr">
        <is>
          <t>00</t>
        </is>
      </c>
      <c r="J54" t="inlineStr">
        <is>
          <t>SIN PRODUCTO DANE</t>
        </is>
      </c>
      <c r="K54" t="inlineStr">
        <is>
          <t>00</t>
        </is>
      </c>
      <c r="L54" t="inlineStr">
        <is>
          <t>SIN ATRIBUTO</t>
        </is>
      </c>
      <c r="N54" t="inlineStr">
        <is>
          <t>2.1.2.01.01.004.01.01.02.01</t>
        </is>
      </c>
      <c r="O54" t="inlineStr">
        <is>
          <t>Mobiliario de oficina</t>
        </is>
      </c>
      <c r="P54" t="inlineStr">
        <is>
          <t>360</t>
        </is>
      </c>
      <c r="Q54" t="inlineStr">
        <is>
          <t>SGP PROPOSITO GENERAL 42 POR CIENTO RECURSOS LIBRE DESTINACION SGP PROPOSITO GENERAL MPIOS DE CATEGORIA 4 5 Y 6 SGP ONCE</t>
        </is>
      </c>
      <c r="R54" t="n">
        <v>40000000</v>
      </c>
      <c r="S54" t="n">
        <v>0</v>
      </c>
      <c r="T54" t="n">
        <v>40000000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inlineStr">
        <is>
          <t>1 - ADMINISTRACIÓN CENTRAL</t>
        </is>
      </c>
      <c r="B55" t="inlineStr">
        <is>
          <t>00 - SIN SECTOR</t>
        </is>
      </c>
      <c r="C55" t="inlineStr">
        <is>
          <t>00</t>
        </is>
      </c>
      <c r="D55" t="inlineStr">
        <is>
          <t>0000</t>
        </is>
      </c>
      <c r="E55" t="inlineStr">
        <is>
          <t>000000</t>
        </is>
      </c>
      <c r="F55" t="inlineStr">
        <is>
          <t>SIN PRODUCTO</t>
        </is>
      </c>
      <c r="G55" t="inlineStr">
        <is>
          <t>00</t>
        </is>
      </c>
      <c r="H55" t="inlineStr">
        <is>
          <t>00</t>
        </is>
      </c>
      <c r="I55" t="inlineStr">
        <is>
          <t>00</t>
        </is>
      </c>
      <c r="J55" t="inlineStr">
        <is>
          <t>SIN PRODUCTO DANE</t>
        </is>
      </c>
      <c r="K55" t="inlineStr">
        <is>
          <t>00</t>
        </is>
      </c>
      <c r="L55" t="inlineStr">
        <is>
          <t>SIN ATRIBUTO</t>
        </is>
      </c>
      <c r="N55" t="inlineStr">
        <is>
          <t>2.1.2.02</t>
        </is>
      </c>
      <c r="O55" t="inlineStr">
        <is>
          <t>Adquisiciones diferentes de activos</t>
        </is>
      </c>
      <c r="P55" t="inlineStr">
        <is>
          <t>00</t>
        </is>
      </c>
      <c r="Q55" t="inlineStr">
        <is>
          <t>RECURSOS</t>
        </is>
      </c>
      <c r="R55" t="n">
        <v>1172400000</v>
      </c>
      <c r="S55" t="n">
        <v>1607176</v>
      </c>
      <c r="T55" t="n">
        <v>72667595</v>
      </c>
      <c r="U55" t="n">
        <v>206135818</v>
      </c>
      <c r="V55" t="n">
        <v>231465068</v>
      </c>
      <c r="W55" t="n">
        <v>0</v>
      </c>
      <c r="X55" t="n">
        <v>0</v>
      </c>
      <c r="Y55" t="n">
        <v>1076010331</v>
      </c>
      <c r="Z55" t="n">
        <v>671355303.6</v>
      </c>
      <c r="AA55" t="n">
        <v>659381976.6</v>
      </c>
      <c r="AB55" t="n">
        <v>315163326.6</v>
      </c>
      <c r="AC55" t="n">
        <v>315163326.6</v>
      </c>
      <c r="AD55" t="n">
        <v>404655027.4</v>
      </c>
      <c r="AE55" t="n">
        <v>62.39</v>
      </c>
    </row>
    <row r="56">
      <c r="A56" t="inlineStr">
        <is>
          <t>1 - ADMINISTRACIÓN CENTRAL</t>
        </is>
      </c>
      <c r="B56" t="inlineStr">
        <is>
          <t>00 - SIN SECTOR</t>
        </is>
      </c>
      <c r="C56" t="inlineStr">
        <is>
          <t>00</t>
        </is>
      </c>
      <c r="D56" t="inlineStr">
        <is>
          <t>0000</t>
        </is>
      </c>
      <c r="E56" t="inlineStr">
        <is>
          <t>000000</t>
        </is>
      </c>
      <c r="F56" t="inlineStr">
        <is>
          <t>SIN PRODUCTO</t>
        </is>
      </c>
      <c r="G56" t="inlineStr">
        <is>
          <t>00</t>
        </is>
      </c>
      <c r="H56" t="inlineStr">
        <is>
          <t>00</t>
        </is>
      </c>
      <c r="I56" t="inlineStr">
        <is>
          <t>00</t>
        </is>
      </c>
      <c r="J56" t="inlineStr">
        <is>
          <t>SIN PRODUCTO DANE</t>
        </is>
      </c>
      <c r="K56" t="inlineStr">
        <is>
          <t>00</t>
        </is>
      </c>
      <c r="L56" t="inlineStr">
        <is>
          <t>SIN ATRIBUTO</t>
        </is>
      </c>
      <c r="N56" t="inlineStr">
        <is>
          <t>2.1.2.02.01</t>
        </is>
      </c>
      <c r="O56" t="inlineStr">
        <is>
          <t>Materiales y suministros</t>
        </is>
      </c>
      <c r="P56" t="inlineStr">
        <is>
          <t>00</t>
        </is>
      </c>
      <c r="Q56" t="inlineStr">
        <is>
          <t>RECURSOS</t>
        </is>
      </c>
      <c r="R56" t="n">
        <v>93900000</v>
      </c>
      <c r="S56" t="n">
        <v>1607176</v>
      </c>
      <c r="T56" t="n">
        <v>5000000</v>
      </c>
      <c r="U56" t="n">
        <v>0</v>
      </c>
      <c r="V56" t="n">
        <v>2000000</v>
      </c>
      <c r="W56" t="n">
        <v>0</v>
      </c>
      <c r="X56" t="n">
        <v>0</v>
      </c>
      <c r="Y56" t="n">
        <v>88507176</v>
      </c>
      <c r="Z56" t="n">
        <v>0</v>
      </c>
      <c r="AA56" t="n">
        <v>0</v>
      </c>
      <c r="AB56" t="n">
        <v>0</v>
      </c>
      <c r="AC56" t="n">
        <v>0</v>
      </c>
      <c r="AD56" t="n">
        <v>88507176</v>
      </c>
      <c r="AE56" t="n">
        <v>0</v>
      </c>
    </row>
    <row r="57">
      <c r="A57" t="inlineStr">
        <is>
          <t>1 - ADMINISTRACIÓN CENTRAL</t>
        </is>
      </c>
      <c r="B57" t="inlineStr">
        <is>
          <t>00 - SIN SECTOR</t>
        </is>
      </c>
      <c r="C57" t="inlineStr">
        <is>
          <t>00</t>
        </is>
      </c>
      <c r="D57" t="inlineStr">
        <is>
          <t>0000</t>
        </is>
      </c>
      <c r="E57" t="inlineStr">
        <is>
          <t>000000</t>
        </is>
      </c>
      <c r="F57" t="inlineStr">
        <is>
          <t>SIN PRODUCTO</t>
        </is>
      </c>
      <c r="G57" t="inlineStr">
        <is>
          <t>00</t>
        </is>
      </c>
      <c r="H57" t="inlineStr">
        <is>
          <t>00</t>
        </is>
      </c>
      <c r="I57" t="inlineStr">
        <is>
          <t>00</t>
        </is>
      </c>
      <c r="J57" t="inlineStr">
        <is>
          <t>SIN PRODUCTO DANE</t>
        </is>
      </c>
      <c r="K57" t="inlineStr">
        <is>
          <t>00</t>
        </is>
      </c>
      <c r="L57" t="inlineStr">
        <is>
          <t>SIN ATRIBUTO</t>
        </is>
      </c>
      <c r="N57" t="inlineStr">
        <is>
          <t>2.1.2.02.01.002</t>
        </is>
      </c>
      <c r="O57" t="inlineStr">
        <is>
          <t>Productos alimenticios, bebidas y tabaco, textiles, prendas de vestir y productos de cuero</t>
        </is>
      </c>
      <c r="P57" t="inlineStr">
        <is>
          <t>00</t>
        </is>
      </c>
      <c r="Q57" t="inlineStr">
        <is>
          <t>RECURSOS</t>
        </is>
      </c>
      <c r="R57" t="n">
        <v>23000000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23000000</v>
      </c>
      <c r="Z57" t="n">
        <v>0</v>
      </c>
      <c r="AA57" t="n">
        <v>0</v>
      </c>
      <c r="AB57" t="n">
        <v>0</v>
      </c>
      <c r="AC57" t="n">
        <v>0</v>
      </c>
      <c r="AD57" t="n">
        <v>23000000</v>
      </c>
      <c r="AE57" t="n">
        <v>0</v>
      </c>
    </row>
    <row r="58">
      <c r="A58" t="inlineStr">
        <is>
          <t>1 - ADMINISTRACIÓN CENTRAL</t>
        </is>
      </c>
      <c r="B58" t="inlineStr">
        <is>
          <t>00 - SIN SECTOR</t>
        </is>
      </c>
      <c r="C58" t="inlineStr">
        <is>
          <t>00</t>
        </is>
      </c>
      <c r="D58" t="inlineStr">
        <is>
          <t>0000</t>
        </is>
      </c>
      <c r="E58" t="inlineStr">
        <is>
          <t>000000</t>
        </is>
      </c>
      <c r="F58" t="inlineStr">
        <is>
          <t>SIN PRODUCTO</t>
        </is>
      </c>
      <c r="G58" t="inlineStr">
        <is>
          <t>00</t>
        </is>
      </c>
      <c r="H58" t="inlineStr">
        <is>
          <t>00</t>
        </is>
      </c>
      <c r="I58" t="inlineStr">
        <is>
          <t>2823609</t>
        </is>
      </c>
      <c r="J58" t="inlineStr">
        <is>
          <t>Uniformes de trabajo</t>
        </is>
      </c>
      <c r="K58" t="inlineStr">
        <is>
          <t>00</t>
        </is>
      </c>
      <c r="L58" t="inlineStr">
        <is>
          <t>SIN ATRIBUTO</t>
        </is>
      </c>
      <c r="N58" t="inlineStr">
        <is>
          <t>2.1.2.02.01.002.01</t>
        </is>
      </c>
      <c r="O58" t="inlineStr">
        <is>
          <t>Dotacion empleados</t>
        </is>
      </c>
      <c r="P58" t="inlineStr">
        <is>
          <t>360</t>
        </is>
      </c>
      <c r="Q58" t="inlineStr">
        <is>
          <t>SGP PROPOSITO GENERAL 42 POR CIENTO RECURSOS LIBRE DESTINACION SGP PROPOSITO GENERAL MPIOS DE CATEGORIA 4 5 Y 6 SGP ONCE</t>
        </is>
      </c>
      <c r="R58" t="n">
        <v>23000000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23000000</v>
      </c>
      <c r="Z58" t="n">
        <v>0</v>
      </c>
      <c r="AA58" t="n">
        <v>0</v>
      </c>
      <c r="AB58" t="n">
        <v>0</v>
      </c>
      <c r="AC58" t="n">
        <v>0</v>
      </c>
      <c r="AD58" t="n">
        <v>23000000</v>
      </c>
      <c r="AE58" t="n">
        <v>0</v>
      </c>
    </row>
    <row r="59">
      <c r="A59" t="inlineStr">
        <is>
          <t>1 - ADMINISTRACIÓN CENTRAL</t>
        </is>
      </c>
      <c r="B59" t="inlineStr">
        <is>
          <t>00 - SIN SECTOR</t>
        </is>
      </c>
      <c r="C59" t="inlineStr">
        <is>
          <t>00</t>
        </is>
      </c>
      <c r="D59" t="inlineStr">
        <is>
          <t>0000</t>
        </is>
      </c>
      <c r="E59" t="inlineStr">
        <is>
          <t>000000</t>
        </is>
      </c>
      <c r="F59" t="inlineStr">
        <is>
          <t>SIN PRODUCTO</t>
        </is>
      </c>
      <c r="G59" t="inlineStr">
        <is>
          <t>00</t>
        </is>
      </c>
      <c r="H59" t="inlineStr">
        <is>
          <t>00</t>
        </is>
      </c>
      <c r="I59" t="inlineStr">
        <is>
          <t>00</t>
        </is>
      </c>
      <c r="J59" t="inlineStr">
        <is>
          <t>SIN PRODUCTO DANE</t>
        </is>
      </c>
      <c r="K59" t="inlineStr">
        <is>
          <t>00</t>
        </is>
      </c>
      <c r="L59" t="inlineStr">
        <is>
          <t>SIN ATRIBUTO</t>
        </is>
      </c>
      <c r="N59" t="inlineStr">
        <is>
          <t>2.1.2.02.01.003</t>
        </is>
      </c>
      <c r="O59" t="inlineStr">
        <is>
          <t>Otros bienes transportables excepto productos metalicos, maquinaria y equipo</t>
        </is>
      </c>
      <c r="P59" t="inlineStr">
        <is>
          <t>00</t>
        </is>
      </c>
      <c r="Q59" t="inlineStr">
        <is>
          <t>RECURSOS</t>
        </is>
      </c>
      <c r="R59" t="n">
        <v>60000000</v>
      </c>
      <c r="S59" t="n">
        <v>0</v>
      </c>
      <c r="T59" t="n">
        <v>5000000</v>
      </c>
      <c r="U59" t="n">
        <v>0</v>
      </c>
      <c r="V59" t="n">
        <v>2000000</v>
      </c>
      <c r="W59" t="n">
        <v>0</v>
      </c>
      <c r="X59" t="n">
        <v>0</v>
      </c>
      <c r="Y59" t="n">
        <v>53000000</v>
      </c>
      <c r="Z59" t="n">
        <v>0</v>
      </c>
      <c r="AA59" t="n">
        <v>0</v>
      </c>
      <c r="AB59" t="n">
        <v>0</v>
      </c>
      <c r="AC59" t="n">
        <v>0</v>
      </c>
      <c r="AD59" t="n">
        <v>53000000</v>
      </c>
      <c r="AE59" t="n">
        <v>0</v>
      </c>
    </row>
    <row r="60">
      <c r="A60" t="inlineStr">
        <is>
          <t>1 - ADMINISTRACIÓN CENTRAL</t>
        </is>
      </c>
      <c r="B60" t="inlineStr">
        <is>
          <t>00 - SIN SECTOR</t>
        </is>
      </c>
      <c r="C60" t="inlineStr">
        <is>
          <t>00</t>
        </is>
      </c>
      <c r="D60" t="inlineStr">
        <is>
          <t>0000</t>
        </is>
      </c>
      <c r="E60" t="inlineStr">
        <is>
          <t>000000</t>
        </is>
      </c>
      <c r="F60" t="inlineStr">
        <is>
          <t>SIN PRODUCTO</t>
        </is>
      </c>
      <c r="G60" t="inlineStr">
        <is>
          <t>00</t>
        </is>
      </c>
      <c r="H60" t="inlineStr">
        <is>
          <t>00</t>
        </is>
      </c>
      <c r="I60" t="inlineStr">
        <is>
          <t>3899998</t>
        </is>
      </c>
      <c r="J60" t="inlineStr">
        <is>
          <t>Artículos n.c.p. para escritorio y oficina</t>
        </is>
      </c>
      <c r="K60" t="inlineStr">
        <is>
          <t>00</t>
        </is>
      </c>
      <c r="L60" t="inlineStr">
        <is>
          <t>SIN ATRIBUTO</t>
        </is>
      </c>
      <c r="N60" t="inlineStr">
        <is>
          <t>2.1.2.02.01.003.01</t>
        </is>
      </c>
      <c r="O60" t="inlineStr">
        <is>
          <t>Insumos de papeleria y archivo</t>
        </is>
      </c>
      <c r="P60" t="inlineStr">
        <is>
          <t>360</t>
        </is>
      </c>
      <c r="Q60" t="inlineStr">
        <is>
          <t>SGP PROPOSITO GENERAL 42 POR CIENTO RECURSOS LIBRE DESTINACION SGP PROPOSITO GENERAL MPIOS DE CATEGORIA 4 5 Y 6 SGP ONCE</t>
        </is>
      </c>
      <c r="R60" t="n">
        <v>40000000</v>
      </c>
      <c r="S60" t="n">
        <v>0</v>
      </c>
      <c r="T60" t="n">
        <v>5000000</v>
      </c>
      <c r="U60" t="n">
        <v>0</v>
      </c>
      <c r="V60" t="n">
        <v>2000000</v>
      </c>
      <c r="W60" t="n">
        <v>0</v>
      </c>
      <c r="X60" t="n">
        <v>0</v>
      </c>
      <c r="Y60" t="n">
        <v>33000000</v>
      </c>
      <c r="Z60" t="n">
        <v>0</v>
      </c>
      <c r="AA60" t="n">
        <v>0</v>
      </c>
      <c r="AB60" t="n">
        <v>0</v>
      </c>
      <c r="AC60" t="n">
        <v>0</v>
      </c>
      <c r="AD60" t="n">
        <v>33000000</v>
      </c>
      <c r="AE60" t="n">
        <v>0</v>
      </c>
    </row>
    <row r="61">
      <c r="A61" t="inlineStr">
        <is>
          <t>1 - ADMINISTRACIÓN CENTRAL</t>
        </is>
      </c>
      <c r="B61" t="inlineStr">
        <is>
          <t>00 - SIN SECTOR</t>
        </is>
      </c>
      <c r="C61" t="inlineStr">
        <is>
          <t>00</t>
        </is>
      </c>
      <c r="D61" t="inlineStr">
        <is>
          <t>0000</t>
        </is>
      </c>
      <c r="E61" t="inlineStr">
        <is>
          <t>000000</t>
        </is>
      </c>
      <c r="F61" t="inlineStr">
        <is>
          <t>SIN PRODUCTO</t>
        </is>
      </c>
      <c r="G61" t="inlineStr">
        <is>
          <t>00</t>
        </is>
      </c>
      <c r="H61" t="inlineStr">
        <is>
          <t>00</t>
        </is>
      </c>
      <c r="I61" t="inlineStr">
        <is>
          <t>3899998</t>
        </is>
      </c>
      <c r="J61" t="inlineStr">
        <is>
          <t>Artículos n.c.p. para escritorio y oficina</t>
        </is>
      </c>
      <c r="K61" t="inlineStr">
        <is>
          <t>00</t>
        </is>
      </c>
      <c r="L61" t="inlineStr">
        <is>
          <t>SIN ATRIBUTO</t>
        </is>
      </c>
      <c r="N61" t="inlineStr">
        <is>
          <t>2.1.2.02.01.003.02</t>
        </is>
      </c>
      <c r="O61" t="inlineStr">
        <is>
          <t>Insumos de aseo y cafeteria</t>
        </is>
      </c>
      <c r="P61" t="inlineStr">
        <is>
          <t>360</t>
        </is>
      </c>
      <c r="Q61" t="inlineStr">
        <is>
          <t>SGP PROPOSITO GENERAL 42 POR CIENTO RECURSOS LIBRE DESTINACION SGP PROPOSITO GENERAL MPIOS DE CATEGORIA 4 5 Y 6 SGP ONCE</t>
        </is>
      </c>
      <c r="R61" t="n">
        <v>20000000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20000000</v>
      </c>
      <c r="Z61" t="n">
        <v>0</v>
      </c>
      <c r="AA61" t="n">
        <v>0</v>
      </c>
      <c r="AB61" t="n">
        <v>0</v>
      </c>
      <c r="AC61" t="n">
        <v>0</v>
      </c>
      <c r="AD61" t="n">
        <v>20000000</v>
      </c>
      <c r="AE61" t="n">
        <v>0</v>
      </c>
    </row>
    <row r="62">
      <c r="A62" t="inlineStr">
        <is>
          <t>1 - ADMINISTRACIÓN CENTRAL</t>
        </is>
      </c>
      <c r="B62" t="inlineStr">
        <is>
          <t>00 - SIN SECTOR</t>
        </is>
      </c>
      <c r="C62" t="inlineStr">
        <is>
          <t>00</t>
        </is>
      </c>
      <c r="D62" t="inlineStr">
        <is>
          <t>0000</t>
        </is>
      </c>
      <c r="E62" t="inlineStr">
        <is>
          <t>000000</t>
        </is>
      </c>
      <c r="F62" t="inlineStr">
        <is>
          <t>SIN PRODUCTO</t>
        </is>
      </c>
      <c r="G62" t="inlineStr">
        <is>
          <t>00</t>
        </is>
      </c>
      <c r="H62" t="inlineStr">
        <is>
          <t>00</t>
        </is>
      </c>
      <c r="I62" t="inlineStr">
        <is>
          <t>00</t>
        </is>
      </c>
      <c r="J62" t="inlineStr">
        <is>
          <t>SIN PRODUCTO DANE</t>
        </is>
      </c>
      <c r="K62" t="inlineStr">
        <is>
          <t>00</t>
        </is>
      </c>
      <c r="L62" t="inlineStr">
        <is>
          <t>SIN ATRIBUTO</t>
        </is>
      </c>
      <c r="N62" t="inlineStr">
        <is>
          <t>2.1.2.02.01.004</t>
        </is>
      </c>
      <c r="O62" t="inlineStr">
        <is>
          <t>Productos metalicos y paquetes de software</t>
        </is>
      </c>
      <c r="P62" t="inlineStr">
        <is>
          <t>00</t>
        </is>
      </c>
      <c r="Q62" t="inlineStr">
        <is>
          <t>RECURSOS</t>
        </is>
      </c>
      <c r="R62" t="n">
        <v>10000000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10000000</v>
      </c>
      <c r="Z62" t="n">
        <v>0</v>
      </c>
      <c r="AA62" t="n">
        <v>0</v>
      </c>
      <c r="AB62" t="n">
        <v>0</v>
      </c>
      <c r="AC62" t="n">
        <v>0</v>
      </c>
      <c r="AD62" t="n">
        <v>10000000</v>
      </c>
      <c r="AE62" t="n">
        <v>0</v>
      </c>
    </row>
    <row r="63">
      <c r="A63" t="inlineStr">
        <is>
          <t>1 - ADMINISTRACIÓN CENTRAL</t>
        </is>
      </c>
      <c r="B63" t="inlineStr">
        <is>
          <t>00 - SIN SECTOR</t>
        </is>
      </c>
      <c r="C63" t="inlineStr">
        <is>
          <t>00</t>
        </is>
      </c>
      <c r="D63" t="inlineStr">
        <is>
          <t>0000</t>
        </is>
      </c>
      <c r="E63" t="inlineStr">
        <is>
          <t>000000</t>
        </is>
      </c>
      <c r="F63" t="inlineStr">
        <is>
          <t>SIN PRODUCTO</t>
        </is>
      </c>
      <c r="G63" t="inlineStr">
        <is>
          <t>00</t>
        </is>
      </c>
      <c r="H63" t="inlineStr">
        <is>
          <t>00</t>
        </is>
      </c>
      <c r="I63" t="inlineStr">
        <is>
          <t>4299991</t>
        </is>
      </c>
      <c r="J63" t="inlineStr">
        <is>
          <t>Artículos n.c.p. de ferretería y cerrajería</t>
        </is>
      </c>
      <c r="K63" t="inlineStr">
        <is>
          <t>00</t>
        </is>
      </c>
      <c r="L63" t="inlineStr">
        <is>
          <t>SIN ATRIBUTO</t>
        </is>
      </c>
      <c r="N63" t="inlineStr">
        <is>
          <t>2.1.2.02.01.004.01</t>
        </is>
      </c>
      <c r="O63" t="inlineStr">
        <is>
          <t>Insumos de ferreteria para mantenimientos internos</t>
        </is>
      </c>
      <c r="P63" t="inlineStr">
        <is>
          <t>360</t>
        </is>
      </c>
      <c r="Q63" t="inlineStr">
        <is>
          <t>SGP PROPOSITO GENERAL 42 POR CIENTO RECURSOS LIBRE DESTINACION SGP PROPOSITO GENERAL MPIOS DE CATEGORIA 4 5 Y 6 SGP ONCE</t>
        </is>
      </c>
      <c r="R63" t="n">
        <v>10000000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10000000</v>
      </c>
      <c r="Z63" t="n">
        <v>0</v>
      </c>
      <c r="AA63" t="n">
        <v>0</v>
      </c>
      <c r="AB63" t="n">
        <v>0</v>
      </c>
      <c r="AC63" t="n">
        <v>0</v>
      </c>
      <c r="AD63" t="n">
        <v>10000000</v>
      </c>
      <c r="AE63" t="n">
        <v>0</v>
      </c>
    </row>
    <row r="64">
      <c r="A64" t="inlineStr">
        <is>
          <t>1 - ADMINISTRACIÓN CENTRAL</t>
        </is>
      </c>
      <c r="B64" t="inlineStr">
        <is>
          <t>00 - SIN SECTOR</t>
        </is>
      </c>
      <c r="C64" t="inlineStr">
        <is>
          <t>00</t>
        </is>
      </c>
      <c r="D64" t="inlineStr">
        <is>
          <t>0000</t>
        </is>
      </c>
      <c r="E64" t="inlineStr">
        <is>
          <t>000000</t>
        </is>
      </c>
      <c r="F64" t="inlineStr">
        <is>
          <t>SIN PRODUCTO</t>
        </is>
      </c>
      <c r="G64" t="inlineStr">
        <is>
          <t>00</t>
        </is>
      </c>
      <c r="H64" t="inlineStr">
        <is>
          <t>00</t>
        </is>
      </c>
      <c r="I64" t="inlineStr">
        <is>
          <t>00</t>
        </is>
      </c>
      <c r="J64" t="inlineStr">
        <is>
          <t>SIN PRODUCTO DANE</t>
        </is>
      </c>
      <c r="K64" t="inlineStr">
        <is>
          <t>00</t>
        </is>
      </c>
      <c r="L64" t="inlineStr">
        <is>
          <t>SIN ATRIBUTO</t>
        </is>
      </c>
      <c r="N64" t="inlineStr">
        <is>
          <t>2.1.2.02.02</t>
        </is>
      </c>
      <c r="O64" t="inlineStr">
        <is>
          <t>Adquisicion de servicios</t>
        </is>
      </c>
      <c r="P64" t="inlineStr">
        <is>
          <t>00</t>
        </is>
      </c>
      <c r="Q64" t="inlineStr">
        <is>
          <t>RECURSOS</t>
        </is>
      </c>
      <c r="R64" t="n">
        <v>1078500000</v>
      </c>
      <c r="S64" t="n">
        <v>0</v>
      </c>
      <c r="T64" t="n">
        <v>67667595</v>
      </c>
      <c r="U64" t="n">
        <v>206135818</v>
      </c>
      <c r="V64" t="n">
        <v>229465068</v>
      </c>
      <c r="W64" t="n">
        <v>0</v>
      </c>
      <c r="X64" t="n">
        <v>0</v>
      </c>
      <c r="Y64" t="n">
        <v>987503155</v>
      </c>
      <c r="Z64" t="n">
        <v>671355303.6</v>
      </c>
      <c r="AA64" t="n">
        <v>659381976.6</v>
      </c>
      <c r="AB64" t="n">
        <v>315163326.6</v>
      </c>
      <c r="AC64" t="n">
        <v>315163326.6</v>
      </c>
      <c r="AD64" t="n">
        <v>316147851.4</v>
      </c>
      <c r="AE64" t="n">
        <v>67.98999999999999</v>
      </c>
    </row>
    <row r="65">
      <c r="A65" t="inlineStr">
        <is>
          <t>1 - ADMINISTRACIÓN CENTRAL</t>
        </is>
      </c>
      <c r="B65" t="inlineStr">
        <is>
          <t>00 - SIN SECTOR</t>
        </is>
      </c>
      <c r="C65" t="inlineStr">
        <is>
          <t>00</t>
        </is>
      </c>
      <c r="D65" t="inlineStr">
        <is>
          <t>0000</t>
        </is>
      </c>
      <c r="E65" t="inlineStr">
        <is>
          <t>000000</t>
        </is>
      </c>
      <c r="F65" t="inlineStr">
        <is>
          <t>SIN PRODUCTO</t>
        </is>
      </c>
      <c r="G65" t="inlineStr">
        <is>
          <t>00</t>
        </is>
      </c>
      <c r="H65" t="inlineStr">
        <is>
          <t>00</t>
        </is>
      </c>
      <c r="I65" t="inlineStr">
        <is>
          <t>69111</t>
        </is>
      </c>
      <c r="J65" t="inlineStr">
        <is>
          <t>Servicio de transmisión de electricidad (por cuenta propia)</t>
        </is>
      </c>
      <c r="K65" t="inlineStr">
        <is>
          <t>00</t>
        </is>
      </c>
      <c r="L65" t="inlineStr">
        <is>
          <t>SIN ATRIBUTO</t>
        </is>
      </c>
      <c r="N65" t="inlineStr">
        <is>
          <t>2.1.2.02.02.006.01</t>
        </is>
      </c>
      <c r="O65" t="inlineStr">
        <is>
          <t>Servicio de energia</t>
        </is>
      </c>
      <c r="P65" t="inlineStr">
        <is>
          <t>360</t>
        </is>
      </c>
      <c r="Q65" t="inlineStr">
        <is>
          <t>SGP PROPOSITO GENERAL 42 POR CIENTO RECURSOS LIBRE DESTINACION SGP PROPOSITO GENERAL MPIOS DE CATEGORIA 4 5 Y 6 SGP ONCE</t>
        </is>
      </c>
      <c r="R65" t="n">
        <v>100000000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100000000</v>
      </c>
      <c r="Z65" t="n">
        <v>39352097</v>
      </c>
      <c r="AA65" t="n">
        <v>39352097</v>
      </c>
      <c r="AB65" t="n">
        <v>39352097</v>
      </c>
      <c r="AC65" t="n">
        <v>39352097</v>
      </c>
      <c r="AD65" t="n">
        <v>60647903</v>
      </c>
      <c r="AE65" t="n">
        <v>39.35</v>
      </c>
    </row>
    <row r="66">
      <c r="A66" t="inlineStr">
        <is>
          <t>1 - ADMINISTRACIÓN CENTRAL</t>
        </is>
      </c>
      <c r="B66" t="inlineStr">
        <is>
          <t>00 - SIN SECTOR</t>
        </is>
      </c>
      <c r="C66" t="inlineStr">
        <is>
          <t>00</t>
        </is>
      </c>
      <c r="D66" t="inlineStr">
        <is>
          <t>0000</t>
        </is>
      </c>
      <c r="E66" t="inlineStr">
        <is>
          <t>000000</t>
        </is>
      </c>
      <c r="F66" t="inlineStr">
        <is>
          <t>SIN PRODUCTO</t>
        </is>
      </c>
      <c r="G66" t="inlineStr">
        <is>
          <t>00</t>
        </is>
      </c>
      <c r="H66" t="inlineStr">
        <is>
          <t>00</t>
        </is>
      </c>
      <c r="I66" t="inlineStr">
        <is>
          <t>69210</t>
        </is>
      </c>
      <c r="J66" t="inlineStr">
        <is>
          <t>Servicios de distribución de agua por tuberías (excepto vapor y agua caliente), por cuenta propia</t>
        </is>
      </c>
      <c r="K66" t="inlineStr">
        <is>
          <t>00</t>
        </is>
      </c>
      <c r="L66" t="inlineStr">
        <is>
          <t>SIN ATRIBUTO</t>
        </is>
      </c>
      <c r="N66" t="inlineStr">
        <is>
          <t>2.1.2.02.02.006.02</t>
        </is>
      </c>
      <c r="O66" t="inlineStr">
        <is>
          <t>Servicio de AAA</t>
        </is>
      </c>
      <c r="P66" t="inlineStr">
        <is>
          <t>360</t>
        </is>
      </c>
      <c r="Q66" t="inlineStr">
        <is>
          <t>SGP PROPOSITO GENERAL 42 POR CIENTO RECURSOS LIBRE DESTINACION SGP PROPOSITO GENERAL MPIOS DE CATEGORIA 4 5 Y 6 SGP ONCE</t>
        </is>
      </c>
      <c r="R66" t="n">
        <v>1000000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1000000</v>
      </c>
      <c r="Z66" t="n">
        <v>609000</v>
      </c>
      <c r="AA66" t="n">
        <v>609000</v>
      </c>
      <c r="AB66" t="n">
        <v>609000</v>
      </c>
      <c r="AC66" t="n">
        <v>609000</v>
      </c>
      <c r="AD66" t="n">
        <v>391000</v>
      </c>
      <c r="AE66" t="n">
        <v>60.9</v>
      </c>
    </row>
    <row r="67">
      <c r="A67" t="inlineStr">
        <is>
          <t>1 - ADMINISTRACIÓN CENTRAL</t>
        </is>
      </c>
      <c r="B67" t="inlineStr">
        <is>
          <t>00 - SIN SECTOR</t>
        </is>
      </c>
      <c r="C67" t="inlineStr">
        <is>
          <t>00</t>
        </is>
      </c>
      <c r="D67" t="inlineStr">
        <is>
          <t>0000</t>
        </is>
      </c>
      <c r="E67" t="inlineStr">
        <is>
          <t>000000</t>
        </is>
      </c>
      <c r="F67" t="inlineStr">
        <is>
          <t>SIN PRODUCTO</t>
        </is>
      </c>
      <c r="G67" t="inlineStr">
        <is>
          <t>00</t>
        </is>
      </c>
      <c r="H67" t="inlineStr">
        <is>
          <t>00</t>
        </is>
      </c>
      <c r="I67" t="inlineStr">
        <is>
          <t>00</t>
        </is>
      </c>
      <c r="J67" t="inlineStr">
        <is>
          <t>SIN PRODUCTO DANE</t>
        </is>
      </c>
      <c r="K67" t="inlineStr">
        <is>
          <t>00</t>
        </is>
      </c>
      <c r="L67" t="inlineStr">
        <is>
          <t>SIN ATRIBUTO</t>
        </is>
      </c>
      <c r="N67" t="inlineStr">
        <is>
          <t>2.1.2.02.02.007</t>
        </is>
      </c>
      <c r="O67" t="inlineStr">
        <is>
          <t>Servicios financieros y servicios conexos, servicios inmobiliarios y servicios de leasing</t>
        </is>
      </c>
      <c r="P67" t="inlineStr">
        <is>
          <t>00</t>
        </is>
      </c>
      <c r="Q67" t="inlineStr">
        <is>
          <t>RECURSOS</t>
        </is>
      </c>
      <c r="R67" t="n">
        <v>141500000</v>
      </c>
      <c r="S67" t="n">
        <v>0</v>
      </c>
      <c r="T67" t="n">
        <v>14500000</v>
      </c>
      <c r="U67" t="n">
        <v>0</v>
      </c>
      <c r="V67" t="n">
        <v>5000000</v>
      </c>
      <c r="W67" t="n">
        <v>0</v>
      </c>
      <c r="X67" t="n">
        <v>0</v>
      </c>
      <c r="Y67" t="n">
        <v>122000000</v>
      </c>
      <c r="Z67" t="n">
        <v>105500000</v>
      </c>
      <c r="AA67" t="n">
        <v>94950000</v>
      </c>
      <c r="AB67" t="n">
        <v>21100000</v>
      </c>
      <c r="AC67" t="n">
        <v>21100000</v>
      </c>
      <c r="AD67" t="n">
        <v>16500000</v>
      </c>
      <c r="AE67" t="n">
        <v>86.48</v>
      </c>
    </row>
    <row r="68">
      <c r="A68" t="inlineStr">
        <is>
          <t>1 - ADMINISTRACIÓN CENTRAL</t>
        </is>
      </c>
      <c r="B68" t="inlineStr">
        <is>
          <t>00 - SIN SECTOR</t>
        </is>
      </c>
      <c r="C68" t="inlineStr">
        <is>
          <t>00</t>
        </is>
      </c>
      <c r="D68" t="inlineStr">
        <is>
          <t>0000</t>
        </is>
      </c>
      <c r="E68" t="inlineStr">
        <is>
          <t>000000</t>
        </is>
      </c>
      <c r="F68" t="inlineStr">
        <is>
          <t>SIN PRODUCTO</t>
        </is>
      </c>
      <c r="G68" t="inlineStr">
        <is>
          <t>00</t>
        </is>
      </c>
      <c r="H68" t="inlineStr">
        <is>
          <t>00</t>
        </is>
      </c>
      <c r="I68" t="inlineStr">
        <is>
          <t>71311</t>
        </is>
      </c>
      <c r="J68" t="inlineStr">
        <is>
          <t>Servicios de seguros de vida individual</t>
        </is>
      </c>
      <c r="K68" t="inlineStr">
        <is>
          <t>00</t>
        </is>
      </c>
      <c r="L68" t="inlineStr">
        <is>
          <t>SIN ATRIBUTO</t>
        </is>
      </c>
      <c r="N68" t="inlineStr">
        <is>
          <t>2.1.2.02.02.007.01</t>
        </is>
      </c>
      <c r="O68" t="inlineStr">
        <is>
          <t>Seguros de vida Alcalde</t>
        </is>
      </c>
      <c r="P68" t="inlineStr">
        <is>
          <t>360</t>
        </is>
      </c>
      <c r="Q68" t="inlineStr">
        <is>
          <t>SGP PROPOSITO GENERAL 42 POR CIENTO RECURSOS LIBRE DESTINACION SGP PROPOSITO GENERAL MPIOS DE CATEGORIA 4 5 Y 6 SGP ONCE</t>
        </is>
      </c>
      <c r="R68" t="n">
        <v>1500000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1500000</v>
      </c>
      <c r="Z68" t="n">
        <v>0</v>
      </c>
      <c r="AA68" t="n">
        <v>0</v>
      </c>
      <c r="AB68" t="n">
        <v>0</v>
      </c>
      <c r="AC68" t="n">
        <v>0</v>
      </c>
      <c r="AD68" t="n">
        <v>1500000</v>
      </c>
      <c r="AE68" t="n">
        <v>0</v>
      </c>
    </row>
    <row r="69">
      <c r="A69" t="inlineStr">
        <is>
          <t>1 - ADMINISTRACIÓN CENTRAL</t>
        </is>
      </c>
      <c r="B69" t="inlineStr">
        <is>
          <t>00 - SIN SECTOR</t>
        </is>
      </c>
      <c r="C69" t="inlineStr">
        <is>
          <t>00</t>
        </is>
      </c>
      <c r="D69" t="inlineStr">
        <is>
          <t>0000</t>
        </is>
      </c>
      <c r="E69" t="inlineStr">
        <is>
          <t>000000</t>
        </is>
      </c>
      <c r="F69" t="inlineStr">
        <is>
          <t>SIN PRODUCTO</t>
        </is>
      </c>
      <c r="G69" t="inlineStr">
        <is>
          <t>00</t>
        </is>
      </c>
      <c r="H69" t="inlineStr">
        <is>
          <t>00</t>
        </is>
      </c>
      <c r="I69" t="inlineStr">
        <is>
          <t>71311</t>
        </is>
      </c>
      <c r="J69" t="inlineStr">
        <is>
          <t>Servicios de seguros de vida individual</t>
        </is>
      </c>
      <c r="K69" t="inlineStr">
        <is>
          <t>00</t>
        </is>
      </c>
      <c r="L69" t="inlineStr">
        <is>
          <t>SIN ATRIBUTO</t>
        </is>
      </c>
      <c r="N69" t="inlineStr">
        <is>
          <t>2.1.2.02.02.007.02</t>
        </is>
      </c>
      <c r="O69" t="inlineStr">
        <is>
          <t>Seguros de vida Concejales</t>
        </is>
      </c>
      <c r="P69" t="inlineStr">
        <is>
          <t>360</t>
        </is>
      </c>
      <c r="Q69" t="inlineStr">
        <is>
          <t>SGP PROPOSITO GENERAL 42 POR CIENTO RECURSOS LIBRE DESTINACION SGP PROPOSITO GENERAL MPIOS DE CATEGORIA 4 5 Y 6 SGP ONCE</t>
        </is>
      </c>
      <c r="R69" t="n">
        <v>15000000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15000000</v>
      </c>
      <c r="Z69" t="n">
        <v>0</v>
      </c>
      <c r="AA69" t="n">
        <v>0</v>
      </c>
      <c r="AB69" t="n">
        <v>0</v>
      </c>
      <c r="AC69" t="n">
        <v>0</v>
      </c>
      <c r="AD69" t="n">
        <v>15000000</v>
      </c>
      <c r="AE69" t="n">
        <v>0</v>
      </c>
    </row>
    <row r="70">
      <c r="A70" t="inlineStr">
        <is>
          <t>1 - ADMINISTRACIÓN CENTRAL</t>
        </is>
      </c>
      <c r="B70" t="inlineStr">
        <is>
          <t>00 - SIN SECTOR</t>
        </is>
      </c>
      <c r="C70" t="inlineStr">
        <is>
          <t>00</t>
        </is>
      </c>
      <c r="D70" t="inlineStr">
        <is>
          <t>0000</t>
        </is>
      </c>
      <c r="E70" t="inlineStr">
        <is>
          <t>000000</t>
        </is>
      </c>
      <c r="F70" t="inlineStr">
        <is>
          <t>SIN PRODUCTO</t>
        </is>
      </c>
      <c r="G70" t="inlineStr">
        <is>
          <t>00</t>
        </is>
      </c>
      <c r="H70" t="inlineStr">
        <is>
          <t>00</t>
        </is>
      </c>
      <c r="I70" t="inlineStr">
        <is>
          <t>71359</t>
        </is>
      </c>
      <c r="J70" t="inlineStr">
        <is>
          <t>Otros servicios de seguros distintos de los seguros de vida n.c.p.</t>
        </is>
      </c>
      <c r="K70" t="inlineStr">
        <is>
          <t>00</t>
        </is>
      </c>
      <c r="L70" t="inlineStr">
        <is>
          <t>SIN ATRIBUTO</t>
        </is>
      </c>
      <c r="N70" t="inlineStr">
        <is>
          <t>2.1.2.02.02.007.03</t>
        </is>
      </c>
      <c r="O70" t="inlineStr">
        <is>
          <t>Otros seguros</t>
        </is>
      </c>
      <c r="P70" t="inlineStr">
        <is>
          <t>360</t>
        </is>
      </c>
      <c r="Q70" t="inlineStr">
        <is>
          <t>SGP PROPOSITO GENERAL 42 POR CIENTO RECURSOS LIBRE DESTINACION SGP PROPOSITO GENERAL MPIOS DE CATEGORIA 4 5 Y 6 SGP ONCE</t>
        </is>
      </c>
      <c r="R70" t="n">
        <v>5000000</v>
      </c>
      <c r="S70" t="n">
        <v>0</v>
      </c>
      <c r="T70" t="n">
        <v>0</v>
      </c>
      <c r="U70" t="n">
        <v>0</v>
      </c>
      <c r="V70" t="n">
        <v>5000000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1 - ADMINISTRACIÓN CENTRAL</t>
        </is>
      </c>
      <c r="B71" t="inlineStr">
        <is>
          <t>00 - SIN SECTOR</t>
        </is>
      </c>
      <c r="C71" t="inlineStr">
        <is>
          <t>00</t>
        </is>
      </c>
      <c r="D71" t="inlineStr">
        <is>
          <t>0000</t>
        </is>
      </c>
      <c r="E71" t="inlineStr">
        <is>
          <t>000000</t>
        </is>
      </c>
      <c r="F71" t="inlineStr">
        <is>
          <t>SIN PRODUCTO</t>
        </is>
      </c>
      <c r="G71" t="inlineStr">
        <is>
          <t>00</t>
        </is>
      </c>
      <c r="H71" t="inlineStr">
        <is>
          <t>00</t>
        </is>
      </c>
      <c r="I71" t="inlineStr">
        <is>
          <t>73111</t>
        </is>
      </c>
      <c r="J71" t="inlineStr">
        <is>
          <t>Servicios de arrendamiento o alquiler de automóviles y furgonetas sin operario</t>
        </is>
      </c>
      <c r="K71" t="inlineStr">
        <is>
          <t>00</t>
        </is>
      </c>
      <c r="L71" t="inlineStr">
        <is>
          <t>SIN ATRIBUTO</t>
        </is>
      </c>
      <c r="N71" t="inlineStr">
        <is>
          <t>2.1.2.02.02.007.03</t>
        </is>
      </c>
      <c r="O71" t="inlineStr">
        <is>
          <t>Servicios de alquiler de automóviles</t>
        </is>
      </c>
      <c r="P71" t="inlineStr">
        <is>
          <t>360</t>
        </is>
      </c>
      <c r="Q71" t="inlineStr">
        <is>
          <t>SGP PROPOSITO GENERAL 42 POR CIENTO RECURSOS LIBRE DESTINACION SGP PROPOSITO GENERAL MPIOS DE CATEGORIA 4 5 Y 6 SGP ONCE</t>
        </is>
      </c>
      <c r="R71" t="n">
        <v>120000000</v>
      </c>
      <c r="S71" t="n">
        <v>0</v>
      </c>
      <c r="T71" t="n">
        <v>14500000</v>
      </c>
      <c r="U71" t="n">
        <v>0</v>
      </c>
      <c r="V71" t="n">
        <v>0</v>
      </c>
      <c r="W71" t="n">
        <v>0</v>
      </c>
      <c r="X71" t="n">
        <v>0</v>
      </c>
      <c r="Y71" t="n">
        <v>105500000</v>
      </c>
      <c r="Z71" t="n">
        <v>105500000</v>
      </c>
      <c r="AA71" t="n">
        <v>94950000</v>
      </c>
      <c r="AB71" t="n">
        <v>21100000</v>
      </c>
      <c r="AC71" t="n">
        <v>21100000</v>
      </c>
      <c r="AD71" t="n">
        <v>0</v>
      </c>
      <c r="AE71" t="n">
        <v>100</v>
      </c>
    </row>
    <row r="72">
      <c r="A72" t="inlineStr">
        <is>
          <t>1 - ADMINISTRACIÓN CENTRAL</t>
        </is>
      </c>
      <c r="B72" t="inlineStr">
        <is>
          <t>00 - SIN SECTOR</t>
        </is>
      </c>
      <c r="C72" t="inlineStr">
        <is>
          <t>00</t>
        </is>
      </c>
      <c r="D72" t="inlineStr">
        <is>
          <t>0000</t>
        </is>
      </c>
      <c r="E72" t="inlineStr">
        <is>
          <t>000000</t>
        </is>
      </c>
      <c r="F72" t="inlineStr">
        <is>
          <t>SIN PRODUCTO</t>
        </is>
      </c>
      <c r="G72" t="inlineStr">
        <is>
          <t>00</t>
        </is>
      </c>
      <c r="H72" t="inlineStr">
        <is>
          <t>00</t>
        </is>
      </c>
      <c r="I72" t="inlineStr">
        <is>
          <t>00</t>
        </is>
      </c>
      <c r="J72" t="inlineStr">
        <is>
          <t>SIN PRODUCTO DANE</t>
        </is>
      </c>
      <c r="K72" t="inlineStr">
        <is>
          <t>00</t>
        </is>
      </c>
      <c r="L72" t="inlineStr">
        <is>
          <t>SIN ATRIBUTO</t>
        </is>
      </c>
      <c r="N72" t="inlineStr">
        <is>
          <t>2.1.2.02.02.008</t>
        </is>
      </c>
      <c r="O72" t="inlineStr">
        <is>
          <t xml:space="preserve">Servicios prestados a las empresas y servicios de produccion </t>
        </is>
      </c>
      <c r="P72" t="inlineStr">
        <is>
          <t>00</t>
        </is>
      </c>
      <c r="Q72" t="inlineStr">
        <is>
          <t>RECURSOS</t>
        </is>
      </c>
      <c r="R72" t="n">
        <v>323000000</v>
      </c>
      <c r="S72" t="n">
        <v>0</v>
      </c>
      <c r="T72" t="n">
        <v>53167595</v>
      </c>
      <c r="U72" t="n">
        <v>2990777</v>
      </c>
      <c r="V72" t="n">
        <v>188000000</v>
      </c>
      <c r="W72" t="n">
        <v>0</v>
      </c>
      <c r="X72" t="n">
        <v>0</v>
      </c>
      <c r="Y72" t="n">
        <v>84823182</v>
      </c>
      <c r="Z72" t="n">
        <v>45990408</v>
      </c>
      <c r="AA72" t="n">
        <v>45785881</v>
      </c>
      <c r="AB72" t="n">
        <v>22835881</v>
      </c>
      <c r="AC72" t="n">
        <v>22835881</v>
      </c>
      <c r="AD72" t="n">
        <v>38832774</v>
      </c>
      <c r="AE72" t="n">
        <v>54.22</v>
      </c>
    </row>
    <row r="73">
      <c r="A73" t="inlineStr">
        <is>
          <t>1 - ADMINISTRACIÓN CENTRAL</t>
        </is>
      </c>
      <c r="B73" t="inlineStr">
        <is>
          <t>00 - SIN SECTOR</t>
        </is>
      </c>
      <c r="C73" t="inlineStr">
        <is>
          <t>00</t>
        </is>
      </c>
      <c r="D73" t="inlineStr">
        <is>
          <t>0000</t>
        </is>
      </c>
      <c r="E73" t="inlineStr">
        <is>
          <t>000000</t>
        </is>
      </c>
      <c r="F73" t="inlineStr">
        <is>
          <t>SIN PRODUCTO</t>
        </is>
      </c>
      <c r="G73" t="inlineStr">
        <is>
          <t>00</t>
        </is>
      </c>
      <c r="H73" t="inlineStr">
        <is>
          <t>00</t>
        </is>
      </c>
      <c r="I73" t="inlineStr">
        <is>
          <t>85510</t>
        </is>
      </c>
      <c r="J73" t="inlineStr">
        <is>
          <t>Servicios de reserva venta y reventa de tiquetes para transporte</t>
        </is>
      </c>
      <c r="K73" t="inlineStr">
        <is>
          <t>00</t>
        </is>
      </c>
      <c r="L73" t="inlineStr">
        <is>
          <t>SIN ATRIBUTO</t>
        </is>
      </c>
      <c r="N73" t="inlineStr">
        <is>
          <t>2.1.2.02.02.008.01</t>
        </is>
      </c>
      <c r="O73" t="inlineStr">
        <is>
          <t>Suministro de tiquetes aéreos y terrestres</t>
        </is>
      </c>
      <c r="P73" t="inlineStr">
        <is>
          <t>360</t>
        </is>
      </c>
      <c r="Q73" t="inlineStr">
        <is>
          <t>SGP PROPOSITO GENERAL 42 POR CIENTO RECURSOS LIBRE DESTINACION SGP PROPOSITO GENERAL MPIOS DE CATEGORIA 4 5 Y 6 SGP ONCE</t>
        </is>
      </c>
      <c r="R73" t="n">
        <v>35000000</v>
      </c>
      <c r="S73" t="n">
        <v>0</v>
      </c>
      <c r="T73" t="n">
        <v>8394261</v>
      </c>
      <c r="U73" t="n">
        <v>0</v>
      </c>
      <c r="V73" t="n">
        <v>0</v>
      </c>
      <c r="W73" t="n">
        <v>0</v>
      </c>
      <c r="X73" t="n">
        <v>0</v>
      </c>
      <c r="Y73" t="n">
        <v>26605739</v>
      </c>
      <c r="Z73" t="n">
        <v>0</v>
      </c>
      <c r="AA73" t="n">
        <v>0</v>
      </c>
      <c r="AB73" t="n">
        <v>0</v>
      </c>
      <c r="AC73" t="n">
        <v>0</v>
      </c>
      <c r="AD73" t="n">
        <v>26605739</v>
      </c>
      <c r="AE73" t="n">
        <v>0</v>
      </c>
    </row>
    <row r="74">
      <c r="A74" t="inlineStr">
        <is>
          <t>1 - ADMINISTRACIÓN CENTRAL</t>
        </is>
      </c>
      <c r="B74" t="inlineStr">
        <is>
          <t>00 - SIN SECTOR</t>
        </is>
      </c>
      <c r="C74" t="inlineStr">
        <is>
          <t>00</t>
        </is>
      </c>
      <c r="D74" t="inlineStr">
        <is>
          <t>0000</t>
        </is>
      </c>
      <c r="E74" t="inlineStr">
        <is>
          <t>000000</t>
        </is>
      </c>
      <c r="F74" t="inlineStr">
        <is>
          <t>SIN PRODUCTO</t>
        </is>
      </c>
      <c r="G74" t="inlineStr">
        <is>
          <t>00</t>
        </is>
      </c>
      <c r="H74" t="inlineStr">
        <is>
          <t>00</t>
        </is>
      </c>
      <c r="I74" t="inlineStr">
        <is>
          <t>85330</t>
        </is>
      </c>
      <c r="J74" t="inlineStr">
        <is>
          <t>Servicios de limpieza general</t>
        </is>
      </c>
      <c r="K74" t="inlineStr">
        <is>
          <t>00</t>
        </is>
      </c>
      <c r="L74" t="inlineStr">
        <is>
          <t>SIN ATRIBUTO</t>
        </is>
      </c>
      <c r="N74" t="inlineStr">
        <is>
          <t>2.1.2.02.02.008.04</t>
        </is>
      </c>
      <c r="O74" t="inlineStr">
        <is>
          <t>Pretación de Servicios generales</t>
        </is>
      </c>
      <c r="P74" t="inlineStr">
        <is>
          <t>360</t>
        </is>
      </c>
      <c r="Q74" t="inlineStr">
        <is>
          <t>SGP PROPOSITO GENERAL 42 POR CIENTO RECURSOS LIBRE DESTINACION SGP PROPOSITO GENERAL MPIOS DE CATEGORIA 4 5 Y 6 SGP ONCE</t>
        </is>
      </c>
      <c r="R74" t="n">
        <v>30000000</v>
      </c>
      <c r="S74" t="n">
        <v>0</v>
      </c>
      <c r="T74" t="n">
        <v>4773334</v>
      </c>
      <c r="U74" t="n">
        <v>0</v>
      </c>
      <c r="V74" t="n">
        <v>0</v>
      </c>
      <c r="W74" t="n">
        <v>0</v>
      </c>
      <c r="X74" t="n">
        <v>0</v>
      </c>
      <c r="Y74" t="n">
        <v>25226666</v>
      </c>
      <c r="Z74" t="n">
        <v>25226666</v>
      </c>
      <c r="AA74" t="n">
        <v>25226666</v>
      </c>
      <c r="AB74" t="n">
        <v>20826666</v>
      </c>
      <c r="AC74" t="n">
        <v>20826666</v>
      </c>
      <c r="AD74" t="n">
        <v>0</v>
      </c>
      <c r="AE74" t="n">
        <v>100</v>
      </c>
    </row>
    <row r="75">
      <c r="A75" t="inlineStr">
        <is>
          <t>1 - ADMINISTRACIÓN CENTRAL</t>
        </is>
      </c>
      <c r="B75" t="inlineStr">
        <is>
          <t>00 - SIN SECTOR</t>
        </is>
      </c>
      <c r="C75" t="inlineStr">
        <is>
          <t>00</t>
        </is>
      </c>
      <c r="D75" t="inlineStr">
        <is>
          <t>0000</t>
        </is>
      </c>
      <c r="E75" t="inlineStr">
        <is>
          <t>000000</t>
        </is>
      </c>
      <c r="F75" t="inlineStr">
        <is>
          <t>SIN PRODUCTO</t>
        </is>
      </c>
      <c r="G75" t="inlineStr">
        <is>
          <t>00</t>
        </is>
      </c>
      <c r="H75" t="inlineStr">
        <is>
          <t>00</t>
        </is>
      </c>
      <c r="I75" t="inlineStr">
        <is>
          <t>82199</t>
        </is>
      </c>
      <c r="J75" t="inlineStr">
        <is>
          <t>Otros servicios jurídicos n.c.p.</t>
        </is>
      </c>
      <c r="K75" t="inlineStr">
        <is>
          <t>00</t>
        </is>
      </c>
      <c r="L75" t="inlineStr">
        <is>
          <t>SIN ATRIBUTO</t>
        </is>
      </c>
      <c r="N75" t="inlineStr">
        <is>
          <t>2.1.2.02.02.008.05</t>
        </is>
      </c>
      <c r="O75" t="inlineStr">
        <is>
          <t>Servicios Juridicos</t>
        </is>
      </c>
      <c r="P75" t="inlineStr">
        <is>
          <t>360</t>
        </is>
      </c>
      <c r="Q75" t="inlineStr">
        <is>
          <t>SGP PROPOSITO GENERAL 42 POR CIENTO RECURSOS LIBRE DESTINACION SGP PROPOSITO GENERAL MPIOS DE CATEGORIA 4 5 Y 6 SGP ONCE</t>
        </is>
      </c>
      <c r="R75" t="n">
        <v>188000000</v>
      </c>
      <c r="S75" t="n">
        <v>0</v>
      </c>
      <c r="T75" t="n">
        <v>0</v>
      </c>
      <c r="U75" t="n">
        <v>0</v>
      </c>
      <c r="V75" t="n">
        <v>188000000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inlineStr">
        <is>
          <t>1 - ADMINISTRACIÓN CENTRAL</t>
        </is>
      </c>
      <c r="B76" t="inlineStr">
        <is>
          <t>00 - SIN SECTOR</t>
        </is>
      </c>
      <c r="C76" t="inlineStr">
        <is>
          <t>00</t>
        </is>
      </c>
      <c r="D76" t="inlineStr">
        <is>
          <t>0000</t>
        </is>
      </c>
      <c r="E76" t="inlineStr">
        <is>
          <t>000000</t>
        </is>
      </c>
      <c r="F76" t="inlineStr">
        <is>
          <t>SIN PRODUCTO</t>
        </is>
      </c>
      <c r="G76" t="inlineStr">
        <is>
          <t>00</t>
        </is>
      </c>
      <c r="H76" t="inlineStr">
        <is>
          <t>00</t>
        </is>
      </c>
      <c r="I76" t="inlineStr">
        <is>
          <t>84222</t>
        </is>
      </c>
      <c r="J76" t="inlineStr">
        <is>
          <t>Servicios de acceso a Internet de banda ancha</t>
        </is>
      </c>
      <c r="K76" t="inlineStr">
        <is>
          <t>00</t>
        </is>
      </c>
      <c r="L76" t="inlineStr">
        <is>
          <t>SIN ATRIBUTO</t>
        </is>
      </c>
      <c r="N76" t="inlineStr">
        <is>
          <t>2.1.2.02.02.008.06</t>
        </is>
      </c>
      <c r="O76" t="inlineStr">
        <is>
          <t>Internet</t>
        </is>
      </c>
      <c r="P76" t="inlineStr">
        <is>
          <t>360</t>
        </is>
      </c>
      <c r="Q76" t="inlineStr">
        <is>
          <t>SGP PROPOSITO GENERAL 42 POR CIENTO RECURSOS LIBRE DESTINACION SGP PROPOSITO GENERAL MPIOS DE CATEGORIA 4 5 Y 6 SGP ONCE</t>
        </is>
      </c>
      <c r="R76" t="n">
        <v>30000000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30000000</v>
      </c>
      <c r="Z76" t="n">
        <v>19789053</v>
      </c>
      <c r="AA76" t="n">
        <v>19584526</v>
      </c>
      <c r="AB76" t="n">
        <v>1034526</v>
      </c>
      <c r="AC76" t="n">
        <v>1034526</v>
      </c>
      <c r="AD76" t="n">
        <v>10210947</v>
      </c>
      <c r="AE76" t="n">
        <v>65.95999999999999</v>
      </c>
    </row>
    <row r="77">
      <c r="A77" t="inlineStr">
        <is>
          <t>1 - ADMINISTRACIÓN CENTRAL</t>
        </is>
      </c>
      <c r="B77" t="inlineStr">
        <is>
          <t>00 - SIN SECTOR</t>
        </is>
      </c>
      <c r="C77" t="inlineStr">
        <is>
          <t>00</t>
        </is>
      </c>
      <c r="D77" t="inlineStr">
        <is>
          <t>0000</t>
        </is>
      </c>
      <c r="E77" t="inlineStr">
        <is>
          <t>000000</t>
        </is>
      </c>
      <c r="F77" t="inlineStr">
        <is>
          <t>SIN PRODUCTO</t>
        </is>
      </c>
      <c r="G77" t="inlineStr">
        <is>
          <t>00</t>
        </is>
      </c>
      <c r="H77" t="inlineStr">
        <is>
          <t>00</t>
        </is>
      </c>
      <c r="I77" t="inlineStr">
        <is>
          <t>83990</t>
        </is>
      </c>
      <c r="J77" t="inlineStr">
        <is>
          <t>Otros servicios profesionales, técnicos y empresariales n.c.p.</t>
        </is>
      </c>
      <c r="K77" t="inlineStr">
        <is>
          <t>00</t>
        </is>
      </c>
      <c r="L77" t="inlineStr">
        <is>
          <t>SIN ATRIBUTO</t>
        </is>
      </c>
      <c r="N77" t="inlineStr">
        <is>
          <t>2.1.2.02.02.008.06</t>
        </is>
      </c>
      <c r="O77" t="inlineStr">
        <is>
          <t>Permisos INVIMA</t>
        </is>
      </c>
      <c r="P77" t="inlineStr">
        <is>
          <t>360</t>
        </is>
      </c>
      <c r="Q77" t="inlineStr">
        <is>
          <t>SGP PROPOSITO GENERAL 42 POR CIENTO RECURSOS LIBRE DESTINACION SGP PROPOSITO GENERAL MPIOS DE CATEGORIA 4 5 Y 6 SGP ONCE</t>
        </is>
      </c>
      <c r="R77" t="n">
        <v>0</v>
      </c>
      <c r="S77" t="n">
        <v>0</v>
      </c>
      <c r="T77" t="n">
        <v>0</v>
      </c>
      <c r="U77" t="n">
        <v>2500000</v>
      </c>
      <c r="V77" t="n">
        <v>0</v>
      </c>
      <c r="W77" t="n">
        <v>0</v>
      </c>
      <c r="X77" t="n">
        <v>0</v>
      </c>
      <c r="Y77" t="n">
        <v>2500000</v>
      </c>
      <c r="Z77" t="n">
        <v>483912</v>
      </c>
      <c r="AA77" t="n">
        <v>483912</v>
      </c>
      <c r="AB77" t="n">
        <v>483912</v>
      </c>
      <c r="AC77" t="n">
        <v>483912</v>
      </c>
      <c r="AD77" t="n">
        <v>2016088</v>
      </c>
      <c r="AE77" t="n">
        <v>19.36</v>
      </c>
    </row>
    <row r="78">
      <c r="A78" t="inlineStr">
        <is>
          <t>1 - ADMINISTRACIÓN CENTRAL</t>
        </is>
      </c>
      <c r="B78" t="inlineStr">
        <is>
          <t>00 - SIN SECTOR</t>
        </is>
      </c>
      <c r="C78" t="inlineStr">
        <is>
          <t>00</t>
        </is>
      </c>
      <c r="D78" t="inlineStr">
        <is>
          <t>0000</t>
        </is>
      </c>
      <c r="E78" t="inlineStr">
        <is>
          <t>000000</t>
        </is>
      </c>
      <c r="F78" t="inlineStr">
        <is>
          <t>SIN PRODUCTO</t>
        </is>
      </c>
      <c r="G78" t="inlineStr">
        <is>
          <t>00</t>
        </is>
      </c>
      <c r="H78" t="inlineStr">
        <is>
          <t>00</t>
        </is>
      </c>
      <c r="I78" t="inlineStr">
        <is>
          <t>85999</t>
        </is>
      </c>
      <c r="J78" t="inlineStr">
        <is>
          <t>Otros servicios de apoyo n.c.p.</t>
        </is>
      </c>
      <c r="K78" t="inlineStr">
        <is>
          <t>00</t>
        </is>
      </c>
      <c r="L78" t="inlineStr">
        <is>
          <t>SIN ATRIBUTO</t>
        </is>
      </c>
      <c r="N78" t="inlineStr">
        <is>
          <t>2.1.2.02.02.008.08</t>
        </is>
      </c>
      <c r="O78" t="inlineStr">
        <is>
          <t>Servicios de apoyo logístico</t>
        </is>
      </c>
      <c r="P78" t="inlineStr">
        <is>
          <t>360</t>
        </is>
      </c>
      <c r="Q78" t="inlineStr">
        <is>
          <t>SGP PROPOSITO GENERAL 42 POR CIENTO RECURSOS LIBRE DESTINACION SGP PROPOSITO GENERAL MPIOS DE CATEGORIA 4 5 Y 6 SGP ONCE</t>
        </is>
      </c>
      <c r="R78" t="n">
        <v>40000000</v>
      </c>
      <c r="S78" t="n">
        <v>0</v>
      </c>
      <c r="T78" t="n">
        <v>40000000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inlineStr">
        <is>
          <t>1 - ADMINISTRACIÓN CENTRAL</t>
        </is>
      </c>
      <c r="B79" t="inlineStr">
        <is>
          <t>00 - SIN SECTOR</t>
        </is>
      </c>
      <c r="C79" t="inlineStr">
        <is>
          <t>00</t>
        </is>
      </c>
      <c r="D79" t="inlineStr">
        <is>
          <t>0000</t>
        </is>
      </c>
      <c r="E79" t="inlineStr">
        <is>
          <t>000000</t>
        </is>
      </c>
      <c r="F79" t="inlineStr">
        <is>
          <t>SIN PRODUCTO</t>
        </is>
      </c>
      <c r="G79" t="inlineStr">
        <is>
          <t>00</t>
        </is>
      </c>
      <c r="H79" t="inlineStr">
        <is>
          <t>00</t>
        </is>
      </c>
      <c r="I79" t="inlineStr">
        <is>
          <t>85999</t>
        </is>
      </c>
      <c r="J79" t="inlineStr">
        <is>
          <t>Otros servicios de apoyo n.c.p.</t>
        </is>
      </c>
      <c r="K79" t="inlineStr">
        <is>
          <t>00</t>
        </is>
      </c>
      <c r="L79" t="inlineStr">
        <is>
          <t>SIN ATRIBUTO</t>
        </is>
      </c>
      <c r="N79" t="inlineStr">
        <is>
          <t>2.1.2.02.02.008.11</t>
        </is>
      </c>
      <c r="O79" t="inlineStr">
        <is>
          <t>Otras adquisiciones de bienes y servicios</t>
        </is>
      </c>
      <c r="P79" t="inlineStr">
        <is>
          <t>360</t>
        </is>
      </c>
      <c r="Q79" t="inlineStr">
        <is>
          <t>SGP PROPOSITO GENERAL 42 POR CIENTO RECURSOS LIBRE DESTINACION SGP PROPOSITO GENERAL MPIOS DE CATEGORIA 4 5 Y 6 SGP ONCE</t>
        </is>
      </c>
      <c r="R79" t="n">
        <v>0</v>
      </c>
      <c r="S79" t="n">
        <v>0</v>
      </c>
      <c r="T79" t="n">
        <v>0</v>
      </c>
      <c r="U79" t="n">
        <v>490777</v>
      </c>
      <c r="V79" t="n">
        <v>0</v>
      </c>
      <c r="W79" t="n">
        <v>0</v>
      </c>
      <c r="X79" t="n">
        <v>0</v>
      </c>
      <c r="Y79" t="n">
        <v>490777</v>
      </c>
      <c r="Z79" t="n">
        <v>490777</v>
      </c>
      <c r="AA79" t="n">
        <v>490777</v>
      </c>
      <c r="AB79" t="n">
        <v>490777</v>
      </c>
      <c r="AC79" t="n">
        <v>490777</v>
      </c>
      <c r="AD79" t="n">
        <v>0</v>
      </c>
      <c r="AE79" t="n">
        <v>100</v>
      </c>
    </row>
    <row r="80">
      <c r="A80" t="inlineStr">
        <is>
          <t>1 - ADMINISTRACIÓN CENTRAL</t>
        </is>
      </c>
      <c r="B80" t="inlineStr">
        <is>
          <t>00 - SIN SECTOR</t>
        </is>
      </c>
      <c r="C80" t="inlineStr">
        <is>
          <t>00</t>
        </is>
      </c>
      <c r="D80" t="inlineStr">
        <is>
          <t>0000</t>
        </is>
      </c>
      <c r="E80" t="inlineStr">
        <is>
          <t>000000</t>
        </is>
      </c>
      <c r="F80" t="inlineStr">
        <is>
          <t>SIN PRODUCTO</t>
        </is>
      </c>
      <c r="G80" t="inlineStr">
        <is>
          <t>00</t>
        </is>
      </c>
      <c r="H80" t="inlineStr">
        <is>
          <t>00</t>
        </is>
      </c>
      <c r="I80" t="inlineStr">
        <is>
          <t>00</t>
        </is>
      </c>
      <c r="J80" t="inlineStr">
        <is>
          <t>SIN PRODUCTO DANE</t>
        </is>
      </c>
      <c r="K80" t="inlineStr">
        <is>
          <t>00</t>
        </is>
      </c>
      <c r="L80" t="inlineStr">
        <is>
          <t>SIN ATRIBUTO</t>
        </is>
      </c>
      <c r="N80" t="inlineStr">
        <is>
          <t>2.1.2.02.02.009</t>
        </is>
      </c>
      <c r="O80" t="inlineStr">
        <is>
          <t>Servicios para la comunidad, sociales y personales</t>
        </is>
      </c>
      <c r="P80" t="inlineStr">
        <is>
          <t>00</t>
        </is>
      </c>
      <c r="Q80" t="inlineStr">
        <is>
          <t>RECURSOS</t>
        </is>
      </c>
      <c r="R80" t="n">
        <v>473000000</v>
      </c>
      <c r="S80" t="n">
        <v>0</v>
      </c>
      <c r="T80" t="n">
        <v>0</v>
      </c>
      <c r="U80" t="n">
        <v>203145041</v>
      </c>
      <c r="V80" t="n">
        <v>36465068</v>
      </c>
      <c r="W80" t="n">
        <v>0</v>
      </c>
      <c r="X80" t="n">
        <v>0</v>
      </c>
      <c r="Y80" t="n">
        <v>639679973</v>
      </c>
      <c r="Z80" t="n">
        <v>468589265</v>
      </c>
      <c r="AA80" t="n">
        <v>467370465</v>
      </c>
      <c r="AB80" t="n">
        <v>219951815</v>
      </c>
      <c r="AC80" t="n">
        <v>219951815</v>
      </c>
      <c r="AD80" t="n">
        <v>171090708</v>
      </c>
      <c r="AE80" t="n">
        <v>73.25</v>
      </c>
    </row>
    <row r="81">
      <c r="A81" t="inlineStr">
        <is>
          <t>1 - ADMINISTRACIÓN CENTRAL</t>
        </is>
      </c>
      <c r="B81" t="inlineStr">
        <is>
          <t>00 - SIN SECTOR</t>
        </is>
      </c>
      <c r="C81" t="inlineStr">
        <is>
          <t>00</t>
        </is>
      </c>
      <c r="D81" t="inlineStr">
        <is>
          <t>0000</t>
        </is>
      </c>
      <c r="E81" t="inlineStr">
        <is>
          <t>000000</t>
        </is>
      </c>
      <c r="F81" t="inlineStr">
        <is>
          <t>SIN PRODUCTO</t>
        </is>
      </c>
      <c r="G81" t="inlineStr">
        <is>
          <t>00</t>
        </is>
      </c>
      <c r="H81" t="inlineStr">
        <is>
          <t>00</t>
        </is>
      </c>
      <c r="I81" t="inlineStr">
        <is>
          <t>91119</t>
        </is>
      </c>
      <c r="J81" t="inlineStr">
        <is>
          <t>Otros servicios de la administración pública n.c.p.</t>
        </is>
      </c>
      <c r="K81" t="inlineStr">
        <is>
          <t>00</t>
        </is>
      </c>
      <c r="L81" t="inlineStr">
        <is>
          <t>SIN ATRIBUTO</t>
        </is>
      </c>
      <c r="N81" t="inlineStr">
        <is>
          <t>2.1.2.02.02.009.01</t>
        </is>
      </c>
      <c r="O81" t="inlineStr">
        <is>
          <t>Servicios administrativos del gobierno</t>
        </is>
      </c>
      <c r="P81" t="inlineStr">
        <is>
          <t>360</t>
        </is>
      </c>
      <c r="Q81" t="inlineStr">
        <is>
          <t>SGP PROPOSITO GENERAL 42 POR CIENTO RECURSOS LIBRE DESTINACION SGP PROPOSITO GENERAL MPIOS DE CATEGORIA 4 5 Y 6 SGP ONCE</t>
        </is>
      </c>
      <c r="R81" t="n">
        <v>330000000</v>
      </c>
      <c r="S81" t="n">
        <v>0</v>
      </c>
      <c r="T81" t="n">
        <v>0</v>
      </c>
      <c r="U81" t="n">
        <v>188000000</v>
      </c>
      <c r="V81" t="n">
        <v>33145041</v>
      </c>
      <c r="W81" t="n">
        <v>0</v>
      </c>
      <c r="X81" t="n">
        <v>0</v>
      </c>
      <c r="Y81" t="n">
        <v>484854959</v>
      </c>
      <c r="Z81" t="n">
        <v>446842265</v>
      </c>
      <c r="AA81" t="n">
        <v>446753865</v>
      </c>
      <c r="AB81" t="n">
        <v>212279615</v>
      </c>
      <c r="AC81" t="n">
        <v>212279615</v>
      </c>
      <c r="AD81" t="n">
        <v>38012694</v>
      </c>
      <c r="AE81" t="n">
        <v>92.16</v>
      </c>
    </row>
    <row r="82">
      <c r="A82" t="inlineStr">
        <is>
          <t>1 - ADMINISTRACIÓN CENTRAL</t>
        </is>
      </c>
      <c r="B82" t="inlineStr">
        <is>
          <t>00 - SIN SECTOR</t>
        </is>
      </c>
      <c r="C82" t="inlineStr">
        <is>
          <t>00</t>
        </is>
      </c>
      <c r="D82" t="inlineStr">
        <is>
          <t>0000</t>
        </is>
      </c>
      <c r="E82" t="inlineStr">
        <is>
          <t>000000</t>
        </is>
      </c>
      <c r="F82" t="inlineStr">
        <is>
          <t>SIN PRODUCTO</t>
        </is>
      </c>
      <c r="G82" t="inlineStr">
        <is>
          <t>00</t>
        </is>
      </c>
      <c r="H82" t="inlineStr">
        <is>
          <t>00</t>
        </is>
      </c>
      <c r="I82" t="inlineStr">
        <is>
          <t>91119</t>
        </is>
      </c>
      <c r="J82" t="inlineStr">
        <is>
          <t>Otros servicios de la administración pública n.c.p.</t>
        </is>
      </c>
      <c r="K82" t="inlineStr">
        <is>
          <t>00</t>
        </is>
      </c>
      <c r="L82" t="inlineStr">
        <is>
          <t>SIN ATRIBUTO</t>
        </is>
      </c>
      <c r="N82" t="inlineStr">
        <is>
          <t>2.1.2.02.02.009.02</t>
        </is>
      </c>
      <c r="O82" t="inlineStr">
        <is>
          <t>Sistema de Seguridad y Salud en el Trabajo</t>
        </is>
      </c>
      <c r="P82" t="inlineStr">
        <is>
          <t>360</t>
        </is>
      </c>
      <c r="Q82" t="inlineStr">
        <is>
          <t>SGP PROPOSITO GENERAL 42 POR CIENTO RECURSOS LIBRE DESTINACION SGP PROPOSITO GENERAL MPIOS DE CATEGORIA 4 5 Y 6 SGP ONCE</t>
        </is>
      </c>
      <c r="R82" t="n">
        <v>30000000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30000000</v>
      </c>
      <c r="Z82" t="n">
        <v>0</v>
      </c>
      <c r="AA82" t="n">
        <v>0</v>
      </c>
      <c r="AB82" t="n">
        <v>0</v>
      </c>
      <c r="AC82" t="n">
        <v>0</v>
      </c>
      <c r="AD82" t="n">
        <v>30000000</v>
      </c>
      <c r="AE82" t="n">
        <v>0</v>
      </c>
    </row>
    <row r="83">
      <c r="A83" t="inlineStr">
        <is>
          <t>1 - ADMINISTRACIÓN CENTRAL</t>
        </is>
      </c>
      <c r="B83" t="inlineStr">
        <is>
          <t>00 - SIN SECTOR</t>
        </is>
      </c>
      <c r="C83" t="inlineStr">
        <is>
          <t>00</t>
        </is>
      </c>
      <c r="D83" t="inlineStr">
        <is>
          <t>0000</t>
        </is>
      </c>
      <c r="E83" t="inlineStr">
        <is>
          <t>000000</t>
        </is>
      </c>
      <c r="F83" t="inlineStr">
        <is>
          <t>SIN PRODUCTO</t>
        </is>
      </c>
      <c r="G83" t="inlineStr">
        <is>
          <t>00</t>
        </is>
      </c>
      <c r="H83" t="inlineStr">
        <is>
          <t>00</t>
        </is>
      </c>
      <c r="I83" t="inlineStr">
        <is>
          <t>91119</t>
        </is>
      </c>
      <c r="J83" t="inlineStr">
        <is>
          <t>Otros servicios de la administración pública n.c.p.</t>
        </is>
      </c>
      <c r="K83" t="inlineStr">
        <is>
          <t>00</t>
        </is>
      </c>
      <c r="L83" t="inlineStr">
        <is>
          <t>SIN ATRIBUTO</t>
        </is>
      </c>
      <c r="N83" t="inlineStr">
        <is>
          <t>2.1.2.02.02.009.03</t>
        </is>
      </c>
      <c r="O83" t="inlineStr">
        <is>
          <t>Exámenes médico-ocupacionales</t>
        </is>
      </c>
      <c r="P83" t="inlineStr">
        <is>
          <t>360</t>
        </is>
      </c>
      <c r="Q83" t="inlineStr">
        <is>
          <t>SGP PROPOSITO GENERAL 42 POR CIENTO RECURSOS LIBRE DESTINACION SGP PROPOSITO GENERAL MPIOS DE CATEGORIA 4 5 Y 6 SGP ONCE</t>
        </is>
      </c>
      <c r="R83" t="n">
        <v>3000000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3000000</v>
      </c>
      <c r="Z83" t="n">
        <v>0</v>
      </c>
      <c r="AA83" t="n">
        <v>0</v>
      </c>
      <c r="AB83" t="n">
        <v>0</v>
      </c>
      <c r="AC83" t="n">
        <v>0</v>
      </c>
      <c r="AD83" t="n">
        <v>3000000</v>
      </c>
      <c r="AE83" t="n">
        <v>0</v>
      </c>
    </row>
    <row r="84">
      <c r="A84" t="inlineStr">
        <is>
          <t>1 - ADMINISTRACIÓN CENTRAL</t>
        </is>
      </c>
      <c r="B84" t="inlineStr">
        <is>
          <t>00 - SIN SECTOR</t>
        </is>
      </c>
      <c r="C84" t="inlineStr">
        <is>
          <t>00</t>
        </is>
      </c>
      <c r="D84" t="inlineStr">
        <is>
          <t>0000</t>
        </is>
      </c>
      <c r="E84" t="inlineStr">
        <is>
          <t>000000</t>
        </is>
      </c>
      <c r="F84" t="inlineStr">
        <is>
          <t>SIN PRODUCTO</t>
        </is>
      </c>
      <c r="G84" t="inlineStr">
        <is>
          <t>00</t>
        </is>
      </c>
      <c r="H84" t="inlineStr">
        <is>
          <t>00</t>
        </is>
      </c>
      <c r="I84" t="inlineStr">
        <is>
          <t>91119</t>
        </is>
      </c>
      <c r="J84" t="inlineStr">
        <is>
          <t>Otros servicios de la administración pública n.c.p.</t>
        </is>
      </c>
      <c r="K84" t="inlineStr">
        <is>
          <t>00</t>
        </is>
      </c>
      <c r="L84" t="inlineStr">
        <is>
          <t>SIN ATRIBUTO</t>
        </is>
      </c>
      <c r="N84" t="inlineStr">
        <is>
          <t>2.1.2.02.02.009.04</t>
        </is>
      </c>
      <c r="O84" t="inlineStr">
        <is>
          <t>Bienestar Social</t>
        </is>
      </c>
      <c r="P84" t="inlineStr">
        <is>
          <t>360</t>
        </is>
      </c>
      <c r="Q84" t="inlineStr">
        <is>
          <t>SGP PROPOSITO GENERAL 42 POR CIENTO RECURSOS LIBRE DESTINACION SGP PROPOSITO GENERAL MPIOS DE CATEGORIA 4 5 Y 6 SGP ONCE</t>
        </is>
      </c>
      <c r="R84" t="n">
        <v>25000000</v>
      </c>
      <c r="S84" t="n">
        <v>0</v>
      </c>
      <c r="T84" t="n">
        <v>0</v>
      </c>
      <c r="U84" t="n">
        <v>0</v>
      </c>
      <c r="V84" t="n">
        <v>3320027</v>
      </c>
      <c r="W84" t="n">
        <v>0</v>
      </c>
      <c r="X84" t="n">
        <v>0</v>
      </c>
      <c r="Y84" t="n">
        <v>21679973</v>
      </c>
      <c r="Z84" t="n">
        <v>0</v>
      </c>
      <c r="AA84" t="n">
        <v>0</v>
      </c>
      <c r="AB84" t="n">
        <v>0</v>
      </c>
      <c r="AC84" t="n">
        <v>0</v>
      </c>
      <c r="AD84" t="n">
        <v>21679973</v>
      </c>
      <c r="AE84" t="n">
        <v>0</v>
      </c>
    </row>
    <row r="85">
      <c r="A85" t="inlineStr">
        <is>
          <t>1 - ADMINISTRACIÓN CENTRAL</t>
        </is>
      </c>
      <c r="B85" t="inlineStr">
        <is>
          <t>00 - SIN SECTOR</t>
        </is>
      </c>
      <c r="C85" t="inlineStr">
        <is>
          <t>00</t>
        </is>
      </c>
      <c r="D85" t="inlineStr">
        <is>
          <t>0000</t>
        </is>
      </c>
      <c r="E85" t="inlineStr">
        <is>
          <t>000000</t>
        </is>
      </c>
      <c r="F85" t="inlineStr">
        <is>
          <t>SIN PRODUCTO</t>
        </is>
      </c>
      <c r="G85" t="inlineStr">
        <is>
          <t>00</t>
        </is>
      </c>
      <c r="H85" t="inlineStr">
        <is>
          <t>00</t>
        </is>
      </c>
      <c r="I85" t="inlineStr">
        <is>
          <t>91119</t>
        </is>
      </c>
      <c r="J85" t="inlineStr">
        <is>
          <t>Otros servicios de la administración pública n.c.p.</t>
        </is>
      </c>
      <c r="K85" t="inlineStr">
        <is>
          <t>00</t>
        </is>
      </c>
      <c r="L85" t="inlineStr">
        <is>
          <t>SIN ATRIBUTO</t>
        </is>
      </c>
      <c r="N85" t="inlineStr">
        <is>
          <t>2.1.2.02.02.009.05</t>
        </is>
      </c>
      <c r="O85" t="inlineStr">
        <is>
          <t>Capacitación</t>
        </is>
      </c>
      <c r="P85" t="inlineStr">
        <is>
          <t>360</t>
        </is>
      </c>
      <c r="Q85" t="inlineStr">
        <is>
          <t>SGP PROPOSITO GENERAL 42 POR CIENTO RECURSOS LIBRE DESTINACION SGP PROPOSITO GENERAL MPIOS DE CATEGORIA 4 5 Y 6 SGP ONCE</t>
        </is>
      </c>
      <c r="R85" t="n">
        <v>10000000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10000000</v>
      </c>
      <c r="Z85" t="n">
        <v>0</v>
      </c>
      <c r="AA85" t="n">
        <v>0</v>
      </c>
      <c r="AB85" t="n">
        <v>0</v>
      </c>
      <c r="AC85" t="n">
        <v>0</v>
      </c>
      <c r="AD85" t="n">
        <v>10000000</v>
      </c>
      <c r="AE85" t="n">
        <v>0</v>
      </c>
    </row>
    <row r="86">
      <c r="A86" t="inlineStr">
        <is>
          <t>1 - ADMINISTRACIÓN CENTRAL</t>
        </is>
      </c>
      <c r="B86" t="inlineStr">
        <is>
          <t>00 - SIN SECTOR</t>
        </is>
      </c>
      <c r="C86" t="inlineStr">
        <is>
          <t>00</t>
        </is>
      </c>
      <c r="D86" t="inlineStr">
        <is>
          <t>0000</t>
        </is>
      </c>
      <c r="E86" t="inlineStr">
        <is>
          <t>000000</t>
        </is>
      </c>
      <c r="F86" t="inlineStr">
        <is>
          <t>SIN PRODUCTO</t>
        </is>
      </c>
      <c r="G86" t="inlineStr">
        <is>
          <t>00</t>
        </is>
      </c>
      <c r="H86" t="inlineStr">
        <is>
          <t>00</t>
        </is>
      </c>
      <c r="I86" t="inlineStr">
        <is>
          <t>97990</t>
        </is>
      </c>
      <c r="J86" t="inlineStr">
        <is>
          <t>Otros servicios diversos n.c.p.</t>
        </is>
      </c>
      <c r="K86" t="inlineStr">
        <is>
          <t>00</t>
        </is>
      </c>
      <c r="L86" t="inlineStr">
        <is>
          <t>SIN ATRIBUTO</t>
        </is>
      </c>
      <c r="N86" t="inlineStr">
        <is>
          <t>2.1.2.02.02.009.06</t>
        </is>
      </c>
      <c r="O86" t="inlineStr">
        <is>
          <t>Gastos Electorales</t>
        </is>
      </c>
      <c r="P86" t="inlineStr">
        <is>
          <t>360</t>
        </is>
      </c>
      <c r="Q86" t="inlineStr">
        <is>
          <t>SGP PROPOSITO GENERAL 42 POR CIENTO RECURSOS LIBRE DESTINACION SGP PROPOSITO GENERAL MPIOS DE CATEGORIA 4 5 Y 6 SGP ONCE</t>
        </is>
      </c>
      <c r="R86" t="n">
        <v>75000000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75000000</v>
      </c>
      <c r="Z86" t="n">
        <v>20547000</v>
      </c>
      <c r="AA86" t="n">
        <v>19416600</v>
      </c>
      <c r="AB86" t="n">
        <v>6472200</v>
      </c>
      <c r="AC86" t="n">
        <v>6472200</v>
      </c>
      <c r="AD86" t="n">
        <v>54453000</v>
      </c>
      <c r="AE86" t="n">
        <v>27.4</v>
      </c>
    </row>
    <row r="87">
      <c r="A87" t="inlineStr">
        <is>
          <t>1 - ADMINISTRACIÓN CENTRAL</t>
        </is>
      </c>
      <c r="B87" t="inlineStr">
        <is>
          <t>00 - SIN SECTOR</t>
        </is>
      </c>
      <c r="C87" t="inlineStr">
        <is>
          <t>00</t>
        </is>
      </c>
      <c r="D87" t="inlineStr">
        <is>
          <t>0000</t>
        </is>
      </c>
      <c r="E87" t="inlineStr">
        <is>
          <t>000000</t>
        </is>
      </c>
      <c r="F87" t="inlineStr">
        <is>
          <t>SIN PRODUCTO</t>
        </is>
      </c>
      <c r="G87" t="inlineStr">
        <is>
          <t>00</t>
        </is>
      </c>
      <c r="H87" t="inlineStr">
        <is>
          <t>00</t>
        </is>
      </c>
      <c r="I87" t="inlineStr">
        <is>
          <t>91119</t>
        </is>
      </c>
      <c r="J87" t="inlineStr">
        <is>
          <t>Otros servicios de la administración pública n.c.p.</t>
        </is>
      </c>
      <c r="K87" t="inlineStr">
        <is>
          <t>00</t>
        </is>
      </c>
      <c r="L87" t="inlineStr">
        <is>
          <t>SIN ATRIBUTO</t>
        </is>
      </c>
      <c r="N87" t="inlineStr">
        <is>
          <t>2.1.2.02.02.009.07</t>
        </is>
      </c>
      <c r="O87" t="inlineStr">
        <is>
          <t>concurso economico estratificacion (municipio)</t>
        </is>
      </c>
      <c r="P87" t="inlineStr">
        <is>
          <t>360</t>
        </is>
      </c>
      <c r="Q87" t="inlineStr">
        <is>
          <t>SGP PROPOSITO GENERAL 42 POR CIENTO RECURSOS LIBRE DESTINACION SGP PROPOSITO GENERAL MPIOS DE CATEGORIA 4 5 Y 6 SGP ONCE</t>
        </is>
      </c>
      <c r="R87" t="n">
        <v>0</v>
      </c>
      <c r="S87" t="n">
        <v>0</v>
      </c>
      <c r="T87" t="n">
        <v>0</v>
      </c>
      <c r="U87" t="n">
        <v>13145041</v>
      </c>
      <c r="V87" t="n">
        <v>0</v>
      </c>
      <c r="W87" t="n">
        <v>0</v>
      </c>
      <c r="X87" t="n">
        <v>0</v>
      </c>
      <c r="Y87" t="n">
        <v>13145041</v>
      </c>
      <c r="Z87" t="n">
        <v>0</v>
      </c>
      <c r="AA87" t="n">
        <v>0</v>
      </c>
      <c r="AB87" t="n">
        <v>0</v>
      </c>
      <c r="AC87" t="n">
        <v>0</v>
      </c>
      <c r="AD87" t="n">
        <v>13145041</v>
      </c>
      <c r="AE87" t="n">
        <v>0</v>
      </c>
    </row>
    <row r="88">
      <c r="A88" t="inlineStr">
        <is>
          <t>1 - ADMINISTRACIÓN CENTRAL</t>
        </is>
      </c>
      <c r="B88" t="inlineStr">
        <is>
          <t>00 - SIN SECTOR</t>
        </is>
      </c>
      <c r="C88" t="inlineStr">
        <is>
          <t>00</t>
        </is>
      </c>
      <c r="D88" t="inlineStr">
        <is>
          <t>0000</t>
        </is>
      </c>
      <c r="E88" t="inlineStr">
        <is>
          <t>000000</t>
        </is>
      </c>
      <c r="F88" t="inlineStr">
        <is>
          <t>SIN PRODUCTO</t>
        </is>
      </c>
      <c r="G88" t="inlineStr">
        <is>
          <t>00</t>
        </is>
      </c>
      <c r="H88" t="inlineStr">
        <is>
          <t>00</t>
        </is>
      </c>
      <c r="I88" t="inlineStr">
        <is>
          <t>97990</t>
        </is>
      </c>
      <c r="J88" t="inlineStr">
        <is>
          <t>Otros servicios diversos n.c.p.</t>
        </is>
      </c>
      <c r="K88" t="inlineStr">
        <is>
          <t>00</t>
        </is>
      </c>
      <c r="L88" t="inlineStr">
        <is>
          <t>SIN ATRIBUTO</t>
        </is>
      </c>
      <c r="N88" t="inlineStr">
        <is>
          <t>2.1.2.02.02.009.08</t>
        </is>
      </c>
      <c r="O88" t="inlineStr">
        <is>
          <t>Inhumacion de cadaveres</t>
        </is>
      </c>
      <c r="P88" t="inlineStr">
        <is>
          <t>360</t>
        </is>
      </c>
      <c r="Q88" t="inlineStr">
        <is>
          <t>SGP PROPOSITO GENERAL 42 POR CIENTO RECURSOS LIBRE DESTINACION SGP PROPOSITO GENERAL MPIOS DE CATEGORIA 4 5 Y 6 SGP ONCE</t>
        </is>
      </c>
      <c r="R88" t="n">
        <v>0</v>
      </c>
      <c r="S88" t="n">
        <v>0</v>
      </c>
      <c r="T88" t="n">
        <v>0</v>
      </c>
      <c r="U88" t="n">
        <v>2000000</v>
      </c>
      <c r="V88" t="n">
        <v>0</v>
      </c>
      <c r="W88" t="n">
        <v>0</v>
      </c>
      <c r="X88" t="n">
        <v>0</v>
      </c>
      <c r="Y88" t="n">
        <v>2000000</v>
      </c>
      <c r="Z88" t="n">
        <v>1200000</v>
      </c>
      <c r="AA88" t="n">
        <v>1200000</v>
      </c>
      <c r="AB88" t="n">
        <v>1200000</v>
      </c>
      <c r="AC88" t="n">
        <v>1200000</v>
      </c>
      <c r="AD88" t="n">
        <v>800000</v>
      </c>
      <c r="AE88" t="n">
        <v>60</v>
      </c>
    </row>
    <row r="89">
      <c r="A89" t="inlineStr">
        <is>
          <t>1 - ADMINISTRACIÓN CENTRAL</t>
        </is>
      </c>
      <c r="B89" t="inlineStr">
        <is>
          <t>00 - SIN SECTOR</t>
        </is>
      </c>
      <c r="C89" t="inlineStr">
        <is>
          <t>00</t>
        </is>
      </c>
      <c r="D89" t="inlineStr">
        <is>
          <t>0000</t>
        </is>
      </c>
      <c r="E89" t="inlineStr">
        <is>
          <t>000000</t>
        </is>
      </c>
      <c r="F89" t="inlineStr">
        <is>
          <t>SIN PRODUCTO</t>
        </is>
      </c>
      <c r="G89" t="inlineStr">
        <is>
          <t>00</t>
        </is>
      </c>
      <c r="H89" t="inlineStr">
        <is>
          <t>00</t>
        </is>
      </c>
      <c r="I89" t="inlineStr">
        <is>
          <t>00</t>
        </is>
      </c>
      <c r="J89" t="inlineStr">
        <is>
          <t>SIN PRODUCTO DANE</t>
        </is>
      </c>
      <c r="K89" t="inlineStr">
        <is>
          <t>00</t>
        </is>
      </c>
      <c r="L89" t="inlineStr">
        <is>
          <t>SIN ATRIBUTO</t>
        </is>
      </c>
      <c r="N89" t="inlineStr">
        <is>
          <t>2.1.2.02.02.010</t>
        </is>
      </c>
      <c r="O89" t="inlineStr">
        <is>
          <t>Viáticos de los funcionarios en comisión</t>
        </is>
      </c>
      <c r="P89" t="inlineStr">
        <is>
          <t>360</t>
        </is>
      </c>
      <c r="Q89" t="inlineStr">
        <is>
          <t>SGP PROPOSITO GENERAL 42 POR CIENTO RECURSOS LIBRE DESTINACION SGP PROPOSITO GENERAL MPIOS DE CATEGORIA 4 5 Y 6 SGP ONCE</t>
        </is>
      </c>
      <c r="R89" t="n">
        <v>40000000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40000000</v>
      </c>
      <c r="Z89" t="n">
        <v>11314533.6</v>
      </c>
      <c r="AA89" t="n">
        <v>11314533.6</v>
      </c>
      <c r="AB89" t="n">
        <v>11314533.6</v>
      </c>
      <c r="AC89" t="n">
        <v>11314533.6</v>
      </c>
      <c r="AD89" t="n">
        <v>28685466.4</v>
      </c>
      <c r="AE89" t="n">
        <v>28.29</v>
      </c>
    </row>
    <row r="90">
      <c r="A90" t="inlineStr">
        <is>
          <t>1 - ADMINISTRACIÓN CENTRAL</t>
        </is>
      </c>
      <c r="B90" t="inlineStr">
        <is>
          <t>00 - SIN SECTOR</t>
        </is>
      </c>
      <c r="C90" t="inlineStr">
        <is>
          <t>00</t>
        </is>
      </c>
      <c r="D90" t="inlineStr">
        <is>
          <t>0000</t>
        </is>
      </c>
      <c r="E90" t="inlineStr">
        <is>
          <t>000000</t>
        </is>
      </c>
      <c r="F90" t="inlineStr">
        <is>
          <t>SIN PRODUCTO</t>
        </is>
      </c>
      <c r="G90" t="inlineStr">
        <is>
          <t>00</t>
        </is>
      </c>
      <c r="H90" t="inlineStr">
        <is>
          <t>00</t>
        </is>
      </c>
      <c r="I90" t="inlineStr">
        <is>
          <t>00</t>
        </is>
      </c>
      <c r="J90" t="inlineStr">
        <is>
          <t>SIN PRODUCTO DANE</t>
        </is>
      </c>
      <c r="K90" t="inlineStr">
        <is>
          <t>00</t>
        </is>
      </c>
      <c r="L90" t="inlineStr">
        <is>
          <t>SIN ATRIBUTO</t>
        </is>
      </c>
      <c r="N90" t="inlineStr">
        <is>
          <t>2.1.3</t>
        </is>
      </c>
      <c r="O90" t="inlineStr">
        <is>
          <t>Transferencias corrientes</t>
        </is>
      </c>
      <c r="P90" t="inlineStr">
        <is>
          <t>00</t>
        </is>
      </c>
      <c r="Q90" t="inlineStr">
        <is>
          <t>RECURSOS</t>
        </is>
      </c>
      <c r="R90" t="n">
        <v>79219109</v>
      </c>
      <c r="S90" t="n">
        <v>59679960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138899069</v>
      </c>
      <c r="Z90" t="n">
        <v>40977800</v>
      </c>
      <c r="AA90" t="n">
        <v>40977800</v>
      </c>
      <c r="AB90" t="n">
        <v>40977800</v>
      </c>
      <c r="AC90" t="n">
        <v>40977800</v>
      </c>
      <c r="AD90" t="n">
        <v>97921269</v>
      </c>
      <c r="AE90" t="n">
        <v>29.5</v>
      </c>
    </row>
    <row r="91">
      <c r="A91" t="inlineStr">
        <is>
          <t>1 - ADMINISTRACIÓN CENTRAL</t>
        </is>
      </c>
      <c r="B91" t="inlineStr">
        <is>
          <t>00 - SIN SECTOR</t>
        </is>
      </c>
      <c r="C91" t="inlineStr">
        <is>
          <t>00</t>
        </is>
      </c>
      <c r="D91" t="inlineStr">
        <is>
          <t>0000</t>
        </is>
      </c>
      <c r="E91" t="inlineStr">
        <is>
          <t>000000</t>
        </is>
      </c>
      <c r="F91" t="inlineStr">
        <is>
          <t>SIN PRODUCTO</t>
        </is>
      </c>
      <c r="G91" t="inlineStr">
        <is>
          <t>00</t>
        </is>
      </c>
      <c r="H91" t="inlineStr">
        <is>
          <t>00</t>
        </is>
      </c>
      <c r="I91" t="inlineStr">
        <is>
          <t>00</t>
        </is>
      </c>
      <c r="J91" t="inlineStr">
        <is>
          <t>SIN PRODUCTO DANE</t>
        </is>
      </c>
      <c r="K91" t="inlineStr">
        <is>
          <t>00</t>
        </is>
      </c>
      <c r="L91" t="inlineStr">
        <is>
          <t>SIN ATRIBUTO</t>
        </is>
      </c>
      <c r="N91" t="inlineStr">
        <is>
          <t>2.1.3.05</t>
        </is>
      </c>
      <c r="O91" t="inlineStr">
        <is>
          <t>A entidades del gobierno</t>
        </is>
      </c>
      <c r="P91" t="inlineStr">
        <is>
          <t>00</t>
        </is>
      </c>
      <c r="Q91" t="inlineStr">
        <is>
          <t>RECURSOS</t>
        </is>
      </c>
      <c r="R91" t="n">
        <v>66921409</v>
      </c>
      <c r="S91" t="n">
        <v>36708746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103630155</v>
      </c>
      <c r="Z91" t="n">
        <v>40977800</v>
      </c>
      <c r="AA91" t="n">
        <v>40977800</v>
      </c>
      <c r="AB91" t="n">
        <v>40977800</v>
      </c>
      <c r="AC91" t="n">
        <v>40977800</v>
      </c>
      <c r="AD91" t="n">
        <v>62652355</v>
      </c>
      <c r="AE91" t="n">
        <v>39.54</v>
      </c>
    </row>
    <row r="92">
      <c r="A92" t="inlineStr">
        <is>
          <t>1 - ADMINISTRACIÓN CENTRAL</t>
        </is>
      </c>
      <c r="B92" t="inlineStr">
        <is>
          <t>00 - SIN SECTOR</t>
        </is>
      </c>
      <c r="C92" t="inlineStr">
        <is>
          <t>00</t>
        </is>
      </c>
      <c r="D92" t="inlineStr">
        <is>
          <t>0000</t>
        </is>
      </c>
      <c r="E92" t="inlineStr">
        <is>
          <t>000000</t>
        </is>
      </c>
      <c r="F92" t="inlineStr">
        <is>
          <t>SIN PRODUCTO</t>
        </is>
      </c>
      <c r="G92" t="inlineStr">
        <is>
          <t>00</t>
        </is>
      </c>
      <c r="H92" t="inlineStr">
        <is>
          <t>00</t>
        </is>
      </c>
      <c r="I92" t="inlineStr">
        <is>
          <t>00</t>
        </is>
      </c>
      <c r="J92" t="inlineStr">
        <is>
          <t>SIN PRODUCTO DANE</t>
        </is>
      </c>
      <c r="K92" t="inlineStr">
        <is>
          <t>00</t>
        </is>
      </c>
      <c r="L92" t="inlineStr">
        <is>
          <t>SIN ATRIBUTO</t>
        </is>
      </c>
      <c r="N92" t="inlineStr">
        <is>
          <t>2.1.3.05.01</t>
        </is>
      </c>
      <c r="O92" t="inlineStr">
        <is>
          <t>A organos del pgn</t>
        </is>
      </c>
      <c r="P92" t="inlineStr">
        <is>
          <t>00</t>
        </is>
      </c>
      <c r="Q92" t="inlineStr">
        <is>
          <t>RECURSOS</t>
        </is>
      </c>
      <c r="R92" t="n">
        <v>12602262</v>
      </c>
      <c r="S92" t="n">
        <v>32686776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45289038</v>
      </c>
      <c r="Z92" t="n">
        <v>0</v>
      </c>
      <c r="AA92" t="n">
        <v>0</v>
      </c>
      <c r="AB92" t="n">
        <v>0</v>
      </c>
      <c r="AC92" t="n">
        <v>0</v>
      </c>
      <c r="AD92" t="n">
        <v>45289038</v>
      </c>
      <c r="AE92" t="n">
        <v>0</v>
      </c>
    </row>
    <row r="93">
      <c r="A93" t="inlineStr">
        <is>
          <t>1 - ADMINISTRACIÓN CENTRAL</t>
        </is>
      </c>
      <c r="B93" t="inlineStr">
        <is>
          <t>00 - SIN SECTOR</t>
        </is>
      </c>
      <c r="C93" t="inlineStr">
        <is>
          <t>00</t>
        </is>
      </c>
      <c r="D93" t="inlineStr">
        <is>
          <t>0000</t>
        </is>
      </c>
      <c r="E93" t="inlineStr">
        <is>
          <t>000000</t>
        </is>
      </c>
      <c r="F93" t="inlineStr">
        <is>
          <t>SIN PRODUCTO</t>
        </is>
      </c>
      <c r="G93" t="inlineStr">
        <is>
          <t>00</t>
        </is>
      </c>
      <c r="H93" t="inlineStr">
        <is>
          <t>00</t>
        </is>
      </c>
      <c r="I93" t="inlineStr">
        <is>
          <t>00</t>
        </is>
      </c>
      <c r="J93" t="inlineStr">
        <is>
          <t>SIN PRODUCTO DANE</t>
        </is>
      </c>
      <c r="K93" t="inlineStr">
        <is>
          <t>00</t>
        </is>
      </c>
      <c r="L93" t="inlineStr">
        <is>
          <t>SIN ATRIBUTO</t>
        </is>
      </c>
      <c r="N93" t="inlineStr">
        <is>
          <t>2.1.3.05.01.061</t>
        </is>
      </c>
      <c r="O93" t="inlineStr">
        <is>
          <t>Administracion, funcionamiento e infraestructura del registro nacional de medidas correctivas</t>
        </is>
      </c>
      <c r="P93" t="inlineStr">
        <is>
          <t>138</t>
        </is>
      </c>
      <c r="Q93" t="inlineStr">
        <is>
          <t>MULTAS CODIGO POLICIA</t>
        </is>
      </c>
      <c r="R93" t="n">
        <v>1200000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1200000</v>
      </c>
      <c r="Z93" t="n">
        <v>0</v>
      </c>
      <c r="AA93" t="n">
        <v>0</v>
      </c>
      <c r="AB93" t="n">
        <v>0</v>
      </c>
      <c r="AC93" t="n">
        <v>0</v>
      </c>
      <c r="AD93" t="n">
        <v>1200000</v>
      </c>
      <c r="AE93" t="n">
        <v>0</v>
      </c>
    </row>
    <row r="94">
      <c r="A94" t="inlineStr">
        <is>
          <t>1 - ADMINISTRACIÓN CENTRAL</t>
        </is>
      </c>
      <c r="B94" t="inlineStr">
        <is>
          <t>00 - SIN SECTOR</t>
        </is>
      </c>
      <c r="C94" t="inlineStr">
        <is>
          <t>00</t>
        </is>
      </c>
      <c r="D94" t="inlineStr">
        <is>
          <t>0000</t>
        </is>
      </c>
      <c r="E94" t="inlineStr">
        <is>
          <t>000000</t>
        </is>
      </c>
      <c r="F94" t="inlineStr">
        <is>
          <t>SIN PRODUCTO</t>
        </is>
      </c>
      <c r="G94" t="inlineStr">
        <is>
          <t>00</t>
        </is>
      </c>
      <c r="H94" t="inlineStr">
        <is>
          <t>00</t>
        </is>
      </c>
      <c r="I94" t="inlineStr">
        <is>
          <t>00</t>
        </is>
      </c>
      <c r="J94" t="inlineStr">
        <is>
          <t>SIN PRODUCTO DANE</t>
        </is>
      </c>
      <c r="K94" t="inlineStr">
        <is>
          <t>00</t>
        </is>
      </c>
      <c r="L94" t="inlineStr">
        <is>
          <t>SIN ATRIBUTO</t>
        </is>
      </c>
      <c r="N94" t="inlineStr">
        <is>
          <t>2.1.3.05.01.061</t>
        </is>
      </c>
      <c r="O94" t="inlineStr">
        <is>
          <t>Administracion, funcionamiento e infraestructura del registro nacional de medidas correctivas</t>
        </is>
      </c>
      <c r="P94" t="inlineStr">
        <is>
          <t>138.1</t>
        </is>
      </c>
      <c r="Q94" t="inlineStr">
        <is>
          <t>RB MULTAS CODIGO DE POLICIA</t>
        </is>
      </c>
      <c r="R94" t="n">
        <v>0</v>
      </c>
      <c r="S94" t="n">
        <v>2142902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2142902</v>
      </c>
      <c r="Z94" t="n">
        <v>0</v>
      </c>
      <c r="AA94" t="n">
        <v>0</v>
      </c>
      <c r="AB94" t="n">
        <v>0</v>
      </c>
      <c r="AC94" t="n">
        <v>0</v>
      </c>
      <c r="AD94" t="n">
        <v>2142902</v>
      </c>
      <c r="AE94" t="n">
        <v>0</v>
      </c>
    </row>
    <row r="95">
      <c r="A95" t="inlineStr">
        <is>
          <t>1 - ADMINISTRACIÓN CENTRAL</t>
        </is>
      </c>
      <c r="B95" t="inlineStr">
        <is>
          <t>00 - SIN SECTOR</t>
        </is>
      </c>
      <c r="C95" t="inlineStr">
        <is>
          <t>00</t>
        </is>
      </c>
      <c r="D95" t="inlineStr">
        <is>
          <t>0000</t>
        </is>
      </c>
      <c r="E95" t="inlineStr">
        <is>
          <t>000000</t>
        </is>
      </c>
      <c r="F95" t="inlineStr">
        <is>
          <t>SIN PRODUCTO</t>
        </is>
      </c>
      <c r="G95" t="inlineStr">
        <is>
          <t>00</t>
        </is>
      </c>
      <c r="H95" t="inlineStr">
        <is>
          <t>00</t>
        </is>
      </c>
      <c r="I95" t="inlineStr">
        <is>
          <t>00</t>
        </is>
      </c>
      <c r="J95" t="inlineStr">
        <is>
          <t>SIN PRODUCTO DANE</t>
        </is>
      </c>
      <c r="K95" t="inlineStr">
        <is>
          <t>00</t>
        </is>
      </c>
      <c r="L95" t="inlineStr">
        <is>
          <t>SIN ATRIBUTO</t>
        </is>
      </c>
      <c r="N95" t="inlineStr">
        <is>
          <t>2.1.3.05.01.067</t>
        </is>
      </c>
      <c r="O95" t="inlineStr">
        <is>
          <t>Servicio de policia en modalidad de vigilancia</t>
        </is>
      </c>
      <c r="P95" t="inlineStr">
        <is>
          <t>138</t>
        </is>
      </c>
      <c r="Q95" t="inlineStr">
        <is>
          <t>MULTAS CODIGO POLICIA</t>
        </is>
      </c>
      <c r="R95" t="n">
        <v>450000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450000</v>
      </c>
      <c r="Z95" t="n">
        <v>0</v>
      </c>
      <c r="AA95" t="n">
        <v>0</v>
      </c>
      <c r="AB95" t="n">
        <v>0</v>
      </c>
      <c r="AC95" t="n">
        <v>0</v>
      </c>
      <c r="AD95" t="n">
        <v>450000</v>
      </c>
      <c r="AE95" t="n">
        <v>0</v>
      </c>
    </row>
    <row r="96">
      <c r="A96" t="inlineStr">
        <is>
          <t>1 - ADMINISTRACIÓN CENTRAL</t>
        </is>
      </c>
      <c r="B96" t="inlineStr">
        <is>
          <t>00 - SIN SECTOR</t>
        </is>
      </c>
      <c r="C96" t="inlineStr">
        <is>
          <t>00</t>
        </is>
      </c>
      <c r="D96" t="inlineStr">
        <is>
          <t>0000</t>
        </is>
      </c>
      <c r="E96" t="inlineStr">
        <is>
          <t>000000</t>
        </is>
      </c>
      <c r="F96" t="inlineStr">
        <is>
          <t>SIN PRODUCTO</t>
        </is>
      </c>
      <c r="G96" t="inlineStr">
        <is>
          <t>00</t>
        </is>
      </c>
      <c r="H96" t="inlineStr">
        <is>
          <t>00</t>
        </is>
      </c>
      <c r="I96" t="inlineStr">
        <is>
          <t>00</t>
        </is>
      </c>
      <c r="J96" t="inlineStr">
        <is>
          <t>SIN PRODUCTO DANE</t>
        </is>
      </c>
      <c r="K96" t="inlineStr">
        <is>
          <t>00</t>
        </is>
      </c>
      <c r="L96" t="inlineStr">
        <is>
          <t>SIN ATRIBUTO</t>
        </is>
      </c>
      <c r="N96" t="inlineStr">
        <is>
          <t>2.1.3.05.01.067</t>
        </is>
      </c>
      <c r="O96" t="inlineStr">
        <is>
          <t>Servicio de policia en modalidad de vigilancia</t>
        </is>
      </c>
      <c r="P96" t="inlineStr">
        <is>
          <t>138.1</t>
        </is>
      </c>
      <c r="Q96" t="inlineStr">
        <is>
          <t>RB MULTAS CODIGO DE POLICIA</t>
        </is>
      </c>
      <c r="R96" t="n">
        <v>0</v>
      </c>
      <c r="S96" t="n">
        <v>803588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803588</v>
      </c>
      <c r="Z96" t="n">
        <v>0</v>
      </c>
      <c r="AA96" t="n">
        <v>0</v>
      </c>
      <c r="AB96" t="n">
        <v>0</v>
      </c>
      <c r="AC96" t="n">
        <v>0</v>
      </c>
      <c r="AD96" t="n">
        <v>803588</v>
      </c>
      <c r="AE96" t="n">
        <v>0</v>
      </c>
    </row>
    <row r="97">
      <c r="A97" t="inlineStr">
        <is>
          <t>1 - ADMINISTRACIÓN CENTRAL</t>
        </is>
      </c>
      <c r="B97" t="inlineStr">
        <is>
          <t>00 - SIN SECTOR</t>
        </is>
      </c>
      <c r="C97" t="inlineStr">
        <is>
          <t>00</t>
        </is>
      </c>
      <c r="D97" t="inlineStr">
        <is>
          <t>0000</t>
        </is>
      </c>
      <c r="E97" t="inlineStr">
        <is>
          <t>000000</t>
        </is>
      </c>
      <c r="F97" t="inlineStr">
        <is>
          <t>SIN PRODUCTO</t>
        </is>
      </c>
      <c r="G97" t="inlineStr">
        <is>
          <t>00</t>
        </is>
      </c>
      <c r="H97" t="inlineStr">
        <is>
          <t>00</t>
        </is>
      </c>
      <c r="I97" t="inlineStr">
        <is>
          <t>00</t>
        </is>
      </c>
      <c r="J97" t="inlineStr">
        <is>
          <t>SIN PRODUCTO DANE</t>
        </is>
      </c>
      <c r="K97" t="inlineStr">
        <is>
          <t>00</t>
        </is>
      </c>
      <c r="L97" t="inlineStr">
        <is>
          <t>SIN ATRIBUTO</t>
        </is>
      </c>
      <c r="N97" t="inlineStr">
        <is>
          <t>2.1.3.05.01.068</t>
        </is>
      </c>
      <c r="O97" t="inlineStr">
        <is>
          <t>Administracion, funcionamiento e infraestructura del sistema unico de informacion de recaudo, registro y transaccion de multas del codigo nacional de seguridad y convivencia ciudadana</t>
        </is>
      </c>
      <c r="P97" t="inlineStr">
        <is>
          <t>138</t>
        </is>
      </c>
      <c r="Q97" t="inlineStr">
        <is>
          <t>MULTAS CODIGO POLICIA</t>
        </is>
      </c>
      <c r="R97" t="n">
        <v>450000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450000</v>
      </c>
      <c r="Z97" t="n">
        <v>0</v>
      </c>
      <c r="AA97" t="n">
        <v>0</v>
      </c>
      <c r="AB97" t="n">
        <v>0</v>
      </c>
      <c r="AC97" t="n">
        <v>0</v>
      </c>
      <c r="AD97" t="n">
        <v>450000</v>
      </c>
      <c r="AE97" t="n">
        <v>0</v>
      </c>
    </row>
    <row r="98">
      <c r="A98" t="inlineStr">
        <is>
          <t>1 - ADMINISTRACIÓN CENTRAL</t>
        </is>
      </c>
      <c r="B98" t="inlineStr">
        <is>
          <t>00 - SIN SECTOR</t>
        </is>
      </c>
      <c r="C98" t="inlineStr">
        <is>
          <t>00</t>
        </is>
      </c>
      <c r="D98" t="inlineStr">
        <is>
          <t>0000</t>
        </is>
      </c>
      <c r="E98" t="inlineStr">
        <is>
          <t>000000</t>
        </is>
      </c>
      <c r="F98" t="inlineStr">
        <is>
          <t>SIN PRODUCTO</t>
        </is>
      </c>
      <c r="G98" t="inlineStr">
        <is>
          <t>00</t>
        </is>
      </c>
      <c r="H98" t="inlineStr">
        <is>
          <t>00</t>
        </is>
      </c>
      <c r="I98" t="inlineStr">
        <is>
          <t>00</t>
        </is>
      </c>
      <c r="J98" t="inlineStr">
        <is>
          <t>SIN PRODUCTO DANE</t>
        </is>
      </c>
      <c r="K98" t="inlineStr">
        <is>
          <t>00</t>
        </is>
      </c>
      <c r="L98" t="inlineStr">
        <is>
          <t>SIN ATRIBUTO</t>
        </is>
      </c>
      <c r="N98" t="inlineStr">
        <is>
          <t>2.1.3.05.01.068</t>
        </is>
      </c>
      <c r="O98" t="inlineStr">
        <is>
          <t>Administracion, funcionamiento e infraestructura del sistema unico de informacion de recaudo, registro y transaccion de multas del codigo nacional de seguridad y convivencia ciudadana</t>
        </is>
      </c>
      <c r="P98" t="inlineStr">
        <is>
          <t>138.1</t>
        </is>
      </c>
      <c r="Q98" t="inlineStr">
        <is>
          <t>RB MULTAS CODIGO DE POLICIA</t>
        </is>
      </c>
      <c r="R98" t="n">
        <v>0</v>
      </c>
      <c r="S98" t="n">
        <v>803588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803588</v>
      </c>
      <c r="Z98" t="n">
        <v>0</v>
      </c>
      <c r="AA98" t="n">
        <v>0</v>
      </c>
      <c r="AB98" t="n">
        <v>0</v>
      </c>
      <c r="AC98" t="n">
        <v>0</v>
      </c>
      <c r="AD98" t="n">
        <v>803588</v>
      </c>
      <c r="AE98" t="n">
        <v>0</v>
      </c>
    </row>
    <row r="99">
      <c r="A99" t="inlineStr">
        <is>
          <t>1 - ADMINISTRACIÓN CENTRAL</t>
        </is>
      </c>
      <c r="B99" t="inlineStr">
        <is>
          <t>00 - SIN SECTOR</t>
        </is>
      </c>
      <c r="C99" t="inlineStr">
        <is>
          <t>00</t>
        </is>
      </c>
      <c r="D99" t="inlineStr">
        <is>
          <t>0000</t>
        </is>
      </c>
      <c r="E99" t="inlineStr">
        <is>
          <t>000000</t>
        </is>
      </c>
      <c r="F99" t="inlineStr">
        <is>
          <t>SIN PRODUCTO</t>
        </is>
      </c>
      <c r="G99" t="inlineStr">
        <is>
          <t>00</t>
        </is>
      </c>
      <c r="H99" t="inlineStr">
        <is>
          <t>00</t>
        </is>
      </c>
      <c r="I99" t="inlineStr">
        <is>
          <t>00</t>
        </is>
      </c>
      <c r="J99" t="inlineStr">
        <is>
          <t>SIN PRODUCTO DANE</t>
        </is>
      </c>
      <c r="K99" t="inlineStr">
        <is>
          <t>00</t>
        </is>
      </c>
      <c r="L99" t="inlineStr">
        <is>
          <t>SIN ATRIBUTO</t>
        </is>
      </c>
      <c r="N99" t="inlineStr">
        <is>
          <t>2.1.3.05.04</t>
        </is>
      </c>
      <c r="O99" t="inlineStr">
        <is>
          <t>Participaciones distintas del sgp</t>
        </is>
      </c>
      <c r="P99" t="inlineStr">
        <is>
          <t>00</t>
        </is>
      </c>
      <c r="Q99" t="inlineStr">
        <is>
          <t>RECURSOS</t>
        </is>
      </c>
      <c r="R99" t="n">
        <v>54319147</v>
      </c>
      <c r="S99" t="n">
        <v>4021970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58341117</v>
      </c>
      <c r="Z99" t="n">
        <v>40977800</v>
      </c>
      <c r="AA99" t="n">
        <v>40977800</v>
      </c>
      <c r="AB99" t="n">
        <v>40977800</v>
      </c>
      <c r="AC99" t="n">
        <v>40977800</v>
      </c>
      <c r="AD99" t="n">
        <v>17363317</v>
      </c>
      <c r="AE99" t="n">
        <v>70.23999999999999</v>
      </c>
    </row>
    <row r="100">
      <c r="A100" t="inlineStr">
        <is>
          <t>1 - ADMINISTRACIÓN CENTRAL</t>
        </is>
      </c>
      <c r="B100" t="inlineStr">
        <is>
          <t>00 - SIN SECTOR</t>
        </is>
      </c>
      <c r="C100" t="inlineStr">
        <is>
          <t>00</t>
        </is>
      </c>
      <c r="D100" t="inlineStr">
        <is>
          <t>0000</t>
        </is>
      </c>
      <c r="E100" t="inlineStr">
        <is>
          <t>000000</t>
        </is>
      </c>
      <c r="F100" t="inlineStr">
        <is>
          <t>SIN PRODUCTO</t>
        </is>
      </c>
      <c r="G100" t="inlineStr">
        <is>
          <t>00</t>
        </is>
      </c>
      <c r="H100" t="inlineStr">
        <is>
          <t>00</t>
        </is>
      </c>
      <c r="I100" t="inlineStr">
        <is>
          <t>00</t>
        </is>
      </c>
      <c r="J100" t="inlineStr">
        <is>
          <t>SIN PRODUCTO DANE</t>
        </is>
      </c>
      <c r="K100" t="inlineStr">
        <is>
          <t>00</t>
        </is>
      </c>
      <c r="L100" t="inlineStr">
        <is>
          <t>SIN ATRIBUTO</t>
        </is>
      </c>
      <c r="N100" t="inlineStr">
        <is>
          <t>2.1.3.05.04.001</t>
        </is>
      </c>
      <c r="O100" t="inlineStr">
        <is>
          <t>Participaciones de impuestos</t>
        </is>
      </c>
      <c r="P100" t="inlineStr">
        <is>
          <t>00</t>
        </is>
      </c>
      <c r="Q100" t="inlineStr">
        <is>
          <t>RECURSOS</t>
        </is>
      </c>
      <c r="R100" t="n">
        <v>54319147</v>
      </c>
      <c r="S100" t="n">
        <v>4021970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58341117</v>
      </c>
      <c r="Z100" t="n">
        <v>40977800</v>
      </c>
      <c r="AA100" t="n">
        <v>40977800</v>
      </c>
      <c r="AB100" t="n">
        <v>40977800</v>
      </c>
      <c r="AC100" t="n">
        <v>40977800</v>
      </c>
      <c r="AD100" t="n">
        <v>17363317</v>
      </c>
      <c r="AE100" t="n">
        <v>70.23999999999999</v>
      </c>
    </row>
    <row r="101">
      <c r="A101" t="inlineStr">
        <is>
          <t>1 - ADMINISTRACIÓN CENTRAL</t>
        </is>
      </c>
      <c r="B101" t="inlineStr">
        <is>
          <t>00 - SIN SECTOR</t>
        </is>
      </c>
      <c r="C101" t="inlineStr">
        <is>
          <t>00</t>
        </is>
      </c>
      <c r="D101" t="inlineStr">
        <is>
          <t>0000</t>
        </is>
      </c>
      <c r="E101" t="inlineStr">
        <is>
          <t>000000</t>
        </is>
      </c>
      <c r="F101" t="inlineStr">
        <is>
          <t>SIN PRODUCTO</t>
        </is>
      </c>
      <c r="G101" t="inlineStr">
        <is>
          <t>00</t>
        </is>
      </c>
      <c r="H101" t="inlineStr">
        <is>
          <t>00</t>
        </is>
      </c>
      <c r="I101" t="inlineStr">
        <is>
          <t>00</t>
        </is>
      </c>
      <c r="J101" t="inlineStr">
        <is>
          <t>SIN PRODUCTO DANE</t>
        </is>
      </c>
      <c r="K101" t="inlineStr">
        <is>
          <t>00</t>
        </is>
      </c>
      <c r="L101" t="inlineStr">
        <is>
          <t>SIN ATRIBUTO</t>
        </is>
      </c>
      <c r="N101" t="inlineStr">
        <is>
          <t>2.1.3.05.04.001.13</t>
        </is>
      </c>
      <c r="O101" t="inlineStr">
        <is>
          <t>Participacion de la sobretasa ambiental</t>
        </is>
      </c>
      <c r="P101" t="inlineStr">
        <is>
          <t>00</t>
        </is>
      </c>
      <c r="Q101" t="inlineStr">
        <is>
          <t>RECURSOS</t>
        </is>
      </c>
      <c r="R101" t="n">
        <v>54319147</v>
      </c>
      <c r="S101" t="n">
        <v>4021970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58341117</v>
      </c>
      <c r="Z101" t="n">
        <v>40977800</v>
      </c>
      <c r="AA101" t="n">
        <v>40977800</v>
      </c>
      <c r="AB101" t="n">
        <v>40977800</v>
      </c>
      <c r="AC101" t="n">
        <v>40977800</v>
      </c>
      <c r="AD101" t="n">
        <v>17363317</v>
      </c>
      <c r="AE101" t="n">
        <v>70.23999999999999</v>
      </c>
    </row>
    <row r="102">
      <c r="A102" t="inlineStr">
        <is>
          <t>1 - ADMINISTRACIÓN CENTRAL</t>
        </is>
      </c>
      <c r="B102" t="inlineStr">
        <is>
          <t>00 - SIN SECTOR</t>
        </is>
      </c>
      <c r="C102" t="inlineStr">
        <is>
          <t>00</t>
        </is>
      </c>
      <c r="D102" t="inlineStr">
        <is>
          <t>0000</t>
        </is>
      </c>
      <c r="E102" t="inlineStr">
        <is>
          <t>000000</t>
        </is>
      </c>
      <c r="F102" t="inlineStr">
        <is>
          <t>SIN PRODUCTO</t>
        </is>
      </c>
      <c r="G102" t="inlineStr">
        <is>
          <t>00</t>
        </is>
      </c>
      <c r="H102" t="inlineStr">
        <is>
          <t>00</t>
        </is>
      </c>
      <c r="I102" t="inlineStr">
        <is>
          <t>00</t>
        </is>
      </c>
      <c r="J102" t="inlineStr">
        <is>
          <t>SIN PRODUCTO DANE</t>
        </is>
      </c>
      <c r="K102" t="inlineStr">
        <is>
          <t>00</t>
        </is>
      </c>
      <c r="L102" t="inlineStr">
        <is>
          <t>SIN ATRIBUTO</t>
        </is>
      </c>
      <c r="N102" t="inlineStr">
        <is>
          <t>2.1.3.05.04.001.13.01</t>
        </is>
      </c>
      <c r="O102" t="inlineStr">
        <is>
          <t>Transferencia de la sobretasa ambiental a las corporaciones autonomas regionales</t>
        </is>
      </c>
      <c r="P102" t="inlineStr">
        <is>
          <t>101.2</t>
        </is>
      </c>
      <c r="Q102" t="inlineStr">
        <is>
          <t>SOBRETASA AMBIENTAL</t>
        </is>
      </c>
      <c r="R102" t="n">
        <v>54319147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54319147</v>
      </c>
      <c r="Z102" t="n">
        <v>40977800</v>
      </c>
      <c r="AA102" t="n">
        <v>40977800</v>
      </c>
      <c r="AB102" t="n">
        <v>40977800</v>
      </c>
      <c r="AC102" t="n">
        <v>40977800</v>
      </c>
      <c r="AD102" t="n">
        <v>13341347</v>
      </c>
      <c r="AE102" t="n">
        <v>75.44</v>
      </c>
    </row>
    <row r="103">
      <c r="A103" t="inlineStr">
        <is>
          <t>1 - ADMINISTRACIÓN CENTRAL</t>
        </is>
      </c>
      <c r="B103" t="inlineStr">
        <is>
          <t>00 - SIN SECTOR</t>
        </is>
      </c>
      <c r="C103" t="inlineStr">
        <is>
          <t>00</t>
        </is>
      </c>
      <c r="D103" t="inlineStr">
        <is>
          <t>0000</t>
        </is>
      </c>
      <c r="E103" t="inlineStr">
        <is>
          <t>000000</t>
        </is>
      </c>
      <c r="F103" t="inlineStr">
        <is>
          <t>SIN PRODUCTO</t>
        </is>
      </c>
      <c r="G103" t="inlineStr">
        <is>
          <t>00</t>
        </is>
      </c>
      <c r="H103" t="inlineStr">
        <is>
          <t>00</t>
        </is>
      </c>
      <c r="I103" t="inlineStr">
        <is>
          <t>00</t>
        </is>
      </c>
      <c r="J103" t="inlineStr">
        <is>
          <t>SIN PRODUCTO DANE</t>
        </is>
      </c>
      <c r="K103" t="inlineStr">
        <is>
          <t>00</t>
        </is>
      </c>
      <c r="L103" t="inlineStr">
        <is>
          <t>SIN ATRIBUTO</t>
        </is>
      </c>
      <c r="N103" t="inlineStr">
        <is>
          <t>2.1.3.05.04.001.13.01</t>
        </is>
      </c>
      <c r="O103" t="inlineStr">
        <is>
          <t>Transferencia de la sobretasa ambiental a las corporaciones autonomas regionales</t>
        </is>
      </c>
      <c r="P103" t="inlineStr">
        <is>
          <t>101.2.1</t>
        </is>
      </c>
      <c r="Q103" t="inlineStr">
        <is>
          <t>SOBRETASA AMBIENTAL RB</t>
        </is>
      </c>
      <c r="R103" t="n">
        <v>0</v>
      </c>
      <c r="S103" t="n">
        <v>4021970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4021970</v>
      </c>
      <c r="Z103" t="n">
        <v>0</v>
      </c>
      <c r="AA103" t="n">
        <v>0</v>
      </c>
      <c r="AB103" t="n">
        <v>0</v>
      </c>
      <c r="AC103" t="n">
        <v>0</v>
      </c>
      <c r="AD103" t="n">
        <v>4021970</v>
      </c>
      <c r="AE103" t="n">
        <v>0</v>
      </c>
    </row>
    <row r="104">
      <c r="A104" t="inlineStr">
        <is>
          <t>1 - ADMINISTRACIÓN CENTRAL</t>
        </is>
      </c>
      <c r="B104" t="inlineStr">
        <is>
          <t>00 - SIN SECTOR</t>
        </is>
      </c>
      <c r="C104" t="inlineStr">
        <is>
          <t>00</t>
        </is>
      </c>
      <c r="D104" t="inlineStr">
        <is>
          <t>0000</t>
        </is>
      </c>
      <c r="E104" t="inlineStr">
        <is>
          <t>000000</t>
        </is>
      </c>
      <c r="F104" t="inlineStr">
        <is>
          <t>SIN PRODUCTO</t>
        </is>
      </c>
      <c r="G104" t="inlineStr">
        <is>
          <t>00</t>
        </is>
      </c>
      <c r="H104" t="inlineStr">
        <is>
          <t>00</t>
        </is>
      </c>
      <c r="I104" t="inlineStr">
        <is>
          <t>00</t>
        </is>
      </c>
      <c r="J104" t="inlineStr">
        <is>
          <t>SIN PRODUCTO DANE</t>
        </is>
      </c>
      <c r="K104" t="inlineStr">
        <is>
          <t>00</t>
        </is>
      </c>
      <c r="L104" t="inlineStr">
        <is>
          <t>SIN ATRIBUTO</t>
        </is>
      </c>
      <c r="N104" t="inlineStr">
        <is>
          <t>2.1.3.09</t>
        </is>
      </c>
      <c r="O104" t="inlineStr">
        <is>
          <t>A instituciones sin animo de lucro que sirven a los hogares</t>
        </is>
      </c>
      <c r="P104" t="inlineStr">
        <is>
          <t>00</t>
        </is>
      </c>
      <c r="Q104" t="inlineStr">
        <is>
          <t>RECURSOS</t>
        </is>
      </c>
      <c r="R104" t="n">
        <v>6349424</v>
      </c>
      <c r="S104" t="n">
        <v>8887000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15236424</v>
      </c>
      <c r="Z104" t="n">
        <v>0</v>
      </c>
      <c r="AA104" t="n">
        <v>0</v>
      </c>
      <c r="AB104" t="n">
        <v>0</v>
      </c>
      <c r="AC104" t="n">
        <v>0</v>
      </c>
      <c r="AD104" t="n">
        <v>15236424</v>
      </c>
      <c r="AE104" t="n">
        <v>0</v>
      </c>
    </row>
    <row r="105">
      <c r="A105" t="inlineStr">
        <is>
          <t>1 - ADMINISTRACIÓN CENTRAL</t>
        </is>
      </c>
      <c r="B105" t="inlineStr">
        <is>
          <t>00 - SIN SECTOR</t>
        </is>
      </c>
      <c r="C105" t="inlineStr">
        <is>
          <t>00</t>
        </is>
      </c>
      <c r="D105" t="inlineStr">
        <is>
          <t>0000</t>
        </is>
      </c>
      <c r="E105" t="inlineStr">
        <is>
          <t>000000</t>
        </is>
      </c>
      <c r="F105" t="inlineStr">
        <is>
          <t>SIN PRODUCTO</t>
        </is>
      </c>
      <c r="G105" t="inlineStr">
        <is>
          <t>00</t>
        </is>
      </c>
      <c r="H105" t="inlineStr">
        <is>
          <t>00</t>
        </is>
      </c>
      <c r="I105" t="inlineStr">
        <is>
          <t>00</t>
        </is>
      </c>
      <c r="J105" t="inlineStr">
        <is>
          <t>SIN PRODUCTO DANE</t>
        </is>
      </c>
      <c r="K105" t="inlineStr">
        <is>
          <t>00</t>
        </is>
      </c>
      <c r="L105" t="inlineStr">
        <is>
          <t>SIN ATRIBUTO</t>
        </is>
      </c>
      <c r="N105" t="inlineStr">
        <is>
          <t>2.1.3.09.16</t>
        </is>
      </c>
      <c r="O105" t="inlineStr">
        <is>
          <t>Sobretasa bomberilcuerpos de bomberos voluntarios</t>
        </is>
      </c>
      <c r="P105" t="inlineStr">
        <is>
          <t>00</t>
        </is>
      </c>
      <c r="Q105" t="inlineStr">
        <is>
          <t>RECURSOS</t>
        </is>
      </c>
      <c r="R105" t="n">
        <v>6349424</v>
      </c>
      <c r="S105" t="n">
        <v>8887000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15236424</v>
      </c>
      <c r="Z105" t="n">
        <v>0</v>
      </c>
      <c r="AA105" t="n">
        <v>0</v>
      </c>
      <c r="AB105" t="n">
        <v>0</v>
      </c>
      <c r="AC105" t="n">
        <v>0</v>
      </c>
      <c r="AD105" t="n">
        <v>15236424</v>
      </c>
      <c r="AE105" t="n">
        <v>0</v>
      </c>
    </row>
    <row r="106">
      <c r="A106" t="inlineStr">
        <is>
          <t>1 - ADMINISTRACIÓN CENTRAL</t>
        </is>
      </c>
      <c r="B106" t="inlineStr">
        <is>
          <t>00 - SIN SECTOR</t>
        </is>
      </c>
      <c r="C106" t="inlineStr">
        <is>
          <t>00</t>
        </is>
      </c>
      <c r="D106" t="inlineStr">
        <is>
          <t>0000</t>
        </is>
      </c>
      <c r="E106" t="inlineStr">
        <is>
          <t>000000</t>
        </is>
      </c>
      <c r="F106" t="inlineStr">
        <is>
          <t>SIN PRODUCTO</t>
        </is>
      </c>
      <c r="G106" t="inlineStr">
        <is>
          <t>00</t>
        </is>
      </c>
      <c r="H106" t="inlineStr">
        <is>
          <t>00</t>
        </is>
      </c>
      <c r="I106" t="inlineStr">
        <is>
          <t>00</t>
        </is>
      </c>
      <c r="J106" t="inlineStr">
        <is>
          <t>SIN PRODUCTO DANE</t>
        </is>
      </c>
      <c r="K106" t="inlineStr">
        <is>
          <t>00</t>
        </is>
      </c>
      <c r="L106" t="inlineStr">
        <is>
          <t>SIN ATRIBUTO</t>
        </is>
      </c>
      <c r="N106" t="inlineStr">
        <is>
          <t>2.1.3.09.16.01</t>
        </is>
      </c>
      <c r="O106" t="inlineStr">
        <is>
          <t>Transferencia Cuerpo de Bomberos</t>
        </is>
      </c>
      <c r="P106" t="inlineStr">
        <is>
          <t>114</t>
        </is>
      </c>
      <c r="Q106" t="inlineStr">
        <is>
          <t>SOBRETASA BOMBERIL</t>
        </is>
      </c>
      <c r="R106" t="n">
        <v>6349424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6349424</v>
      </c>
      <c r="Z106" t="n">
        <v>0</v>
      </c>
      <c r="AA106" t="n">
        <v>0</v>
      </c>
      <c r="AB106" t="n">
        <v>0</v>
      </c>
      <c r="AC106" t="n">
        <v>0</v>
      </c>
      <c r="AD106" t="n">
        <v>6349424</v>
      </c>
      <c r="AE106" t="n">
        <v>0</v>
      </c>
    </row>
    <row r="107">
      <c r="A107" t="inlineStr">
        <is>
          <t>1 - ADMINISTRACIÓN CENTRAL</t>
        </is>
      </c>
      <c r="B107" t="inlineStr">
        <is>
          <t>00 - SIN SECTOR</t>
        </is>
      </c>
      <c r="C107" t="inlineStr">
        <is>
          <t>00</t>
        </is>
      </c>
      <c r="D107" t="inlineStr">
        <is>
          <t>0000</t>
        </is>
      </c>
      <c r="E107" t="inlineStr">
        <is>
          <t>000000</t>
        </is>
      </c>
      <c r="F107" t="inlineStr">
        <is>
          <t>SIN PRODUCTO</t>
        </is>
      </c>
      <c r="G107" t="inlineStr">
        <is>
          <t>00</t>
        </is>
      </c>
      <c r="H107" t="inlineStr">
        <is>
          <t>00</t>
        </is>
      </c>
      <c r="I107" t="inlineStr">
        <is>
          <t>00</t>
        </is>
      </c>
      <c r="J107" t="inlineStr">
        <is>
          <t>SIN PRODUCTO DANE</t>
        </is>
      </c>
      <c r="K107" t="inlineStr">
        <is>
          <t>00</t>
        </is>
      </c>
      <c r="L107" t="inlineStr">
        <is>
          <t>SIN ATRIBUTO</t>
        </is>
      </c>
      <c r="N107" t="inlineStr">
        <is>
          <t>2.1.3.09.16.01</t>
        </is>
      </c>
      <c r="O107" t="inlineStr">
        <is>
          <t>Transferencia Cuerpo de Bomberos</t>
        </is>
      </c>
      <c r="P107" t="inlineStr">
        <is>
          <t>114.1</t>
        </is>
      </c>
      <c r="Q107" t="inlineStr">
        <is>
          <t>SOBRETASA BOMBERIL RB</t>
        </is>
      </c>
      <c r="R107" t="n">
        <v>0</v>
      </c>
      <c r="S107" t="n">
        <v>8887000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8887000</v>
      </c>
      <c r="Z107" t="n">
        <v>0</v>
      </c>
      <c r="AA107" t="n">
        <v>0</v>
      </c>
      <c r="AB107" t="n">
        <v>0</v>
      </c>
      <c r="AC107" t="n">
        <v>0</v>
      </c>
      <c r="AD107" t="n">
        <v>8887000</v>
      </c>
      <c r="AE107" t="n">
        <v>0</v>
      </c>
    </row>
    <row r="108">
      <c r="A108" t="inlineStr">
        <is>
          <t>1 - ADMINISTRACIÓN CENTRAL</t>
        </is>
      </c>
      <c r="B108" t="inlineStr">
        <is>
          <t>00 - SIN SECTOR</t>
        </is>
      </c>
      <c r="C108" t="inlineStr">
        <is>
          <t>00</t>
        </is>
      </c>
      <c r="D108" t="inlineStr">
        <is>
          <t>0000</t>
        </is>
      </c>
      <c r="E108" t="inlineStr">
        <is>
          <t>000000</t>
        </is>
      </c>
      <c r="F108" t="inlineStr">
        <is>
          <t>SIN PRODUCTO</t>
        </is>
      </c>
      <c r="G108" t="inlineStr">
        <is>
          <t>00</t>
        </is>
      </c>
      <c r="H108" t="inlineStr">
        <is>
          <t>00</t>
        </is>
      </c>
      <c r="I108" t="inlineStr">
        <is>
          <t>00</t>
        </is>
      </c>
      <c r="J108" t="inlineStr">
        <is>
          <t>SIN PRODUCTO DANE</t>
        </is>
      </c>
      <c r="K108" t="inlineStr">
        <is>
          <t>00</t>
        </is>
      </c>
      <c r="L108" t="inlineStr">
        <is>
          <t>SIN ATRIBUTO</t>
        </is>
      </c>
      <c r="N108" t="inlineStr">
        <is>
          <t>2.1.3.11</t>
        </is>
      </c>
      <c r="O108" t="inlineStr">
        <is>
          <t>Recursos del sistema de seguridad social integral</t>
        </is>
      </c>
      <c r="P108" t="inlineStr">
        <is>
          <t>00</t>
        </is>
      </c>
      <c r="Q108" t="inlineStr">
        <is>
          <t>RECURSOS</t>
        </is>
      </c>
      <c r="R108" t="n">
        <v>5947276</v>
      </c>
      <c r="S108" t="n">
        <v>14084214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20031490</v>
      </c>
      <c r="Z108" t="n">
        <v>0</v>
      </c>
      <c r="AA108" t="n">
        <v>0</v>
      </c>
      <c r="AB108" t="n">
        <v>0</v>
      </c>
      <c r="AC108" t="n">
        <v>0</v>
      </c>
      <c r="AD108" t="n">
        <v>20031490</v>
      </c>
      <c r="AE108" t="n">
        <v>0</v>
      </c>
    </row>
    <row r="109">
      <c r="A109" t="inlineStr">
        <is>
          <t>1 - ADMINISTRACIÓN CENTRAL</t>
        </is>
      </c>
      <c r="B109" t="inlineStr">
        <is>
          <t>00 - SIN SECTOR</t>
        </is>
      </c>
      <c r="C109" t="inlineStr">
        <is>
          <t>00</t>
        </is>
      </c>
      <c r="D109" t="inlineStr">
        <is>
          <t>0000</t>
        </is>
      </c>
      <c r="E109" t="inlineStr">
        <is>
          <t>000000</t>
        </is>
      </c>
      <c r="F109" t="inlineStr">
        <is>
          <t>SIN PRODUCTO</t>
        </is>
      </c>
      <c r="G109" t="inlineStr">
        <is>
          <t>00</t>
        </is>
      </c>
      <c r="H109" t="inlineStr">
        <is>
          <t>00</t>
        </is>
      </c>
      <c r="I109" t="inlineStr">
        <is>
          <t>00</t>
        </is>
      </c>
      <c r="J109" t="inlineStr">
        <is>
          <t>SIN PRODUCTO DANE</t>
        </is>
      </c>
      <c r="K109" t="inlineStr">
        <is>
          <t>00</t>
        </is>
      </c>
      <c r="L109" t="inlineStr">
        <is>
          <t>SIN ATRIBUTO</t>
        </is>
      </c>
      <c r="N109" t="inlineStr">
        <is>
          <t>2.1.3.11.02</t>
        </is>
      </c>
      <c r="O109" t="inlineStr">
        <is>
          <t xml:space="preserve">Sistema general de pensiones </t>
        </is>
      </c>
      <c r="P109" t="inlineStr">
        <is>
          <t>00</t>
        </is>
      </c>
      <c r="Q109" t="inlineStr">
        <is>
          <t>RECURSOS</t>
        </is>
      </c>
      <c r="R109" t="n">
        <v>5947276</v>
      </c>
      <c r="S109" t="n">
        <v>14084214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20031490</v>
      </c>
      <c r="Z109" t="n">
        <v>0</v>
      </c>
      <c r="AA109" t="n">
        <v>0</v>
      </c>
      <c r="AB109" t="n">
        <v>0</v>
      </c>
      <c r="AC109" t="n">
        <v>0</v>
      </c>
      <c r="AD109" t="n">
        <v>20031490</v>
      </c>
      <c r="AE109" t="n">
        <v>0</v>
      </c>
    </row>
    <row r="110">
      <c r="A110" t="inlineStr">
        <is>
          <t>1 - ADMINISTRACIÓN CENTRAL</t>
        </is>
      </c>
      <c r="B110" t="inlineStr">
        <is>
          <t>00 - SIN SECTOR</t>
        </is>
      </c>
      <c r="C110" t="inlineStr">
        <is>
          <t>00</t>
        </is>
      </c>
      <c r="D110" t="inlineStr">
        <is>
          <t>0000</t>
        </is>
      </c>
      <c r="E110" t="inlineStr">
        <is>
          <t>000000</t>
        </is>
      </c>
      <c r="F110" t="inlineStr">
        <is>
          <t>SIN PRODUCTO</t>
        </is>
      </c>
      <c r="G110" t="inlineStr">
        <is>
          <t>00</t>
        </is>
      </c>
      <c r="H110" t="inlineStr">
        <is>
          <t>00</t>
        </is>
      </c>
      <c r="I110" t="inlineStr">
        <is>
          <t>00</t>
        </is>
      </c>
      <c r="J110" t="inlineStr">
        <is>
          <t>SIN PRODUCTO DANE</t>
        </is>
      </c>
      <c r="K110" t="inlineStr">
        <is>
          <t>00</t>
        </is>
      </c>
      <c r="L110" t="inlineStr">
        <is>
          <t>SIN ATRIBUTO</t>
        </is>
      </c>
      <c r="N110" t="inlineStr">
        <is>
          <t>2.1.3.11.02.001</t>
        </is>
      </c>
      <c r="O110" t="inlineStr">
        <is>
          <t xml:space="preserve">Capitalizacion de patrimonios autonomos pensionales </t>
        </is>
      </c>
      <c r="P110" t="inlineStr">
        <is>
          <t>00</t>
        </is>
      </c>
      <c r="Q110" t="inlineStr">
        <is>
          <t>RECURSOS</t>
        </is>
      </c>
      <c r="R110" t="n">
        <v>5947276</v>
      </c>
      <c r="S110" t="n">
        <v>14084214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20031490</v>
      </c>
      <c r="Z110" t="n">
        <v>0</v>
      </c>
      <c r="AA110" t="n">
        <v>0</v>
      </c>
      <c r="AB110" t="n">
        <v>0</v>
      </c>
      <c r="AC110" t="n">
        <v>0</v>
      </c>
      <c r="AD110" t="n">
        <v>20031490</v>
      </c>
      <c r="AE110" t="n">
        <v>0</v>
      </c>
    </row>
    <row r="111">
      <c r="A111" t="inlineStr">
        <is>
          <t>1 - ADMINISTRACIÓN CENTRAL</t>
        </is>
      </c>
      <c r="B111" t="inlineStr">
        <is>
          <t>00 - SIN SECTOR</t>
        </is>
      </c>
      <c r="C111" t="inlineStr">
        <is>
          <t>00</t>
        </is>
      </c>
      <c r="D111" t="inlineStr">
        <is>
          <t>0000</t>
        </is>
      </c>
      <c r="E111" t="inlineStr">
        <is>
          <t>000000</t>
        </is>
      </c>
      <c r="F111" t="inlineStr">
        <is>
          <t>SIN PRODUCTO</t>
        </is>
      </c>
      <c r="G111" t="inlineStr">
        <is>
          <t>00</t>
        </is>
      </c>
      <c r="H111" t="inlineStr">
        <is>
          <t>00</t>
        </is>
      </c>
      <c r="I111" t="inlineStr">
        <is>
          <t>00</t>
        </is>
      </c>
      <c r="J111" t="inlineStr">
        <is>
          <t>SIN PRODUCTO DANE</t>
        </is>
      </c>
      <c r="K111" t="inlineStr">
        <is>
          <t>00</t>
        </is>
      </c>
      <c r="L111" t="inlineStr">
        <is>
          <t>SIN ATRIBUTO</t>
        </is>
      </c>
      <c r="N111" t="inlineStr">
        <is>
          <t>2.1.3.11.02.001.02</t>
        </is>
      </c>
      <c r="O111" t="inlineStr">
        <is>
          <t>Capitalizacion de otros patrimonios autonomos pensionales</t>
        </is>
      </c>
      <c r="P111" t="inlineStr">
        <is>
          <t>00</t>
        </is>
      </c>
      <c r="Q111" t="inlineStr">
        <is>
          <t>RECURSOS</t>
        </is>
      </c>
      <c r="R111" t="n">
        <v>5947276</v>
      </c>
      <c r="S111" t="n">
        <v>14084214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20031490</v>
      </c>
      <c r="Z111" t="n">
        <v>0</v>
      </c>
      <c r="AA111" t="n">
        <v>0</v>
      </c>
      <c r="AB111" t="n">
        <v>0</v>
      </c>
      <c r="AC111" t="n">
        <v>0</v>
      </c>
      <c r="AD111" t="n">
        <v>20031490</v>
      </c>
      <c r="AE111" t="n">
        <v>0</v>
      </c>
    </row>
    <row r="112">
      <c r="A112" t="inlineStr">
        <is>
          <t>1 - ADMINISTRACIÓN CENTRAL</t>
        </is>
      </c>
      <c r="B112" t="inlineStr">
        <is>
          <t>00 - SIN SECTOR</t>
        </is>
      </c>
      <c r="C112" t="inlineStr">
        <is>
          <t>00</t>
        </is>
      </c>
      <c r="D112" t="inlineStr">
        <is>
          <t>0000</t>
        </is>
      </c>
      <c r="E112" t="inlineStr">
        <is>
          <t>000000</t>
        </is>
      </c>
      <c r="F112" t="inlineStr">
        <is>
          <t>SIN PRODUCTO</t>
        </is>
      </c>
      <c r="G112" t="inlineStr">
        <is>
          <t>00</t>
        </is>
      </c>
      <c r="H112" t="inlineStr">
        <is>
          <t>00</t>
        </is>
      </c>
      <c r="I112" t="inlineStr">
        <is>
          <t>00</t>
        </is>
      </c>
      <c r="J112" t="inlineStr">
        <is>
          <t>SIN PRODUCTO DANE</t>
        </is>
      </c>
      <c r="K112" t="inlineStr">
        <is>
          <t>00</t>
        </is>
      </c>
      <c r="L112" t="inlineStr">
        <is>
          <t>SIN ATRIBUTO</t>
        </is>
      </c>
      <c r="N112" t="inlineStr">
        <is>
          <t>2.1.3.11.02.001.02.02</t>
        </is>
      </c>
      <c r="O112" t="inlineStr">
        <is>
          <t>Seguridad Social Del Gestor Cultural 10% Ley 666</t>
        </is>
      </c>
      <c r="P112" t="inlineStr">
        <is>
          <t>152</t>
        </is>
      </c>
      <c r="Q112" t="inlineStr">
        <is>
          <t>Estampilla Procultura</t>
        </is>
      </c>
      <c r="R112" t="n">
        <v>5847276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5847276</v>
      </c>
      <c r="Z112" t="n">
        <v>0</v>
      </c>
      <c r="AA112" t="n">
        <v>0</v>
      </c>
      <c r="AB112" t="n">
        <v>0</v>
      </c>
      <c r="AC112" t="n">
        <v>0</v>
      </c>
      <c r="AD112" t="n">
        <v>5847276</v>
      </c>
      <c r="AE112" t="n">
        <v>0</v>
      </c>
    </row>
    <row r="113">
      <c r="A113" t="inlineStr">
        <is>
          <t>1 - ADMINISTRACIÓN CENTRAL</t>
        </is>
      </c>
      <c r="B113" t="inlineStr">
        <is>
          <t>00 - SIN SECTOR</t>
        </is>
      </c>
      <c r="C113" t="inlineStr">
        <is>
          <t>00</t>
        </is>
      </c>
      <c r="D113" t="inlineStr">
        <is>
          <t>0000</t>
        </is>
      </c>
      <c r="E113" t="inlineStr">
        <is>
          <t>000000</t>
        </is>
      </c>
      <c r="F113" t="inlineStr">
        <is>
          <t>SIN PRODUCTO</t>
        </is>
      </c>
      <c r="G113" t="inlineStr">
        <is>
          <t>00</t>
        </is>
      </c>
      <c r="H113" t="inlineStr">
        <is>
          <t>00</t>
        </is>
      </c>
      <c r="I113" t="inlineStr">
        <is>
          <t>00</t>
        </is>
      </c>
      <c r="J113" t="inlineStr">
        <is>
          <t>SIN PRODUCTO DANE</t>
        </is>
      </c>
      <c r="K113" t="inlineStr">
        <is>
          <t>00</t>
        </is>
      </c>
      <c r="L113" t="inlineStr">
        <is>
          <t>SIN ATRIBUTO</t>
        </is>
      </c>
      <c r="N113" t="inlineStr">
        <is>
          <t>2.1.3.11.02.001.02.02</t>
        </is>
      </c>
      <c r="O113" t="inlineStr">
        <is>
          <t>Seguridad Social Del Gestor Cultural 10% Ley 666</t>
        </is>
      </c>
      <c r="P113" t="inlineStr">
        <is>
          <t>152.4</t>
        </is>
      </c>
      <c r="Q113" t="inlineStr">
        <is>
          <t>RF SEGURIDAD SOCIAL GESTOR CULTURAL</t>
        </is>
      </c>
      <c r="R113" t="n">
        <v>100000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100000</v>
      </c>
      <c r="Z113" t="n">
        <v>0</v>
      </c>
      <c r="AA113" t="n">
        <v>0</v>
      </c>
      <c r="AB113" t="n">
        <v>0</v>
      </c>
      <c r="AC113" t="n">
        <v>0</v>
      </c>
      <c r="AD113" t="n">
        <v>100000</v>
      </c>
      <c r="AE113" t="n">
        <v>0</v>
      </c>
    </row>
    <row r="114">
      <c r="A114" t="inlineStr">
        <is>
          <t>1 - ADMINISTRACIÓN CENTRAL</t>
        </is>
      </c>
      <c r="B114" t="inlineStr">
        <is>
          <t>00 - SIN SECTOR</t>
        </is>
      </c>
      <c r="C114" t="inlineStr">
        <is>
          <t>00</t>
        </is>
      </c>
      <c r="D114" t="inlineStr">
        <is>
          <t>0000</t>
        </is>
      </c>
      <c r="E114" t="inlineStr">
        <is>
          <t>000000</t>
        </is>
      </c>
      <c r="F114" t="inlineStr">
        <is>
          <t>SIN PRODUCTO</t>
        </is>
      </c>
      <c r="G114" t="inlineStr">
        <is>
          <t>00</t>
        </is>
      </c>
      <c r="H114" t="inlineStr">
        <is>
          <t>00</t>
        </is>
      </c>
      <c r="I114" t="inlineStr">
        <is>
          <t>00</t>
        </is>
      </c>
      <c r="J114" t="inlineStr">
        <is>
          <t>SIN PRODUCTO DANE</t>
        </is>
      </c>
      <c r="K114" t="inlineStr">
        <is>
          <t>00</t>
        </is>
      </c>
      <c r="L114" t="inlineStr">
        <is>
          <t>SIN ATRIBUTO</t>
        </is>
      </c>
      <c r="N114" t="inlineStr">
        <is>
          <t>2.1.3.11.02.001.02.02</t>
        </is>
      </c>
      <c r="O114" t="inlineStr">
        <is>
          <t>Seguridad Social Del Gestor Cultural 10% Ley 666</t>
        </is>
      </c>
      <c r="P114" t="inlineStr">
        <is>
          <t>152.1</t>
        </is>
      </c>
      <c r="Q114" t="inlineStr">
        <is>
          <t>RB ESTAMPILLA PROCULTURA</t>
        </is>
      </c>
      <c r="R114" t="n">
        <v>0</v>
      </c>
      <c r="S114" t="n">
        <v>14005454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14005454</v>
      </c>
      <c r="Z114" t="n">
        <v>0</v>
      </c>
      <c r="AA114" t="n">
        <v>0</v>
      </c>
      <c r="AB114" t="n">
        <v>0</v>
      </c>
      <c r="AC114" t="n">
        <v>0</v>
      </c>
      <c r="AD114" t="n">
        <v>14005454</v>
      </c>
      <c r="AE114" t="n">
        <v>0</v>
      </c>
    </row>
    <row r="115">
      <c r="A115" t="inlineStr">
        <is>
          <t>1 - ADMINISTRACIÓN CENTRAL</t>
        </is>
      </c>
      <c r="B115" t="inlineStr">
        <is>
          <t>00 - SIN SECTOR</t>
        </is>
      </c>
      <c r="C115" t="inlineStr">
        <is>
          <t>00</t>
        </is>
      </c>
      <c r="D115" t="inlineStr">
        <is>
          <t>0000</t>
        </is>
      </c>
      <c r="E115" t="inlineStr">
        <is>
          <t>000000</t>
        </is>
      </c>
      <c r="F115" t="inlineStr">
        <is>
          <t>SIN PRODUCTO</t>
        </is>
      </c>
      <c r="G115" t="inlineStr">
        <is>
          <t>00</t>
        </is>
      </c>
      <c r="H115" t="inlineStr">
        <is>
          <t>00</t>
        </is>
      </c>
      <c r="I115" t="inlineStr">
        <is>
          <t>00</t>
        </is>
      </c>
      <c r="J115" t="inlineStr">
        <is>
          <t>SIN PRODUCTO DANE</t>
        </is>
      </c>
      <c r="K115" t="inlineStr">
        <is>
          <t>00</t>
        </is>
      </c>
      <c r="L115" t="inlineStr">
        <is>
          <t>SIN ATRIBUTO</t>
        </is>
      </c>
      <c r="N115" t="inlineStr">
        <is>
          <t>2.1.3.11.02.001.02.02</t>
        </is>
      </c>
      <c r="O115" t="inlineStr">
        <is>
          <t>Seguridad Social Del Gestor Cultural 10% Ley 666</t>
        </is>
      </c>
      <c r="P115" t="inlineStr">
        <is>
          <t>670.10.1</t>
        </is>
      </c>
      <c r="Q115" t="inlineStr">
        <is>
          <t>REND. FCROS. SEGURIDAD SOCIAL DEL GESTOR</t>
        </is>
      </c>
      <c r="R115" t="n">
        <v>0</v>
      </c>
      <c r="S115" t="n">
        <v>78760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78760</v>
      </c>
      <c r="Z115" t="n">
        <v>0</v>
      </c>
      <c r="AA115" t="n">
        <v>0</v>
      </c>
      <c r="AB115" t="n">
        <v>0</v>
      </c>
      <c r="AC115" t="n">
        <v>0</v>
      </c>
      <c r="AD115" t="n">
        <v>78760</v>
      </c>
      <c r="AE115" t="n">
        <v>0</v>
      </c>
    </row>
    <row r="116">
      <c r="A116" t="inlineStr">
        <is>
          <t>1 - ADMINISTRACIÓN CENTRAL</t>
        </is>
      </c>
      <c r="B116" t="inlineStr">
        <is>
          <t>00 - SIN SECTOR</t>
        </is>
      </c>
      <c r="C116" t="inlineStr">
        <is>
          <t>00</t>
        </is>
      </c>
      <c r="D116" t="inlineStr">
        <is>
          <t>0000</t>
        </is>
      </c>
      <c r="E116" t="inlineStr">
        <is>
          <t>000000</t>
        </is>
      </c>
      <c r="F116" t="inlineStr">
        <is>
          <t>SIN PRODUCTO</t>
        </is>
      </c>
      <c r="G116" t="inlineStr">
        <is>
          <t>00</t>
        </is>
      </c>
      <c r="H116" t="inlineStr">
        <is>
          <t>00</t>
        </is>
      </c>
      <c r="I116" t="inlineStr">
        <is>
          <t>00</t>
        </is>
      </c>
      <c r="J116" t="inlineStr">
        <is>
          <t>SIN PRODUCTO DANE</t>
        </is>
      </c>
      <c r="K116" t="inlineStr">
        <is>
          <t>00</t>
        </is>
      </c>
      <c r="L116" t="inlineStr">
        <is>
          <t>SIN ATRIBUTO</t>
        </is>
      </c>
      <c r="N116" t="inlineStr">
        <is>
          <t>2.1.3.13</t>
        </is>
      </c>
      <c r="O116" t="inlineStr">
        <is>
          <t>Sentencias y conciliaciones</t>
        </is>
      </c>
      <c r="P116" t="inlineStr">
        <is>
          <t>00</t>
        </is>
      </c>
      <c r="Q116" t="inlineStr">
        <is>
          <t>RECURSOS</t>
        </is>
      </c>
      <c r="R116" t="n">
        <v>1000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1000</v>
      </c>
      <c r="Z116" t="n">
        <v>0</v>
      </c>
      <c r="AA116" t="n">
        <v>0</v>
      </c>
      <c r="AB116" t="n">
        <v>0</v>
      </c>
      <c r="AC116" t="n">
        <v>0</v>
      </c>
      <c r="AD116" t="n">
        <v>1000</v>
      </c>
      <c r="AE116" t="n">
        <v>0</v>
      </c>
    </row>
    <row r="117">
      <c r="A117" t="inlineStr">
        <is>
          <t>1 - ADMINISTRACIÓN CENTRAL</t>
        </is>
      </c>
      <c r="B117" t="inlineStr">
        <is>
          <t>00 - SIN SECTOR</t>
        </is>
      </c>
      <c r="C117" t="inlineStr">
        <is>
          <t>00</t>
        </is>
      </c>
      <c r="D117" t="inlineStr">
        <is>
          <t>0000</t>
        </is>
      </c>
      <c r="E117" t="inlineStr">
        <is>
          <t>000000</t>
        </is>
      </c>
      <c r="F117" t="inlineStr">
        <is>
          <t>SIN PRODUCTO</t>
        </is>
      </c>
      <c r="G117" t="inlineStr">
        <is>
          <t>00</t>
        </is>
      </c>
      <c r="H117" t="inlineStr">
        <is>
          <t>00</t>
        </is>
      </c>
      <c r="I117" t="inlineStr">
        <is>
          <t>00</t>
        </is>
      </c>
      <c r="J117" t="inlineStr">
        <is>
          <t>SIN PRODUCTO DANE</t>
        </is>
      </c>
      <c r="K117" t="inlineStr">
        <is>
          <t>00</t>
        </is>
      </c>
      <c r="L117" t="inlineStr">
        <is>
          <t>SIN ATRIBUTO</t>
        </is>
      </c>
      <c r="N117" t="inlineStr">
        <is>
          <t>2.1.3.13.01</t>
        </is>
      </c>
      <c r="O117" t="inlineStr">
        <is>
          <t>Fallos nacionales</t>
        </is>
      </c>
      <c r="P117" t="inlineStr">
        <is>
          <t>00</t>
        </is>
      </c>
      <c r="Q117" t="inlineStr">
        <is>
          <t>RECURSOS</t>
        </is>
      </c>
      <c r="R117" t="n">
        <v>1000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1000</v>
      </c>
      <c r="Z117" t="n">
        <v>0</v>
      </c>
      <c r="AA117" t="n">
        <v>0</v>
      </c>
      <c r="AB117" t="n">
        <v>0</v>
      </c>
      <c r="AC117" t="n">
        <v>0</v>
      </c>
      <c r="AD117" t="n">
        <v>1000</v>
      </c>
      <c r="AE117" t="n">
        <v>0</v>
      </c>
    </row>
    <row r="118">
      <c r="A118" t="inlineStr">
        <is>
          <t>1 - ADMINISTRACIÓN CENTRAL</t>
        </is>
      </c>
      <c r="B118" t="inlineStr">
        <is>
          <t>00 - SIN SECTOR</t>
        </is>
      </c>
      <c r="C118" t="inlineStr">
        <is>
          <t>00</t>
        </is>
      </c>
      <c r="D118" t="inlineStr">
        <is>
          <t>0000</t>
        </is>
      </c>
      <c r="E118" t="inlineStr">
        <is>
          <t>000000</t>
        </is>
      </c>
      <c r="F118" t="inlineStr">
        <is>
          <t>SIN PRODUCTO</t>
        </is>
      </c>
      <c r="G118" t="inlineStr">
        <is>
          <t>00</t>
        </is>
      </c>
      <c r="H118" t="inlineStr">
        <is>
          <t>00</t>
        </is>
      </c>
      <c r="I118" t="inlineStr">
        <is>
          <t>00</t>
        </is>
      </c>
      <c r="J118" t="inlineStr">
        <is>
          <t>SIN PRODUCTO DANE</t>
        </is>
      </c>
      <c r="K118" t="inlineStr">
        <is>
          <t>00</t>
        </is>
      </c>
      <c r="L118" t="inlineStr">
        <is>
          <t>SIN ATRIBUTO</t>
        </is>
      </c>
      <c r="N118" t="inlineStr">
        <is>
          <t>2.1.3.13.01.001</t>
        </is>
      </c>
      <c r="O118" t="inlineStr">
        <is>
          <t>Sentencias</t>
        </is>
      </c>
      <c r="P118" t="inlineStr">
        <is>
          <t>360</t>
        </is>
      </c>
      <c r="Q118" t="inlineStr">
        <is>
          <t>SGP PROPOSITO GENERAL 42 POR CIENTO RECURSOS LIBRE DESTINACION SGP PROPOSITO GENERAL MPIOS DE CATEGORIA 4 5 Y 6 SGP ONCE</t>
        </is>
      </c>
      <c r="R118" t="n">
        <v>1000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1000</v>
      </c>
      <c r="Z118" t="n">
        <v>0</v>
      </c>
      <c r="AA118" t="n">
        <v>0</v>
      </c>
      <c r="AB118" t="n">
        <v>0</v>
      </c>
      <c r="AC118" t="n">
        <v>0</v>
      </c>
      <c r="AD118" t="n">
        <v>1000</v>
      </c>
      <c r="AE118" t="n">
        <v>0</v>
      </c>
    </row>
    <row r="119">
      <c r="A119" t="inlineStr">
        <is>
          <t>1 - ADMINISTRACIÓN CENTRAL</t>
        </is>
      </c>
      <c r="B119" t="inlineStr">
        <is>
          <t>00 - SIN SECTOR</t>
        </is>
      </c>
      <c r="C119" t="inlineStr">
        <is>
          <t>00</t>
        </is>
      </c>
      <c r="D119" t="inlineStr">
        <is>
          <t>0000</t>
        </is>
      </c>
      <c r="E119" t="inlineStr">
        <is>
          <t>000000</t>
        </is>
      </c>
      <c r="F119" t="inlineStr">
        <is>
          <t>SIN PRODUCTO</t>
        </is>
      </c>
      <c r="G119" t="inlineStr">
        <is>
          <t>00</t>
        </is>
      </c>
      <c r="H119" t="inlineStr">
        <is>
          <t>00</t>
        </is>
      </c>
      <c r="I119" t="inlineStr">
        <is>
          <t>00</t>
        </is>
      </c>
      <c r="J119" t="inlineStr">
        <is>
          <t>SIN PRODUCTO DANE</t>
        </is>
      </c>
      <c r="K119" t="inlineStr">
        <is>
          <t>00</t>
        </is>
      </c>
      <c r="L119" t="inlineStr">
        <is>
          <t>SIN ATRIBUTO</t>
        </is>
      </c>
      <c r="N119" t="inlineStr">
        <is>
          <t>2.1.4</t>
        </is>
      </c>
      <c r="O119" t="inlineStr">
        <is>
          <t>Transferencias de capital</t>
        </is>
      </c>
      <c r="P119" t="inlineStr">
        <is>
          <t>00</t>
        </is>
      </c>
      <c r="Q119" t="inlineStr">
        <is>
          <t>RECURSOS</t>
        </is>
      </c>
      <c r="R119" t="n">
        <v>22500000</v>
      </c>
      <c r="S119" t="n">
        <v>0</v>
      </c>
      <c r="T119" t="n">
        <v>0</v>
      </c>
      <c r="U119" t="n">
        <v>329250</v>
      </c>
      <c r="V119" t="n">
        <v>0</v>
      </c>
      <c r="W119" t="n">
        <v>0</v>
      </c>
      <c r="X119" t="n">
        <v>0</v>
      </c>
      <c r="Y119" t="n">
        <v>22829250</v>
      </c>
      <c r="Z119" t="n">
        <v>22829250</v>
      </c>
      <c r="AA119" t="n">
        <v>22829250</v>
      </c>
      <c r="AB119" t="n">
        <v>22829250</v>
      </c>
      <c r="AC119" t="n">
        <v>22829250</v>
      </c>
      <c r="AD119" t="n">
        <v>0</v>
      </c>
      <c r="AE119" t="n">
        <v>100</v>
      </c>
    </row>
    <row r="120">
      <c r="A120" t="inlineStr">
        <is>
          <t>1 - ADMINISTRACIÓN CENTRAL</t>
        </is>
      </c>
      <c r="B120" t="inlineStr">
        <is>
          <t>00 - SIN SECTOR</t>
        </is>
      </c>
      <c r="C120" t="inlineStr">
        <is>
          <t>00</t>
        </is>
      </c>
      <c r="D120" t="inlineStr">
        <is>
          <t>0000</t>
        </is>
      </c>
      <c r="E120" t="inlineStr">
        <is>
          <t>000000</t>
        </is>
      </c>
      <c r="F120" t="inlineStr">
        <is>
          <t>SIN PRODUCTO</t>
        </is>
      </c>
      <c r="G120" t="inlineStr">
        <is>
          <t>00</t>
        </is>
      </c>
      <c r="H120" t="inlineStr">
        <is>
          <t>00</t>
        </is>
      </c>
      <c r="I120" t="inlineStr">
        <is>
          <t>00</t>
        </is>
      </c>
      <c r="J120" t="inlineStr">
        <is>
          <t>SIN PRODUCTO DANE</t>
        </is>
      </c>
      <c r="K120" t="inlineStr">
        <is>
          <t>00</t>
        </is>
      </c>
      <c r="L120" t="inlineStr">
        <is>
          <t>SIN ATRIBUTO</t>
        </is>
      </c>
      <c r="N120" t="inlineStr">
        <is>
          <t>2.1.4.02</t>
        </is>
      </c>
      <c r="O120" t="inlineStr">
        <is>
          <t>Entidades del gobierno general</t>
        </is>
      </c>
      <c r="P120" t="inlineStr">
        <is>
          <t>00</t>
        </is>
      </c>
      <c r="Q120" t="inlineStr">
        <is>
          <t>RECURSOS</t>
        </is>
      </c>
      <c r="R120" t="n">
        <v>22500000</v>
      </c>
      <c r="S120" t="n">
        <v>0</v>
      </c>
      <c r="T120" t="n">
        <v>0</v>
      </c>
      <c r="U120" t="n">
        <v>329250</v>
      </c>
      <c r="V120" t="n">
        <v>0</v>
      </c>
      <c r="W120" t="n">
        <v>0</v>
      </c>
      <c r="X120" t="n">
        <v>0</v>
      </c>
      <c r="Y120" t="n">
        <v>22829250</v>
      </c>
      <c r="Z120" t="n">
        <v>22829250</v>
      </c>
      <c r="AA120" t="n">
        <v>22829250</v>
      </c>
      <c r="AB120" t="n">
        <v>22829250</v>
      </c>
      <c r="AC120" t="n">
        <v>22829250</v>
      </c>
      <c r="AD120" t="n">
        <v>0</v>
      </c>
      <c r="AE120" t="n">
        <v>100</v>
      </c>
    </row>
    <row r="121">
      <c r="A121" t="inlineStr">
        <is>
          <t>1 - ADMINISTRACIÓN CENTRAL</t>
        </is>
      </c>
      <c r="B121" t="inlineStr">
        <is>
          <t>00 - SIN SECTOR</t>
        </is>
      </c>
      <c r="C121" t="inlineStr">
        <is>
          <t>00</t>
        </is>
      </c>
      <c r="D121" t="inlineStr">
        <is>
          <t>0000</t>
        </is>
      </c>
      <c r="E121" t="inlineStr">
        <is>
          <t>000000</t>
        </is>
      </c>
      <c r="F121" t="inlineStr">
        <is>
          <t>SIN PRODUCTO</t>
        </is>
      </c>
      <c r="G121" t="inlineStr">
        <is>
          <t>00</t>
        </is>
      </c>
      <c r="H121" t="inlineStr">
        <is>
          <t>00</t>
        </is>
      </c>
      <c r="I121" t="inlineStr">
        <is>
          <t>00</t>
        </is>
      </c>
      <c r="J121" t="inlineStr">
        <is>
          <t>SIN PRODUCTO DANE</t>
        </is>
      </c>
      <c r="K121" t="inlineStr">
        <is>
          <t>00</t>
        </is>
      </c>
      <c r="L121" t="inlineStr">
        <is>
          <t>SIN ATRIBUTO</t>
        </is>
      </c>
      <c r="N121" t="inlineStr">
        <is>
          <t>2.1.4.02.03</t>
        </is>
      </c>
      <c r="O121" t="inlineStr">
        <is>
          <t>Esquemas asociativos</t>
        </is>
      </c>
      <c r="P121" t="inlineStr">
        <is>
          <t>00</t>
        </is>
      </c>
      <c r="Q121" t="inlineStr">
        <is>
          <t>RECURSOS</t>
        </is>
      </c>
      <c r="R121" t="n">
        <v>22500000</v>
      </c>
      <c r="S121" t="n">
        <v>0</v>
      </c>
      <c r="T121" t="n">
        <v>0</v>
      </c>
      <c r="U121" t="n">
        <v>329250</v>
      </c>
      <c r="V121" t="n">
        <v>0</v>
      </c>
      <c r="W121" t="n">
        <v>0</v>
      </c>
      <c r="X121" t="n">
        <v>0</v>
      </c>
      <c r="Y121" t="n">
        <v>22829250</v>
      </c>
      <c r="Z121" t="n">
        <v>22829250</v>
      </c>
      <c r="AA121" t="n">
        <v>22829250</v>
      </c>
      <c r="AB121" t="n">
        <v>22829250</v>
      </c>
      <c r="AC121" t="n">
        <v>22829250</v>
      </c>
      <c r="AD121" t="n">
        <v>0</v>
      </c>
      <c r="AE121" t="n">
        <v>100</v>
      </c>
    </row>
    <row r="122">
      <c r="A122" t="inlineStr">
        <is>
          <t>1 - ADMINISTRACIÓN CENTRAL</t>
        </is>
      </c>
      <c r="B122" t="inlineStr">
        <is>
          <t>00 - SIN SECTOR</t>
        </is>
      </c>
      <c r="C122" t="inlineStr">
        <is>
          <t>00</t>
        </is>
      </c>
      <c r="D122" t="inlineStr">
        <is>
          <t>0000</t>
        </is>
      </c>
      <c r="E122" t="inlineStr">
        <is>
          <t>000000</t>
        </is>
      </c>
      <c r="F122" t="inlineStr">
        <is>
          <t>SIN PRODUCTO</t>
        </is>
      </c>
      <c r="G122" t="inlineStr">
        <is>
          <t>00</t>
        </is>
      </c>
      <c r="H122" t="inlineStr">
        <is>
          <t>00</t>
        </is>
      </c>
      <c r="I122" t="inlineStr">
        <is>
          <t>00</t>
        </is>
      </c>
      <c r="J122" t="inlineStr">
        <is>
          <t>SIN PRODUCTO DANE</t>
        </is>
      </c>
      <c r="K122" t="inlineStr">
        <is>
          <t>00</t>
        </is>
      </c>
      <c r="L122" t="inlineStr">
        <is>
          <t>SIN ATRIBUTO</t>
        </is>
      </c>
      <c r="N122" t="inlineStr">
        <is>
          <t>2.1.4.02.03.01</t>
        </is>
      </c>
      <c r="O122" t="inlineStr">
        <is>
          <t>Asociación de Municipios Pueblos de Occidente (ASOMUPOCC)</t>
        </is>
      </c>
      <c r="P122" t="inlineStr">
        <is>
          <t>360</t>
        </is>
      </c>
      <c r="Q122" t="inlineStr">
        <is>
          <t>SGP PROPOSITO GENERAL 42 POR CIENTO RECURSOS LIBRE DESTINACION SGP PROPOSITO GENERAL MPIOS DE CATEGORIA 4 5 Y 6 SGP ONCE</t>
        </is>
      </c>
      <c r="R122" t="n">
        <v>15000000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15000000</v>
      </c>
      <c r="Z122" t="n">
        <v>15000000</v>
      </c>
      <c r="AA122" t="n">
        <v>15000000</v>
      </c>
      <c r="AB122" t="n">
        <v>15000000</v>
      </c>
      <c r="AC122" t="n">
        <v>15000000</v>
      </c>
      <c r="AD122" t="n">
        <v>0</v>
      </c>
      <c r="AE122" t="n">
        <v>100</v>
      </c>
    </row>
    <row r="123">
      <c r="A123" t="inlineStr">
        <is>
          <t>1 - ADMINISTRACIÓN CENTRAL</t>
        </is>
      </c>
      <c r="B123" t="inlineStr">
        <is>
          <t>00 - SIN SECTOR</t>
        </is>
      </c>
      <c r="C123" t="inlineStr">
        <is>
          <t>00</t>
        </is>
      </c>
      <c r="D123" t="inlineStr">
        <is>
          <t>0000</t>
        </is>
      </c>
      <c r="E123" t="inlineStr">
        <is>
          <t>000000</t>
        </is>
      </c>
      <c r="F123" t="inlineStr">
        <is>
          <t>SIN PRODUCTO</t>
        </is>
      </c>
      <c r="G123" t="inlineStr">
        <is>
          <t>00</t>
        </is>
      </c>
      <c r="H123" t="inlineStr">
        <is>
          <t>00</t>
        </is>
      </c>
      <c r="I123" t="inlineStr">
        <is>
          <t>00</t>
        </is>
      </c>
      <c r="J123" t="inlineStr">
        <is>
          <t>SIN PRODUCTO DANE</t>
        </is>
      </c>
      <c r="K123" t="inlineStr">
        <is>
          <t>00</t>
        </is>
      </c>
      <c r="L123" t="inlineStr">
        <is>
          <t>SIN ATRIBUTO</t>
        </is>
      </c>
      <c r="N123" t="inlineStr">
        <is>
          <t>2.1.4.02.03.02</t>
        </is>
      </c>
      <c r="O123" t="inlineStr">
        <is>
          <t>Federación Colombiana de Municipios</t>
        </is>
      </c>
      <c r="P123" t="inlineStr">
        <is>
          <t>360</t>
        </is>
      </c>
      <c r="Q123" t="inlineStr">
        <is>
          <t>SGP PROPOSITO GENERAL 42 POR CIENTO RECURSOS LIBRE DESTINACION SGP PROPOSITO GENERAL MPIOS DE CATEGORIA 4 5 Y 6 SGP ONCE</t>
        </is>
      </c>
      <c r="R123" t="n">
        <v>7500000</v>
      </c>
      <c r="S123" t="n">
        <v>0</v>
      </c>
      <c r="T123" t="n">
        <v>0</v>
      </c>
      <c r="U123" t="n">
        <v>329250</v>
      </c>
      <c r="V123" t="n">
        <v>0</v>
      </c>
      <c r="W123" t="n">
        <v>0</v>
      </c>
      <c r="X123" t="n">
        <v>0</v>
      </c>
      <c r="Y123" t="n">
        <v>7829250</v>
      </c>
      <c r="Z123" t="n">
        <v>7829250</v>
      </c>
      <c r="AA123" t="n">
        <v>7829250</v>
      </c>
      <c r="AB123" t="n">
        <v>7829250</v>
      </c>
      <c r="AC123" t="n">
        <v>7829250</v>
      </c>
      <c r="AD123" t="n">
        <v>0</v>
      </c>
      <c r="AE123" t="n">
        <v>100</v>
      </c>
    </row>
    <row r="124">
      <c r="A124" t="inlineStr">
        <is>
          <t>1 - ADMINISTRACIÓN CENTRAL</t>
        </is>
      </c>
      <c r="B124" t="inlineStr">
        <is>
          <t>00 - SIN SECTOR</t>
        </is>
      </c>
      <c r="C124" t="inlineStr">
        <is>
          <t>00</t>
        </is>
      </c>
      <c r="D124" t="inlineStr">
        <is>
          <t>0000</t>
        </is>
      </c>
      <c r="E124" t="inlineStr">
        <is>
          <t>000000</t>
        </is>
      </c>
      <c r="F124" t="inlineStr">
        <is>
          <t>SIN PRODUCTO</t>
        </is>
      </c>
      <c r="G124" t="inlineStr">
        <is>
          <t>00</t>
        </is>
      </c>
      <c r="H124" t="inlineStr">
        <is>
          <t>00</t>
        </is>
      </c>
      <c r="I124" t="inlineStr">
        <is>
          <t>00</t>
        </is>
      </c>
      <c r="J124" t="inlineStr">
        <is>
          <t>SIN PRODUCTO DANE</t>
        </is>
      </c>
      <c r="K124" t="inlineStr">
        <is>
          <t>00</t>
        </is>
      </c>
      <c r="L124" t="inlineStr">
        <is>
          <t>SIN ATRIBUTO</t>
        </is>
      </c>
      <c r="N124" t="inlineStr">
        <is>
          <t>2.1.8</t>
        </is>
      </c>
      <c r="O124" t="inlineStr">
        <is>
          <t>Gastos por tributos, tasas, contribuciones, multas, sanciones e intereses de mora</t>
        </is>
      </c>
      <c r="P124" t="inlineStr">
        <is>
          <t>00</t>
        </is>
      </c>
      <c r="Q124" t="inlineStr">
        <is>
          <t>RECURSOS</t>
        </is>
      </c>
      <c r="R124" t="n">
        <v>0</v>
      </c>
      <c r="S124" t="n">
        <v>0</v>
      </c>
      <c r="T124" t="n">
        <v>0</v>
      </c>
      <c r="U124" t="n">
        <v>5000000</v>
      </c>
      <c r="V124" t="n">
        <v>0</v>
      </c>
      <c r="W124" t="n">
        <v>0</v>
      </c>
      <c r="X124" t="n">
        <v>0</v>
      </c>
      <c r="Y124" t="n">
        <v>5000000</v>
      </c>
      <c r="Z124" t="n">
        <v>1051813.5</v>
      </c>
      <c r="AA124" t="n">
        <v>1051813.5</v>
      </c>
      <c r="AB124" t="n">
        <v>1051813.5</v>
      </c>
      <c r="AC124" t="n">
        <v>1051813.5</v>
      </c>
      <c r="AD124" t="n">
        <v>3948186.5</v>
      </c>
      <c r="AE124" t="n">
        <v>21.04</v>
      </c>
    </row>
    <row r="125">
      <c r="A125" t="inlineStr">
        <is>
          <t>1 - ADMINISTRACIÓN CENTRAL</t>
        </is>
      </c>
      <c r="B125" t="inlineStr">
        <is>
          <t>00 - SIN SECTOR</t>
        </is>
      </c>
      <c r="C125" t="inlineStr">
        <is>
          <t>00</t>
        </is>
      </c>
      <c r="D125" t="inlineStr">
        <is>
          <t>0000</t>
        </is>
      </c>
      <c r="E125" t="inlineStr">
        <is>
          <t>000000</t>
        </is>
      </c>
      <c r="F125" t="inlineStr">
        <is>
          <t>SIN PRODUCTO</t>
        </is>
      </c>
      <c r="G125" t="inlineStr">
        <is>
          <t>00</t>
        </is>
      </c>
      <c r="H125" t="inlineStr">
        <is>
          <t>00</t>
        </is>
      </c>
      <c r="I125" t="inlineStr">
        <is>
          <t>00</t>
        </is>
      </c>
      <c r="J125" t="inlineStr">
        <is>
          <t>SIN PRODUCTO DANE</t>
        </is>
      </c>
      <c r="K125" t="inlineStr">
        <is>
          <t>00</t>
        </is>
      </c>
      <c r="L125" t="inlineStr">
        <is>
          <t>SIN ATRIBUTO</t>
        </is>
      </c>
      <c r="N125" t="inlineStr">
        <is>
          <t>2.1.8.01</t>
        </is>
      </c>
      <c r="O125" t="inlineStr">
        <is>
          <t>IMPUESTOS</t>
        </is>
      </c>
      <c r="P125" t="inlineStr">
        <is>
          <t>00</t>
        </is>
      </c>
      <c r="Q125" t="inlineStr">
        <is>
          <t>RECURSOS</t>
        </is>
      </c>
      <c r="R125" t="n">
        <v>0</v>
      </c>
      <c r="S125" t="n">
        <v>0</v>
      </c>
      <c r="T125" t="n">
        <v>0</v>
      </c>
      <c r="U125" t="n">
        <v>5000000</v>
      </c>
      <c r="V125" t="n">
        <v>0</v>
      </c>
      <c r="W125" t="n">
        <v>0</v>
      </c>
      <c r="X125" t="n">
        <v>0</v>
      </c>
      <c r="Y125" t="n">
        <v>5000000</v>
      </c>
      <c r="Z125" t="n">
        <v>1051813.5</v>
      </c>
      <c r="AA125" t="n">
        <v>1051813.5</v>
      </c>
      <c r="AB125" t="n">
        <v>1051813.5</v>
      </c>
      <c r="AC125" t="n">
        <v>1051813.5</v>
      </c>
      <c r="AD125" t="n">
        <v>3948186.5</v>
      </c>
      <c r="AE125" t="n">
        <v>21.04</v>
      </c>
    </row>
    <row r="126">
      <c r="A126" t="inlineStr">
        <is>
          <t>1 - ADMINISTRACIÓN CENTRAL</t>
        </is>
      </c>
      <c r="B126" t="inlineStr">
        <is>
          <t>00 - SIN SECTOR</t>
        </is>
      </c>
      <c r="C126" t="inlineStr">
        <is>
          <t>00</t>
        </is>
      </c>
      <c r="D126" t="inlineStr">
        <is>
          <t>0000</t>
        </is>
      </c>
      <c r="E126" t="inlineStr">
        <is>
          <t>000000</t>
        </is>
      </c>
      <c r="F126" t="inlineStr">
        <is>
          <t>SIN PRODUCTO</t>
        </is>
      </c>
      <c r="G126" t="inlineStr">
        <is>
          <t>00</t>
        </is>
      </c>
      <c r="H126" t="inlineStr">
        <is>
          <t>00</t>
        </is>
      </c>
      <c r="I126" t="inlineStr">
        <is>
          <t>00</t>
        </is>
      </c>
      <c r="J126" t="inlineStr">
        <is>
          <t>SIN PRODUCTO DANE</t>
        </is>
      </c>
      <c r="K126" t="inlineStr">
        <is>
          <t>00</t>
        </is>
      </c>
      <c r="L126" t="inlineStr">
        <is>
          <t>SIN ATRIBUTO</t>
        </is>
      </c>
      <c r="N126" t="inlineStr">
        <is>
          <t>2.1.8.01.14</t>
        </is>
      </c>
      <c r="O126" t="inlineStr">
        <is>
          <t>GRAVAMEN A LOS MOVIMIENTOS FINANCIEROS</t>
        </is>
      </c>
      <c r="P126" t="inlineStr">
        <is>
          <t>360</t>
        </is>
      </c>
      <c r="Q126" t="inlineStr">
        <is>
          <t>SGP PROPOSITO GENERAL 42 POR CIENTO RECURSOS LIBRE DESTINACION SGP PROPOSITO GENERAL MPIOS DE CATEGORIA 4 5 Y 6 SGP ONCE</t>
        </is>
      </c>
      <c r="R126" t="n">
        <v>0</v>
      </c>
      <c r="S126" t="n">
        <v>0</v>
      </c>
      <c r="T126" t="n">
        <v>0</v>
      </c>
      <c r="U126" t="n">
        <v>5000000</v>
      </c>
      <c r="V126" t="n">
        <v>0</v>
      </c>
      <c r="W126" t="n">
        <v>0</v>
      </c>
      <c r="X126" t="n">
        <v>0</v>
      </c>
      <c r="Y126" t="n">
        <v>5000000</v>
      </c>
      <c r="Z126" t="n">
        <v>1051813.5</v>
      </c>
      <c r="AA126" t="n">
        <v>1051813.5</v>
      </c>
      <c r="AB126" t="n">
        <v>1051813.5</v>
      </c>
      <c r="AC126" t="n">
        <v>1051813.5</v>
      </c>
      <c r="AD126" t="n">
        <v>3948186.5</v>
      </c>
      <c r="AE126" t="n">
        <v>21.04</v>
      </c>
    </row>
    <row r="127">
      <c r="A127" t="inlineStr">
        <is>
          <t>1 - ADMINISTRACIÓN CENTRAL</t>
        </is>
      </c>
      <c r="B127" t="inlineStr">
        <is>
          <t>00 - SIN SECTOR</t>
        </is>
      </c>
      <c r="C127" t="inlineStr">
        <is>
          <t>00</t>
        </is>
      </c>
      <c r="D127" t="inlineStr">
        <is>
          <t>0000</t>
        </is>
      </c>
      <c r="E127" t="inlineStr">
        <is>
          <t>000000</t>
        </is>
      </c>
      <c r="F127" t="inlineStr">
        <is>
          <t>SIN PRODUCTO</t>
        </is>
      </c>
      <c r="G127" t="inlineStr">
        <is>
          <t>00</t>
        </is>
      </c>
      <c r="H127" t="inlineStr">
        <is>
          <t>00</t>
        </is>
      </c>
      <c r="I127" t="inlineStr">
        <is>
          <t>00</t>
        </is>
      </c>
      <c r="J127" t="inlineStr">
        <is>
          <t>SIN PRODUCTO DANE</t>
        </is>
      </c>
      <c r="K127" t="inlineStr">
        <is>
          <t>00</t>
        </is>
      </c>
      <c r="L127" t="inlineStr">
        <is>
          <t>SIN ATRIBUTO</t>
        </is>
      </c>
      <c r="N127" t="inlineStr">
        <is>
          <t>2.2</t>
        </is>
      </c>
      <c r="O127" t="inlineStr">
        <is>
          <t>Servicio de la deuda publica</t>
        </is>
      </c>
      <c r="P127" t="inlineStr">
        <is>
          <t>00</t>
        </is>
      </c>
      <c r="Q127" t="inlineStr">
        <is>
          <t>RECURSOS</t>
        </is>
      </c>
      <c r="R127" t="n">
        <v>884404088</v>
      </c>
      <c r="S127" t="n">
        <v>183367661</v>
      </c>
      <c r="T127" t="n">
        <v>397266966</v>
      </c>
      <c r="U127" t="n">
        <v>0</v>
      </c>
      <c r="V127" t="n">
        <v>0</v>
      </c>
      <c r="W127" t="n">
        <v>0</v>
      </c>
      <c r="X127" t="n">
        <v>0</v>
      </c>
      <c r="Y127" t="n">
        <v>670504783</v>
      </c>
      <c r="Z127" t="n">
        <v>218487292</v>
      </c>
      <c r="AA127" t="n">
        <v>218487292</v>
      </c>
      <c r="AB127" t="n">
        <v>218487292</v>
      </c>
      <c r="AC127" t="n">
        <v>218487292</v>
      </c>
      <c r="AD127" t="n">
        <v>452017491</v>
      </c>
      <c r="AE127" t="n">
        <v>32.59</v>
      </c>
    </row>
    <row r="128">
      <c r="A128" t="inlineStr">
        <is>
          <t>1 - ADMINISTRACIÓN CENTRAL</t>
        </is>
      </c>
      <c r="B128" t="inlineStr">
        <is>
          <t>00 - SIN SECTOR</t>
        </is>
      </c>
      <c r="C128" t="inlineStr">
        <is>
          <t>00</t>
        </is>
      </c>
      <c r="D128" t="inlineStr">
        <is>
          <t>0000</t>
        </is>
      </c>
      <c r="E128" t="inlineStr">
        <is>
          <t>000000</t>
        </is>
      </c>
      <c r="F128" t="inlineStr">
        <is>
          <t>SIN PRODUCTO</t>
        </is>
      </c>
      <c r="G128" t="inlineStr">
        <is>
          <t>00</t>
        </is>
      </c>
      <c r="H128" t="inlineStr">
        <is>
          <t>00</t>
        </is>
      </c>
      <c r="I128" t="inlineStr">
        <is>
          <t>00</t>
        </is>
      </c>
      <c r="J128" t="inlineStr">
        <is>
          <t>SIN PRODUCTO DANE</t>
        </is>
      </c>
      <c r="K128" t="inlineStr">
        <is>
          <t>00</t>
        </is>
      </c>
      <c r="L128" t="inlineStr">
        <is>
          <t>SIN ATRIBUTO</t>
        </is>
      </c>
      <c r="N128" t="inlineStr">
        <is>
          <t>2.2.2</t>
        </is>
      </c>
      <c r="O128" t="inlineStr">
        <is>
          <t>Servicio de la deuda publica interna</t>
        </is>
      </c>
      <c r="P128" t="inlineStr">
        <is>
          <t>00</t>
        </is>
      </c>
      <c r="Q128" t="inlineStr">
        <is>
          <t>RECURSOS</t>
        </is>
      </c>
      <c r="R128" t="n">
        <v>884404088</v>
      </c>
      <c r="S128" t="n">
        <v>183367661</v>
      </c>
      <c r="T128" t="n">
        <v>397266966</v>
      </c>
      <c r="U128" t="n">
        <v>0</v>
      </c>
      <c r="V128" t="n">
        <v>0</v>
      </c>
      <c r="W128" t="n">
        <v>0</v>
      </c>
      <c r="X128" t="n">
        <v>0</v>
      </c>
      <c r="Y128" t="n">
        <v>670504783</v>
      </c>
      <c r="Z128" t="n">
        <v>218487292</v>
      </c>
      <c r="AA128" t="n">
        <v>218487292</v>
      </c>
      <c r="AB128" t="n">
        <v>218487292</v>
      </c>
      <c r="AC128" t="n">
        <v>218487292</v>
      </c>
      <c r="AD128" t="n">
        <v>452017491</v>
      </c>
      <c r="AE128" t="n">
        <v>32.59</v>
      </c>
    </row>
    <row r="129">
      <c r="A129" t="inlineStr">
        <is>
          <t>1 - ADMINISTRACIÓN CENTRAL</t>
        </is>
      </c>
      <c r="B129" t="inlineStr">
        <is>
          <t>00 - SIN SECTOR</t>
        </is>
      </c>
      <c r="C129" t="inlineStr">
        <is>
          <t>00</t>
        </is>
      </c>
      <c r="D129" t="inlineStr">
        <is>
          <t>0000</t>
        </is>
      </c>
      <c r="E129" t="inlineStr">
        <is>
          <t>000000</t>
        </is>
      </c>
      <c r="F129" t="inlineStr">
        <is>
          <t>SIN PRODUCTO</t>
        </is>
      </c>
      <c r="G129" t="inlineStr">
        <is>
          <t>00</t>
        </is>
      </c>
      <c r="H129" t="inlineStr">
        <is>
          <t>00</t>
        </is>
      </c>
      <c r="I129" t="inlineStr">
        <is>
          <t>00</t>
        </is>
      </c>
      <c r="J129" t="inlineStr">
        <is>
          <t>SIN PRODUCTO DANE</t>
        </is>
      </c>
      <c r="K129" t="inlineStr">
        <is>
          <t>00</t>
        </is>
      </c>
      <c r="L129" t="inlineStr">
        <is>
          <t>SIN ATRIBUTO</t>
        </is>
      </c>
      <c r="N129" t="inlineStr">
        <is>
          <t>2.2.2.01</t>
        </is>
      </c>
      <c r="O129" t="inlineStr">
        <is>
          <t>Principal</t>
        </is>
      </c>
      <c r="P129" t="inlineStr">
        <is>
          <t>00</t>
        </is>
      </c>
      <c r="Q129" t="inlineStr">
        <is>
          <t>RECURSOS</t>
        </is>
      </c>
      <c r="R129" t="n">
        <v>350000000</v>
      </c>
      <c r="S129" t="n">
        <v>0</v>
      </c>
      <c r="T129" t="n">
        <v>157812500</v>
      </c>
      <c r="U129" t="n">
        <v>0</v>
      </c>
      <c r="V129" t="n">
        <v>0</v>
      </c>
      <c r="W129" t="n">
        <v>0</v>
      </c>
      <c r="X129" t="n">
        <v>0</v>
      </c>
      <c r="Y129" t="n">
        <v>192187500</v>
      </c>
      <c r="Z129" t="n">
        <v>175000000</v>
      </c>
      <c r="AA129" t="n">
        <v>175000000</v>
      </c>
      <c r="AB129" t="n">
        <v>175000000</v>
      </c>
      <c r="AC129" t="n">
        <v>175000000</v>
      </c>
      <c r="AD129" t="n">
        <v>17187500</v>
      </c>
      <c r="AE129" t="n">
        <v>91.06</v>
      </c>
    </row>
    <row r="130">
      <c r="A130" t="inlineStr">
        <is>
          <t>1 - ADMINISTRACIÓN CENTRAL</t>
        </is>
      </c>
      <c r="B130" t="inlineStr">
        <is>
          <t>00 - SIN SECTOR</t>
        </is>
      </c>
      <c r="C130" t="inlineStr">
        <is>
          <t>00</t>
        </is>
      </c>
      <c r="D130" t="inlineStr">
        <is>
          <t>0000</t>
        </is>
      </c>
      <c r="E130" t="inlineStr">
        <is>
          <t>000000</t>
        </is>
      </c>
      <c r="F130" t="inlineStr">
        <is>
          <t>SIN PRODUCTO</t>
        </is>
      </c>
      <c r="G130" t="inlineStr">
        <is>
          <t>00</t>
        </is>
      </c>
      <c r="H130" t="inlineStr">
        <is>
          <t>00</t>
        </is>
      </c>
      <c r="I130" t="inlineStr">
        <is>
          <t>00</t>
        </is>
      </c>
      <c r="J130" t="inlineStr">
        <is>
          <t>SIN PRODUCTO DANE</t>
        </is>
      </c>
      <c r="K130" t="inlineStr">
        <is>
          <t>00</t>
        </is>
      </c>
      <c r="L130" t="inlineStr">
        <is>
          <t>SIN ATRIBUTO</t>
        </is>
      </c>
      <c r="N130" t="inlineStr">
        <is>
          <t>2.2.2.01.02</t>
        </is>
      </c>
      <c r="O130" t="inlineStr">
        <is>
          <t>Prestamos</t>
        </is>
      </c>
      <c r="P130" t="inlineStr">
        <is>
          <t>00</t>
        </is>
      </c>
      <c r="Q130" t="inlineStr">
        <is>
          <t>RECURSOS</t>
        </is>
      </c>
      <c r="R130" t="n">
        <v>350000000</v>
      </c>
      <c r="S130" t="n">
        <v>0</v>
      </c>
      <c r="T130" t="n">
        <v>157812500</v>
      </c>
      <c r="U130" t="n">
        <v>0</v>
      </c>
      <c r="V130" t="n">
        <v>0</v>
      </c>
      <c r="W130" t="n">
        <v>0</v>
      </c>
      <c r="X130" t="n">
        <v>0</v>
      </c>
      <c r="Y130" t="n">
        <v>192187500</v>
      </c>
      <c r="Z130" t="n">
        <v>175000000</v>
      </c>
      <c r="AA130" t="n">
        <v>175000000</v>
      </c>
      <c r="AB130" t="n">
        <v>175000000</v>
      </c>
      <c r="AC130" t="n">
        <v>175000000</v>
      </c>
      <c r="AD130" t="n">
        <v>17187500</v>
      </c>
      <c r="AE130" t="n">
        <v>91.06</v>
      </c>
    </row>
    <row r="131">
      <c r="A131" t="inlineStr">
        <is>
          <t>1 - ADMINISTRACIÓN CENTRAL</t>
        </is>
      </c>
      <c r="B131" t="inlineStr">
        <is>
          <t>00 - SIN SECTOR</t>
        </is>
      </c>
      <c r="C131" t="inlineStr">
        <is>
          <t>00</t>
        </is>
      </c>
      <c r="D131" t="inlineStr">
        <is>
          <t>0000</t>
        </is>
      </c>
      <c r="E131" t="inlineStr">
        <is>
          <t>000000</t>
        </is>
      </c>
      <c r="F131" t="inlineStr">
        <is>
          <t>SIN PRODUCTO</t>
        </is>
      </c>
      <c r="G131" t="inlineStr">
        <is>
          <t>00</t>
        </is>
      </c>
      <c r="H131" t="inlineStr">
        <is>
          <t>00</t>
        </is>
      </c>
      <c r="I131" t="inlineStr">
        <is>
          <t>00</t>
        </is>
      </c>
      <c r="J131" t="inlineStr">
        <is>
          <t>SIN PRODUCTO DANE</t>
        </is>
      </c>
      <c r="K131" t="inlineStr">
        <is>
          <t>00</t>
        </is>
      </c>
      <c r="L131" t="inlineStr">
        <is>
          <t>SIN ATRIBUTO</t>
        </is>
      </c>
      <c r="N131" t="inlineStr">
        <is>
          <t>2.2.2.01.02.002</t>
        </is>
      </c>
      <c r="O131" t="inlineStr">
        <is>
          <t>Entidades financieras</t>
        </is>
      </c>
      <c r="P131" t="inlineStr">
        <is>
          <t>00</t>
        </is>
      </c>
      <c r="Q131" t="inlineStr">
        <is>
          <t>RECURSOS</t>
        </is>
      </c>
      <c r="R131" t="n">
        <v>350000000</v>
      </c>
      <c r="S131" t="n">
        <v>0</v>
      </c>
      <c r="T131" t="n">
        <v>157812500</v>
      </c>
      <c r="U131" t="n">
        <v>0</v>
      </c>
      <c r="V131" t="n">
        <v>0</v>
      </c>
      <c r="W131" t="n">
        <v>0</v>
      </c>
      <c r="X131" t="n">
        <v>0</v>
      </c>
      <c r="Y131" t="n">
        <v>192187500</v>
      </c>
      <c r="Z131" t="n">
        <v>175000000</v>
      </c>
      <c r="AA131" t="n">
        <v>175000000</v>
      </c>
      <c r="AB131" t="n">
        <v>175000000</v>
      </c>
      <c r="AC131" t="n">
        <v>175000000</v>
      </c>
      <c r="AD131" t="n">
        <v>17187500</v>
      </c>
      <c r="AE131" t="n">
        <v>91.06</v>
      </c>
    </row>
    <row r="132">
      <c r="A132" t="inlineStr">
        <is>
          <t>1 - ADMINISTRACIÓN CENTRAL</t>
        </is>
      </c>
      <c r="B132" t="inlineStr">
        <is>
          <t>00 - SIN SECTOR</t>
        </is>
      </c>
      <c r="C132" t="inlineStr">
        <is>
          <t>00</t>
        </is>
      </c>
      <c r="D132" t="inlineStr">
        <is>
          <t>0000</t>
        </is>
      </c>
      <c r="E132" t="inlineStr">
        <is>
          <t>000000</t>
        </is>
      </c>
      <c r="F132" t="inlineStr">
        <is>
          <t>SIN PRODUCTO</t>
        </is>
      </c>
      <c r="G132" t="inlineStr">
        <is>
          <t>00</t>
        </is>
      </c>
      <c r="H132" t="inlineStr">
        <is>
          <t>00</t>
        </is>
      </c>
      <c r="I132" t="inlineStr">
        <is>
          <t>00</t>
        </is>
      </c>
      <c r="J132" t="inlineStr">
        <is>
          <t>SIN PRODUCTO DANE</t>
        </is>
      </c>
      <c r="K132" t="inlineStr">
        <is>
          <t>00</t>
        </is>
      </c>
      <c r="L132" t="inlineStr">
        <is>
          <t>SIN ATRIBUTO</t>
        </is>
      </c>
      <c r="N132" t="inlineStr">
        <is>
          <t>2.2.2.01.02.002.02</t>
        </is>
      </c>
      <c r="O132" t="inlineStr">
        <is>
          <t>Banca comercial</t>
        </is>
      </c>
      <c r="P132" t="inlineStr">
        <is>
          <t>00</t>
        </is>
      </c>
      <c r="Q132" t="inlineStr">
        <is>
          <t>RECURSOS</t>
        </is>
      </c>
      <c r="R132" t="n">
        <v>350000000</v>
      </c>
      <c r="S132" t="n">
        <v>0</v>
      </c>
      <c r="T132" t="n">
        <v>157812500</v>
      </c>
      <c r="U132" t="n">
        <v>0</v>
      </c>
      <c r="V132" t="n">
        <v>0</v>
      </c>
      <c r="W132" t="n">
        <v>0</v>
      </c>
      <c r="X132" t="n">
        <v>0</v>
      </c>
      <c r="Y132" t="n">
        <v>192187500</v>
      </c>
      <c r="Z132" t="n">
        <v>175000000</v>
      </c>
      <c r="AA132" t="n">
        <v>175000000</v>
      </c>
      <c r="AB132" t="n">
        <v>175000000</v>
      </c>
      <c r="AC132" t="n">
        <v>175000000</v>
      </c>
      <c r="AD132" t="n">
        <v>17187500</v>
      </c>
      <c r="AE132" t="n">
        <v>91.06</v>
      </c>
    </row>
    <row r="133">
      <c r="A133" t="inlineStr">
        <is>
          <t>1 - ADMINISTRACIÓN CENTRAL</t>
        </is>
      </c>
      <c r="B133" t="inlineStr">
        <is>
          <t>00 - SIN SECTOR</t>
        </is>
      </c>
      <c r="C133" t="inlineStr">
        <is>
          <t>00</t>
        </is>
      </c>
      <c r="D133" t="inlineStr">
        <is>
          <t>0000</t>
        </is>
      </c>
      <c r="E133" t="inlineStr">
        <is>
          <t>000000</t>
        </is>
      </c>
      <c r="F133" t="inlineStr">
        <is>
          <t>SIN PRODUCTO</t>
        </is>
      </c>
      <c r="G133" t="inlineStr">
        <is>
          <t>00</t>
        </is>
      </c>
      <c r="H133" t="inlineStr">
        <is>
          <t>00</t>
        </is>
      </c>
      <c r="I133" t="inlineStr">
        <is>
          <t>00</t>
        </is>
      </c>
      <c r="J133" t="inlineStr">
        <is>
          <t>SIN PRODUCTO DANE</t>
        </is>
      </c>
      <c r="K133" t="inlineStr">
        <is>
          <t>00</t>
        </is>
      </c>
      <c r="L133" t="inlineStr">
        <is>
          <t>SIN ATRIBUTO</t>
        </is>
      </c>
      <c r="N133" t="inlineStr">
        <is>
          <t>2.2.2.01.02.002.02.03</t>
        </is>
      </c>
      <c r="O133" t="inlineStr">
        <is>
          <t>Banca comercial</t>
        </is>
      </c>
      <c r="P133" t="inlineStr">
        <is>
          <t>00</t>
        </is>
      </c>
      <c r="Q133" t="inlineStr">
        <is>
          <t>RECURSOS</t>
        </is>
      </c>
      <c r="R133" t="n">
        <v>350000000</v>
      </c>
      <c r="S133" t="n">
        <v>0</v>
      </c>
      <c r="T133" t="n">
        <v>157812500</v>
      </c>
      <c r="U133" t="n">
        <v>0</v>
      </c>
      <c r="V133" t="n">
        <v>0</v>
      </c>
      <c r="W133" t="n">
        <v>0</v>
      </c>
      <c r="X133" t="n">
        <v>0</v>
      </c>
      <c r="Y133" t="n">
        <v>192187500</v>
      </c>
      <c r="Z133" t="n">
        <v>175000000</v>
      </c>
      <c r="AA133" t="n">
        <v>175000000</v>
      </c>
      <c r="AB133" t="n">
        <v>175000000</v>
      </c>
      <c r="AC133" t="n">
        <v>175000000</v>
      </c>
      <c r="AD133" t="n">
        <v>17187500</v>
      </c>
      <c r="AE133" t="n">
        <v>91.06</v>
      </c>
    </row>
    <row r="134">
      <c r="A134" t="inlineStr">
        <is>
          <t>1 - ADMINISTRACIÓN CENTRAL</t>
        </is>
      </c>
      <c r="B134" t="inlineStr">
        <is>
          <t>00 - SIN SECTOR</t>
        </is>
      </c>
      <c r="C134" t="inlineStr">
        <is>
          <t>00</t>
        </is>
      </c>
      <c r="D134" t="inlineStr">
        <is>
          <t>0000</t>
        </is>
      </c>
      <c r="E134" t="inlineStr">
        <is>
          <t>000000</t>
        </is>
      </c>
      <c r="F134" t="inlineStr">
        <is>
          <t>SIN PRODUCTO</t>
        </is>
      </c>
      <c r="G134" t="inlineStr">
        <is>
          <t>00</t>
        </is>
      </c>
      <c r="H134" t="inlineStr">
        <is>
          <t>00</t>
        </is>
      </c>
      <c r="I134" t="inlineStr">
        <is>
          <t>00</t>
        </is>
      </c>
      <c r="J134" t="inlineStr">
        <is>
          <t>SIN PRODUCTO DANE</t>
        </is>
      </c>
      <c r="K134" t="inlineStr">
        <is>
          <t>00</t>
        </is>
      </c>
      <c r="L134" t="inlineStr">
        <is>
          <t>SIN ATRIBUTO</t>
        </is>
      </c>
      <c r="N134" t="inlineStr">
        <is>
          <t>2.2.2.01.02.002.02.03.01</t>
        </is>
      </c>
      <c r="O134" t="inlineStr">
        <is>
          <t>Prestamos - SGP Libre inversión - Banco Agrario</t>
        </is>
      </c>
      <c r="P134" t="inlineStr">
        <is>
          <t>420</t>
        </is>
      </c>
      <c r="Q134" t="inlineStr">
        <is>
          <t>SGP PROPOSITO GENERAL FORZOSA INVERSION LIBRE INVERSIÓN SGP ONCE DOCEAVAS VIGENCIA ACTUAL MAS ULTIMA DOCEAVA VIGENCIA AN</t>
        </is>
      </c>
      <c r="R134" t="n">
        <v>350000000</v>
      </c>
      <c r="S134" t="n">
        <v>0</v>
      </c>
      <c r="T134" t="n">
        <v>157812500</v>
      </c>
      <c r="U134" t="n">
        <v>0</v>
      </c>
      <c r="V134" t="n">
        <v>0</v>
      </c>
      <c r="W134" t="n">
        <v>0</v>
      </c>
      <c r="X134" t="n">
        <v>0</v>
      </c>
      <c r="Y134" t="n">
        <v>192187500</v>
      </c>
      <c r="Z134" t="n">
        <v>175000000</v>
      </c>
      <c r="AA134" t="n">
        <v>175000000</v>
      </c>
      <c r="AB134" t="n">
        <v>175000000</v>
      </c>
      <c r="AC134" t="n">
        <v>175000000</v>
      </c>
      <c r="AD134" t="n">
        <v>17187500</v>
      </c>
      <c r="AE134" t="n">
        <v>91.06</v>
      </c>
    </row>
    <row r="135">
      <c r="A135" t="inlineStr">
        <is>
          <t>1 - ADMINISTRACIÓN CENTRAL</t>
        </is>
      </c>
      <c r="B135" t="inlineStr">
        <is>
          <t>00 - SIN SECTOR</t>
        </is>
      </c>
      <c r="C135" t="inlineStr">
        <is>
          <t>00</t>
        </is>
      </c>
      <c r="D135" t="inlineStr">
        <is>
          <t>0000</t>
        </is>
      </c>
      <c r="E135" t="inlineStr">
        <is>
          <t>000000</t>
        </is>
      </c>
      <c r="F135" t="inlineStr">
        <is>
          <t>SIN PRODUCTO</t>
        </is>
      </c>
      <c r="G135" t="inlineStr">
        <is>
          <t>00</t>
        </is>
      </c>
      <c r="H135" t="inlineStr">
        <is>
          <t>00</t>
        </is>
      </c>
      <c r="I135" t="inlineStr">
        <is>
          <t>00</t>
        </is>
      </c>
      <c r="J135" t="inlineStr">
        <is>
          <t>SIN PRODUCTO DANE</t>
        </is>
      </c>
      <c r="K135" t="inlineStr">
        <is>
          <t>00</t>
        </is>
      </c>
      <c r="L135" t="inlineStr">
        <is>
          <t>SIN ATRIBUTO</t>
        </is>
      </c>
      <c r="N135" t="inlineStr">
        <is>
          <t>2.2.2.02</t>
        </is>
      </c>
      <c r="O135" t="inlineStr">
        <is>
          <t>Intereses</t>
        </is>
      </c>
      <c r="P135" t="inlineStr">
        <is>
          <t>00</t>
        </is>
      </c>
      <c r="Q135" t="inlineStr">
        <is>
          <t>RECURSOS</t>
        </is>
      </c>
      <c r="R135" t="n">
        <v>488000000</v>
      </c>
      <c r="S135" t="n">
        <v>0</v>
      </c>
      <c r="T135" t="n">
        <v>239454466</v>
      </c>
      <c r="U135" t="n">
        <v>0</v>
      </c>
      <c r="V135" t="n">
        <v>0</v>
      </c>
      <c r="W135" t="n">
        <v>0</v>
      </c>
      <c r="X135" t="n">
        <v>0</v>
      </c>
      <c r="Y135" t="n">
        <v>248545534</v>
      </c>
      <c r="Z135" t="n">
        <v>25978242</v>
      </c>
      <c r="AA135" t="n">
        <v>25978242</v>
      </c>
      <c r="AB135" t="n">
        <v>25978242</v>
      </c>
      <c r="AC135" t="n">
        <v>25978242</v>
      </c>
      <c r="AD135" t="n">
        <v>222567292</v>
      </c>
      <c r="AE135" t="n">
        <v>10.45</v>
      </c>
    </row>
    <row r="136">
      <c r="A136" t="inlineStr">
        <is>
          <t>1 - ADMINISTRACIÓN CENTRAL</t>
        </is>
      </c>
      <c r="B136" t="inlineStr">
        <is>
          <t>00 - SIN SECTOR</t>
        </is>
      </c>
      <c r="C136" t="inlineStr">
        <is>
          <t>00</t>
        </is>
      </c>
      <c r="D136" t="inlineStr">
        <is>
          <t>0000</t>
        </is>
      </c>
      <c r="E136" t="inlineStr">
        <is>
          <t>000000</t>
        </is>
      </c>
      <c r="F136" t="inlineStr">
        <is>
          <t>SIN PRODUCTO</t>
        </is>
      </c>
      <c r="G136" t="inlineStr">
        <is>
          <t>00</t>
        </is>
      </c>
      <c r="H136" t="inlineStr">
        <is>
          <t>00</t>
        </is>
      </c>
      <c r="I136" t="inlineStr">
        <is>
          <t>00</t>
        </is>
      </c>
      <c r="J136" t="inlineStr">
        <is>
          <t>SIN PRODUCTO DANE</t>
        </is>
      </c>
      <c r="K136" t="inlineStr">
        <is>
          <t>00</t>
        </is>
      </c>
      <c r="L136" t="inlineStr">
        <is>
          <t>SIN ATRIBUTO</t>
        </is>
      </c>
      <c r="N136" t="inlineStr">
        <is>
          <t>2.2.2.02.02</t>
        </is>
      </c>
      <c r="O136" t="inlineStr">
        <is>
          <t>Prestamos</t>
        </is>
      </c>
      <c r="P136" t="inlineStr">
        <is>
          <t>00</t>
        </is>
      </c>
      <c r="Q136" t="inlineStr">
        <is>
          <t>RECURSOS</t>
        </is>
      </c>
      <c r="R136" t="n">
        <v>488000000</v>
      </c>
      <c r="S136" t="n">
        <v>0</v>
      </c>
      <c r="T136" t="n">
        <v>239454466</v>
      </c>
      <c r="U136" t="n">
        <v>0</v>
      </c>
      <c r="V136" t="n">
        <v>0</v>
      </c>
      <c r="W136" t="n">
        <v>0</v>
      </c>
      <c r="X136" t="n">
        <v>0</v>
      </c>
      <c r="Y136" t="n">
        <v>248545534</v>
      </c>
      <c r="Z136" t="n">
        <v>25978242</v>
      </c>
      <c r="AA136" t="n">
        <v>25978242</v>
      </c>
      <c r="AB136" t="n">
        <v>25978242</v>
      </c>
      <c r="AC136" t="n">
        <v>25978242</v>
      </c>
      <c r="AD136" t="n">
        <v>222567292</v>
      </c>
      <c r="AE136" t="n">
        <v>10.45</v>
      </c>
    </row>
    <row r="137">
      <c r="A137" t="inlineStr">
        <is>
          <t>1 - ADMINISTRACIÓN CENTRAL</t>
        </is>
      </c>
      <c r="B137" t="inlineStr">
        <is>
          <t>00 - SIN SECTOR</t>
        </is>
      </c>
      <c r="C137" t="inlineStr">
        <is>
          <t>00</t>
        </is>
      </c>
      <c r="D137" t="inlineStr">
        <is>
          <t>0000</t>
        </is>
      </c>
      <c r="E137" t="inlineStr">
        <is>
          <t>000000</t>
        </is>
      </c>
      <c r="F137" t="inlineStr">
        <is>
          <t>SIN PRODUCTO</t>
        </is>
      </c>
      <c r="G137" t="inlineStr">
        <is>
          <t>00</t>
        </is>
      </c>
      <c r="H137" t="inlineStr">
        <is>
          <t>00</t>
        </is>
      </c>
      <c r="I137" t="inlineStr">
        <is>
          <t>00</t>
        </is>
      </c>
      <c r="J137" t="inlineStr">
        <is>
          <t>SIN PRODUCTO DANE</t>
        </is>
      </c>
      <c r="K137" t="inlineStr">
        <is>
          <t>00</t>
        </is>
      </c>
      <c r="L137" t="inlineStr">
        <is>
          <t>SIN ATRIBUTO</t>
        </is>
      </c>
      <c r="N137" t="inlineStr">
        <is>
          <t>2.2.2.02.02.002</t>
        </is>
      </c>
      <c r="O137" t="inlineStr">
        <is>
          <t>Entidades financieras</t>
        </is>
      </c>
      <c r="P137" t="inlineStr">
        <is>
          <t>00</t>
        </is>
      </c>
      <c r="Q137" t="inlineStr">
        <is>
          <t>RECURSOS</t>
        </is>
      </c>
      <c r="R137" t="n">
        <v>488000000</v>
      </c>
      <c r="S137" t="n">
        <v>0</v>
      </c>
      <c r="T137" t="n">
        <v>239454466</v>
      </c>
      <c r="U137" t="n">
        <v>0</v>
      </c>
      <c r="V137" t="n">
        <v>0</v>
      </c>
      <c r="W137" t="n">
        <v>0</v>
      </c>
      <c r="X137" t="n">
        <v>0</v>
      </c>
      <c r="Y137" t="n">
        <v>248545534</v>
      </c>
      <c r="Z137" t="n">
        <v>25978242</v>
      </c>
      <c r="AA137" t="n">
        <v>25978242</v>
      </c>
      <c r="AB137" t="n">
        <v>25978242</v>
      </c>
      <c r="AC137" t="n">
        <v>25978242</v>
      </c>
      <c r="AD137" t="n">
        <v>222567292</v>
      </c>
      <c r="AE137" t="n">
        <v>10.45</v>
      </c>
    </row>
    <row r="138">
      <c r="A138" t="inlineStr">
        <is>
          <t>1 - ADMINISTRACIÓN CENTRAL</t>
        </is>
      </c>
      <c r="B138" t="inlineStr">
        <is>
          <t>00 - SIN SECTOR</t>
        </is>
      </c>
      <c r="C138" t="inlineStr">
        <is>
          <t>00</t>
        </is>
      </c>
      <c r="D138" t="inlineStr">
        <is>
          <t>0000</t>
        </is>
      </c>
      <c r="E138" t="inlineStr">
        <is>
          <t>000000</t>
        </is>
      </c>
      <c r="F138" t="inlineStr">
        <is>
          <t>SIN PRODUCTO</t>
        </is>
      </c>
      <c r="G138" t="inlineStr">
        <is>
          <t>00</t>
        </is>
      </c>
      <c r="H138" t="inlineStr">
        <is>
          <t>00</t>
        </is>
      </c>
      <c r="I138" t="inlineStr">
        <is>
          <t>00</t>
        </is>
      </c>
      <c r="J138" t="inlineStr">
        <is>
          <t>SIN PRODUCTO DANE</t>
        </is>
      </c>
      <c r="K138" t="inlineStr">
        <is>
          <t>00</t>
        </is>
      </c>
      <c r="L138" t="inlineStr">
        <is>
          <t>SIN ATRIBUTO</t>
        </is>
      </c>
      <c r="N138" t="inlineStr">
        <is>
          <t>2.2.2.02.02.002.02</t>
        </is>
      </c>
      <c r="O138" t="inlineStr">
        <is>
          <t>Banca comercial</t>
        </is>
      </c>
      <c r="P138" t="inlineStr">
        <is>
          <t>00</t>
        </is>
      </c>
      <c r="Q138" t="inlineStr">
        <is>
          <t>RECURSOS</t>
        </is>
      </c>
      <c r="R138" t="n">
        <v>488000000</v>
      </c>
      <c r="S138" t="n">
        <v>0</v>
      </c>
      <c r="T138" t="n">
        <v>239454466</v>
      </c>
      <c r="U138" t="n">
        <v>0</v>
      </c>
      <c r="V138" t="n">
        <v>0</v>
      </c>
      <c r="W138" t="n">
        <v>0</v>
      </c>
      <c r="X138" t="n">
        <v>0</v>
      </c>
      <c r="Y138" t="n">
        <v>248545534</v>
      </c>
      <c r="Z138" t="n">
        <v>25978242</v>
      </c>
      <c r="AA138" t="n">
        <v>25978242</v>
      </c>
      <c r="AB138" t="n">
        <v>25978242</v>
      </c>
      <c r="AC138" t="n">
        <v>25978242</v>
      </c>
      <c r="AD138" t="n">
        <v>222567292</v>
      </c>
      <c r="AE138" t="n">
        <v>10.45</v>
      </c>
    </row>
    <row r="139">
      <c r="A139" t="inlineStr">
        <is>
          <t>1 - ADMINISTRACIÓN CENTRAL</t>
        </is>
      </c>
      <c r="B139" t="inlineStr">
        <is>
          <t>00 - SIN SECTOR</t>
        </is>
      </c>
      <c r="C139" t="inlineStr">
        <is>
          <t>00</t>
        </is>
      </c>
      <c r="D139" t="inlineStr">
        <is>
          <t>0000</t>
        </is>
      </c>
      <c r="E139" t="inlineStr">
        <is>
          <t>000000</t>
        </is>
      </c>
      <c r="F139" t="inlineStr">
        <is>
          <t>SIN PRODUCTO</t>
        </is>
      </c>
      <c r="G139" t="inlineStr">
        <is>
          <t>00</t>
        </is>
      </c>
      <c r="H139" t="inlineStr">
        <is>
          <t>00</t>
        </is>
      </c>
      <c r="I139" t="inlineStr">
        <is>
          <t>00</t>
        </is>
      </c>
      <c r="J139" t="inlineStr">
        <is>
          <t>SIN PRODUCTO DANE</t>
        </is>
      </c>
      <c r="K139" t="inlineStr">
        <is>
          <t>00</t>
        </is>
      </c>
      <c r="L139" t="inlineStr">
        <is>
          <t>SIN ATRIBUTO</t>
        </is>
      </c>
      <c r="N139" t="inlineStr">
        <is>
          <t>2.2.2.02.02.002.02.03</t>
        </is>
      </c>
      <c r="O139" t="inlineStr">
        <is>
          <t>Banca comercial</t>
        </is>
      </c>
      <c r="P139" t="inlineStr">
        <is>
          <t>00</t>
        </is>
      </c>
      <c r="Q139" t="inlineStr">
        <is>
          <t>RECURSOS</t>
        </is>
      </c>
      <c r="R139" t="n">
        <v>488000000</v>
      </c>
      <c r="S139" t="n">
        <v>0</v>
      </c>
      <c r="T139" t="n">
        <v>239454466</v>
      </c>
      <c r="U139" t="n">
        <v>0</v>
      </c>
      <c r="V139" t="n">
        <v>0</v>
      </c>
      <c r="W139" t="n">
        <v>0</v>
      </c>
      <c r="X139" t="n">
        <v>0</v>
      </c>
      <c r="Y139" t="n">
        <v>248545534</v>
      </c>
      <c r="Z139" t="n">
        <v>25978242</v>
      </c>
      <c r="AA139" t="n">
        <v>25978242</v>
      </c>
      <c r="AB139" t="n">
        <v>25978242</v>
      </c>
      <c r="AC139" t="n">
        <v>25978242</v>
      </c>
      <c r="AD139" t="n">
        <v>222567292</v>
      </c>
      <c r="AE139" t="n">
        <v>10.45</v>
      </c>
    </row>
    <row r="140">
      <c r="A140" t="inlineStr">
        <is>
          <t>1 - ADMINISTRACIÓN CENTRAL</t>
        </is>
      </c>
      <c r="B140" t="inlineStr">
        <is>
          <t>00 - SIN SECTOR</t>
        </is>
      </c>
      <c r="C140" t="inlineStr">
        <is>
          <t>00</t>
        </is>
      </c>
      <c r="D140" t="inlineStr">
        <is>
          <t>0000</t>
        </is>
      </c>
      <c r="E140" t="inlineStr">
        <is>
          <t>000000</t>
        </is>
      </c>
      <c r="F140" t="inlineStr">
        <is>
          <t>SIN PRODUCTO</t>
        </is>
      </c>
      <c r="G140" t="inlineStr">
        <is>
          <t>00</t>
        </is>
      </c>
      <c r="H140" t="inlineStr">
        <is>
          <t>00</t>
        </is>
      </c>
      <c r="I140" t="inlineStr">
        <is>
          <t>00</t>
        </is>
      </c>
      <c r="J140" t="inlineStr">
        <is>
          <t>SIN PRODUCTO DANE</t>
        </is>
      </c>
      <c r="K140" t="inlineStr">
        <is>
          <t>00</t>
        </is>
      </c>
      <c r="L140" t="inlineStr">
        <is>
          <t>SIN ATRIBUTO</t>
        </is>
      </c>
      <c r="N140" t="inlineStr">
        <is>
          <t>2.2.2.02.02.002.02.03.01</t>
        </is>
      </c>
      <c r="O140" t="inlineStr">
        <is>
          <t>Intereses Prestamos - SGP Libre inversión - Banco Agrario</t>
        </is>
      </c>
      <c r="P140" t="inlineStr">
        <is>
          <t>420</t>
        </is>
      </c>
      <c r="Q140" t="inlineStr">
        <is>
          <t>SGP PROPOSITO GENERAL FORZOSA INVERSION LIBRE INVERSIÓN SGP ONCE DOCEAVAS VIGENCIA ACTUAL MAS ULTIMA DOCEAVA VIGENCIA AN</t>
        </is>
      </c>
      <c r="R140" t="n">
        <v>150000000</v>
      </c>
      <c r="S140" t="n">
        <v>0</v>
      </c>
      <c r="T140" t="n">
        <v>70454466</v>
      </c>
      <c r="U140" t="n">
        <v>0</v>
      </c>
      <c r="V140" t="n">
        <v>0</v>
      </c>
      <c r="W140" t="n">
        <v>0</v>
      </c>
      <c r="X140" t="n">
        <v>0</v>
      </c>
      <c r="Y140" t="n">
        <v>79545534</v>
      </c>
      <c r="Z140" t="n">
        <v>18065827</v>
      </c>
      <c r="AA140" t="n">
        <v>18065827</v>
      </c>
      <c r="AB140" t="n">
        <v>18065827</v>
      </c>
      <c r="AC140" t="n">
        <v>18065827</v>
      </c>
      <c r="AD140" t="n">
        <v>61479707</v>
      </c>
      <c r="AE140" t="n">
        <v>22.71</v>
      </c>
    </row>
    <row r="141">
      <c r="A141" t="inlineStr">
        <is>
          <t>1 - ADMINISTRACIÓN CENTRAL</t>
        </is>
      </c>
      <c r="B141" t="inlineStr">
        <is>
          <t>00 - SIN SECTOR</t>
        </is>
      </c>
      <c r="C141" t="inlineStr">
        <is>
          <t>00</t>
        </is>
      </c>
      <c r="D141" t="inlineStr">
        <is>
          <t>0000</t>
        </is>
      </c>
      <c r="E141" t="inlineStr">
        <is>
          <t>000000</t>
        </is>
      </c>
      <c r="F141" t="inlineStr">
        <is>
          <t>SIN PRODUCTO</t>
        </is>
      </c>
      <c r="G141" t="inlineStr">
        <is>
          <t>00</t>
        </is>
      </c>
      <c r="H141" t="inlineStr">
        <is>
          <t>00</t>
        </is>
      </c>
      <c r="I141" t="inlineStr">
        <is>
          <t>00</t>
        </is>
      </c>
      <c r="J141" t="inlineStr">
        <is>
          <t>SIN PRODUCTO DANE</t>
        </is>
      </c>
      <c r="K141" t="inlineStr">
        <is>
          <t>00</t>
        </is>
      </c>
      <c r="L141" t="inlineStr">
        <is>
          <t>SIN ATRIBUTO</t>
        </is>
      </c>
      <c r="N141" t="inlineStr">
        <is>
          <t>2.2.2.02.02.002.02.03.02</t>
        </is>
      </c>
      <c r="O141" t="inlineStr">
        <is>
          <t>Intereses Prestamos - SGP Libre inversión</t>
        </is>
      </c>
      <c r="P141" t="inlineStr">
        <is>
          <t>420</t>
        </is>
      </c>
      <c r="Q141" t="inlineStr">
        <is>
          <t>SGP PROPOSITO GENERAL FORZOSA INVERSION LIBRE INVERSIÓN SGP ONCE DOCEAVAS VIGENCIA ACTUAL MAS ULTIMA DOCEAVA VIGENCIA AN</t>
        </is>
      </c>
      <c r="R141" t="n">
        <v>338000000</v>
      </c>
      <c r="S141" t="n">
        <v>0</v>
      </c>
      <c r="T141" t="n">
        <v>169000000</v>
      </c>
      <c r="U141" t="n">
        <v>0</v>
      </c>
      <c r="V141" t="n">
        <v>0</v>
      </c>
      <c r="W141" t="n">
        <v>0</v>
      </c>
      <c r="X141" t="n">
        <v>0</v>
      </c>
      <c r="Y141" t="n">
        <v>169000000</v>
      </c>
      <c r="Z141" t="n">
        <v>7912415</v>
      </c>
      <c r="AA141" t="n">
        <v>7912415</v>
      </c>
      <c r="AB141" t="n">
        <v>7912415</v>
      </c>
      <c r="AC141" t="n">
        <v>7912415</v>
      </c>
      <c r="AD141" t="n">
        <v>161087585</v>
      </c>
      <c r="AE141" t="n">
        <v>4.68</v>
      </c>
    </row>
    <row r="142">
      <c r="A142" t="inlineStr">
        <is>
          <t>1 - ADMINISTRACIÓN CENTRAL</t>
        </is>
      </c>
      <c r="B142" t="inlineStr">
        <is>
          <t>00 - SIN SECTOR</t>
        </is>
      </c>
      <c r="C142" t="inlineStr">
        <is>
          <t>00</t>
        </is>
      </c>
      <c r="D142" t="inlineStr">
        <is>
          <t>0000</t>
        </is>
      </c>
      <c r="E142" t="inlineStr">
        <is>
          <t>000000</t>
        </is>
      </c>
      <c r="F142" t="inlineStr">
        <is>
          <t>SIN PRODUCTO</t>
        </is>
      </c>
      <c r="G142" t="inlineStr">
        <is>
          <t>00</t>
        </is>
      </c>
      <c r="H142" t="inlineStr">
        <is>
          <t>00</t>
        </is>
      </c>
      <c r="I142" t="inlineStr">
        <is>
          <t>00</t>
        </is>
      </c>
      <c r="J142" t="inlineStr">
        <is>
          <t>SIN PRODUCTO DANE</t>
        </is>
      </c>
      <c r="K142" t="inlineStr">
        <is>
          <t>00</t>
        </is>
      </c>
      <c r="L142" t="inlineStr">
        <is>
          <t>SIN ATRIBUTO</t>
        </is>
      </c>
      <c r="N142" t="inlineStr">
        <is>
          <t>2.2.2.05</t>
        </is>
      </c>
      <c r="O142" t="inlineStr">
        <is>
          <t>Bonos pensionales</t>
        </is>
      </c>
      <c r="P142" t="inlineStr">
        <is>
          <t>00</t>
        </is>
      </c>
      <c r="Q142" t="inlineStr">
        <is>
          <t>RECURSOS</t>
        </is>
      </c>
      <c r="R142" t="n">
        <v>46404088</v>
      </c>
      <c r="S142" t="n">
        <v>183367661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229771749</v>
      </c>
      <c r="Z142" t="n">
        <v>17509050</v>
      </c>
      <c r="AA142" t="n">
        <v>17509050</v>
      </c>
      <c r="AB142" t="n">
        <v>17509050</v>
      </c>
      <c r="AC142" t="n">
        <v>17509050</v>
      </c>
      <c r="AD142" t="n">
        <v>212262699</v>
      </c>
      <c r="AE142" t="n">
        <v>7.62</v>
      </c>
    </row>
    <row r="143">
      <c r="A143" t="inlineStr">
        <is>
          <t>1 - ADMINISTRACIÓN CENTRAL</t>
        </is>
      </c>
      <c r="B143" t="inlineStr">
        <is>
          <t>00 - SIN SECTOR</t>
        </is>
      </c>
      <c r="C143" t="inlineStr">
        <is>
          <t>00</t>
        </is>
      </c>
      <c r="D143" t="inlineStr">
        <is>
          <t>0000</t>
        </is>
      </c>
      <c r="E143" t="inlineStr">
        <is>
          <t>000000</t>
        </is>
      </c>
      <c r="F143" t="inlineStr">
        <is>
          <t>SIN PRODUCTO</t>
        </is>
      </c>
      <c r="G143" t="inlineStr">
        <is>
          <t>00</t>
        </is>
      </c>
      <c r="H143" t="inlineStr">
        <is>
          <t>00</t>
        </is>
      </c>
      <c r="I143" t="inlineStr">
        <is>
          <t>00</t>
        </is>
      </c>
      <c r="J143" t="inlineStr">
        <is>
          <t>SIN PRODUCTO DANE</t>
        </is>
      </c>
      <c r="K143" t="inlineStr">
        <is>
          <t>00</t>
        </is>
      </c>
      <c r="L143" t="inlineStr">
        <is>
          <t>SIN ATRIBUTO</t>
        </is>
      </c>
      <c r="N143" t="inlineStr">
        <is>
          <t>2.2.2.05.01</t>
        </is>
      </c>
      <c r="O143" t="inlineStr">
        <is>
          <t>Tipo a</t>
        </is>
      </c>
      <c r="P143" t="inlineStr">
        <is>
          <t>00</t>
        </is>
      </c>
      <c r="Q143" t="inlineStr">
        <is>
          <t>RECURSOS</t>
        </is>
      </c>
      <c r="R143" t="n">
        <v>17550913</v>
      </c>
      <c r="S143" t="n">
        <v>29471294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47022207</v>
      </c>
      <c r="Z143" t="n">
        <v>17509050</v>
      </c>
      <c r="AA143" t="n">
        <v>17509050</v>
      </c>
      <c r="AB143" t="n">
        <v>17509050</v>
      </c>
      <c r="AC143" t="n">
        <v>17509050</v>
      </c>
      <c r="AD143" t="n">
        <v>29513157</v>
      </c>
      <c r="AE143" t="n">
        <v>37.24</v>
      </c>
    </row>
    <row r="144">
      <c r="A144" t="inlineStr">
        <is>
          <t>1 - ADMINISTRACIÓN CENTRAL</t>
        </is>
      </c>
      <c r="B144" t="inlineStr">
        <is>
          <t>00 - SIN SECTOR</t>
        </is>
      </c>
      <c r="C144" t="inlineStr">
        <is>
          <t>00</t>
        </is>
      </c>
      <c r="D144" t="inlineStr">
        <is>
          <t>0000</t>
        </is>
      </c>
      <c r="E144" t="inlineStr">
        <is>
          <t>000000</t>
        </is>
      </c>
      <c r="F144" t="inlineStr">
        <is>
          <t>SIN PRODUCTO</t>
        </is>
      </c>
      <c r="G144" t="inlineStr">
        <is>
          <t>00</t>
        </is>
      </c>
      <c r="H144" t="inlineStr">
        <is>
          <t>00</t>
        </is>
      </c>
      <c r="I144" t="inlineStr">
        <is>
          <t>00</t>
        </is>
      </c>
      <c r="J144" t="inlineStr">
        <is>
          <t>SIN PRODUCTO DANE</t>
        </is>
      </c>
      <c r="K144" t="inlineStr">
        <is>
          <t>00</t>
        </is>
      </c>
      <c r="L144" t="inlineStr">
        <is>
          <t>SIN ATRIBUTO</t>
        </is>
      </c>
      <c r="N144" t="inlineStr">
        <is>
          <t>2.2.2.05.01.01</t>
        </is>
      </c>
      <c r="O144" t="inlineStr">
        <is>
          <t>Pasivo Pensional Estampilla Proanciano</t>
        </is>
      </c>
      <c r="P144" t="inlineStr">
        <is>
          <t>151</t>
        </is>
      </c>
      <c r="Q144" t="inlineStr">
        <is>
          <t>Estampilla adulto mayor</t>
        </is>
      </c>
      <c r="R144" t="n">
        <v>17550913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17550913</v>
      </c>
      <c r="Z144" t="n">
        <v>17509050</v>
      </c>
      <c r="AA144" t="n">
        <v>17509050</v>
      </c>
      <c r="AB144" t="n">
        <v>17509050</v>
      </c>
      <c r="AC144" t="n">
        <v>17509050</v>
      </c>
      <c r="AD144" t="n">
        <v>41863</v>
      </c>
      <c r="AE144" t="n">
        <v>99.76000000000001</v>
      </c>
    </row>
    <row r="145">
      <c r="A145" t="inlineStr">
        <is>
          <t>1 - ADMINISTRACIÓN CENTRAL</t>
        </is>
      </c>
      <c r="B145" t="inlineStr">
        <is>
          <t>00 - SIN SECTOR</t>
        </is>
      </c>
      <c r="C145" t="inlineStr">
        <is>
          <t>00</t>
        </is>
      </c>
      <c r="D145" t="inlineStr">
        <is>
          <t>0000</t>
        </is>
      </c>
      <c r="E145" t="inlineStr">
        <is>
          <t>000000</t>
        </is>
      </c>
      <c r="F145" t="inlineStr">
        <is>
          <t>SIN PRODUCTO</t>
        </is>
      </c>
      <c r="G145" t="inlineStr">
        <is>
          <t>00</t>
        </is>
      </c>
      <c r="H145" t="inlineStr">
        <is>
          <t>00</t>
        </is>
      </c>
      <c r="I145" t="inlineStr">
        <is>
          <t>00</t>
        </is>
      </c>
      <c r="J145" t="inlineStr">
        <is>
          <t>SIN PRODUCTO DANE</t>
        </is>
      </c>
      <c r="K145" t="inlineStr">
        <is>
          <t>00</t>
        </is>
      </c>
      <c r="L145" t="inlineStr">
        <is>
          <t>SIN ATRIBUTO</t>
        </is>
      </c>
      <c r="N145" t="inlineStr">
        <is>
          <t>2.2.2.05.01.01</t>
        </is>
      </c>
      <c r="O145" t="inlineStr">
        <is>
          <t>Pasivo Pensional Estampilla Proanciano</t>
        </is>
      </c>
      <c r="P145" t="inlineStr">
        <is>
          <t>151.1</t>
        </is>
      </c>
      <c r="Q145" t="inlineStr">
        <is>
          <t>RB ESTAMPILLA PRO ADULTO MAYOR</t>
        </is>
      </c>
      <c r="R145" t="n">
        <v>0</v>
      </c>
      <c r="S145" t="n">
        <v>29471294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29471294</v>
      </c>
      <c r="Z145" t="n">
        <v>0</v>
      </c>
      <c r="AA145" t="n">
        <v>0</v>
      </c>
      <c r="AB145" t="n">
        <v>0</v>
      </c>
      <c r="AC145" t="n">
        <v>0</v>
      </c>
      <c r="AD145" t="n">
        <v>29471294</v>
      </c>
      <c r="AE145" t="n">
        <v>0</v>
      </c>
    </row>
    <row r="146">
      <c r="A146" t="inlineStr">
        <is>
          <t>1 - ADMINISTRACIÓN CENTRAL</t>
        </is>
      </c>
      <c r="B146" t="inlineStr">
        <is>
          <t>00 - SIN SECTOR</t>
        </is>
      </c>
      <c r="C146" t="inlineStr">
        <is>
          <t>00</t>
        </is>
      </c>
      <c r="D146" t="inlineStr">
        <is>
          <t>0000</t>
        </is>
      </c>
      <c r="E146" t="inlineStr">
        <is>
          <t>000000</t>
        </is>
      </c>
      <c r="F146" t="inlineStr">
        <is>
          <t>SIN PRODUCTO</t>
        </is>
      </c>
      <c r="G146" t="inlineStr">
        <is>
          <t>00</t>
        </is>
      </c>
      <c r="H146" t="inlineStr">
        <is>
          <t>00</t>
        </is>
      </c>
      <c r="I146" t="inlineStr">
        <is>
          <t>00</t>
        </is>
      </c>
      <c r="J146" t="inlineStr">
        <is>
          <t>SIN PRODUCTO DANE</t>
        </is>
      </c>
      <c r="K146" t="inlineStr">
        <is>
          <t>00</t>
        </is>
      </c>
      <c r="L146" t="inlineStr">
        <is>
          <t>SIN ATRIBUTO</t>
        </is>
      </c>
      <c r="N146" t="inlineStr">
        <is>
          <t>2.2.2.05.01.02</t>
        </is>
      </c>
      <c r="O146" t="inlineStr">
        <is>
          <t>Pasivo Pensional Estampilla Procultura</t>
        </is>
      </c>
      <c r="P146" t="inlineStr">
        <is>
          <t>152</t>
        </is>
      </c>
      <c r="Q146" t="inlineStr">
        <is>
          <t>Estampilla Procultura</t>
        </is>
      </c>
      <c r="R146" t="n">
        <v>5847276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5847276</v>
      </c>
      <c r="Z146" t="n">
        <v>0</v>
      </c>
      <c r="AA146" t="n">
        <v>0</v>
      </c>
      <c r="AB146" t="n">
        <v>0</v>
      </c>
      <c r="AC146" t="n">
        <v>0</v>
      </c>
      <c r="AD146" t="n">
        <v>5847276</v>
      </c>
      <c r="AE146" t="n">
        <v>0</v>
      </c>
    </row>
    <row r="147">
      <c r="A147" t="inlineStr">
        <is>
          <t>1 - ADMINISTRACIÓN CENTRAL</t>
        </is>
      </c>
      <c r="B147" t="inlineStr">
        <is>
          <t>00 - SIN SECTOR</t>
        </is>
      </c>
      <c r="C147" t="inlineStr">
        <is>
          <t>00</t>
        </is>
      </c>
      <c r="D147" t="inlineStr">
        <is>
          <t>0000</t>
        </is>
      </c>
      <c r="E147" t="inlineStr">
        <is>
          <t>000000</t>
        </is>
      </c>
      <c r="F147" t="inlineStr">
        <is>
          <t>SIN PRODUCTO</t>
        </is>
      </c>
      <c r="G147" t="inlineStr">
        <is>
          <t>00</t>
        </is>
      </c>
      <c r="H147" t="inlineStr">
        <is>
          <t>00</t>
        </is>
      </c>
      <c r="I147" t="inlineStr">
        <is>
          <t>00</t>
        </is>
      </c>
      <c r="J147" t="inlineStr">
        <is>
          <t>SIN PRODUCTO DANE</t>
        </is>
      </c>
      <c r="K147" t="inlineStr">
        <is>
          <t>00</t>
        </is>
      </c>
      <c r="L147" t="inlineStr">
        <is>
          <t>SIN ATRIBUTO</t>
        </is>
      </c>
      <c r="N147" t="inlineStr">
        <is>
          <t>2.2.2.05.01.02</t>
        </is>
      </c>
      <c r="O147" t="inlineStr">
        <is>
          <t>Pasivo Pensional Estampilla Procultura</t>
        </is>
      </c>
      <c r="P147" t="inlineStr">
        <is>
          <t>152.1</t>
        </is>
      </c>
      <c r="Q147" t="inlineStr">
        <is>
          <t>RB ESTAMPILLA PROCULTURA</t>
        </is>
      </c>
      <c r="R147" t="n">
        <v>0</v>
      </c>
      <c r="S147" t="n">
        <v>30543874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30543874</v>
      </c>
      <c r="Z147" t="n">
        <v>0</v>
      </c>
      <c r="AA147" t="n">
        <v>0</v>
      </c>
      <c r="AB147" t="n">
        <v>0</v>
      </c>
      <c r="AC147" t="n">
        <v>0</v>
      </c>
      <c r="AD147" t="n">
        <v>30543874</v>
      </c>
      <c r="AE147" t="n">
        <v>0</v>
      </c>
    </row>
    <row r="148">
      <c r="A148" t="inlineStr">
        <is>
          <t>1 - ADMINISTRACIÓN CENTRAL</t>
        </is>
      </c>
      <c r="B148" t="inlineStr">
        <is>
          <t>00 - SIN SECTOR</t>
        </is>
      </c>
      <c r="C148" t="inlineStr">
        <is>
          <t>00</t>
        </is>
      </c>
      <c r="D148" t="inlineStr">
        <is>
          <t>0000</t>
        </is>
      </c>
      <c r="E148" t="inlineStr">
        <is>
          <t>000000</t>
        </is>
      </c>
      <c r="F148" t="inlineStr">
        <is>
          <t>SIN PRODUCTO</t>
        </is>
      </c>
      <c r="G148" t="inlineStr">
        <is>
          <t>00</t>
        </is>
      </c>
      <c r="H148" t="inlineStr">
        <is>
          <t>00</t>
        </is>
      </c>
      <c r="I148" t="inlineStr">
        <is>
          <t>00</t>
        </is>
      </c>
      <c r="J148" t="inlineStr">
        <is>
          <t>SIN PRODUCTO DANE</t>
        </is>
      </c>
      <c r="K148" t="inlineStr">
        <is>
          <t>00</t>
        </is>
      </c>
      <c r="L148" t="inlineStr">
        <is>
          <t>SIN ATRIBUTO</t>
        </is>
      </c>
      <c r="N148" t="inlineStr">
        <is>
          <t>2.2.2.05.01.03</t>
        </is>
      </c>
      <c r="O148" t="inlineStr">
        <is>
          <t>Pasivo Pensional Estampilla Procultura</t>
        </is>
      </c>
      <c r="P148" t="inlineStr">
        <is>
          <t>153</t>
        </is>
      </c>
      <c r="Q148" t="inlineStr">
        <is>
          <t>Estampilla para la justicia familiar</t>
        </is>
      </c>
      <c r="R148" t="n">
        <v>5454986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5454986</v>
      </c>
      <c r="Z148" t="n">
        <v>0</v>
      </c>
      <c r="AA148" t="n">
        <v>0</v>
      </c>
      <c r="AB148" t="n">
        <v>0</v>
      </c>
      <c r="AC148" t="n">
        <v>0</v>
      </c>
      <c r="AD148" t="n">
        <v>5454986</v>
      </c>
      <c r="AE148" t="n">
        <v>0</v>
      </c>
    </row>
    <row r="149">
      <c r="A149" t="inlineStr">
        <is>
          <t>1 - ADMINISTRACIÓN CENTRAL</t>
        </is>
      </c>
      <c r="B149" t="inlineStr">
        <is>
          <t>00 - SIN SECTOR</t>
        </is>
      </c>
      <c r="C149" t="inlineStr">
        <is>
          <t>00</t>
        </is>
      </c>
      <c r="D149" t="inlineStr">
        <is>
          <t>0000</t>
        </is>
      </c>
      <c r="E149" t="inlineStr">
        <is>
          <t>000000</t>
        </is>
      </c>
      <c r="F149" t="inlineStr">
        <is>
          <t>SIN PRODUCTO</t>
        </is>
      </c>
      <c r="G149" t="inlineStr">
        <is>
          <t>00</t>
        </is>
      </c>
      <c r="H149" t="inlineStr">
        <is>
          <t>00</t>
        </is>
      </c>
      <c r="I149" t="inlineStr">
        <is>
          <t>00</t>
        </is>
      </c>
      <c r="J149" t="inlineStr">
        <is>
          <t>SIN PRODUCTO DANE</t>
        </is>
      </c>
      <c r="K149" t="inlineStr">
        <is>
          <t>00</t>
        </is>
      </c>
      <c r="L149" t="inlineStr">
        <is>
          <t>SIN ATRIBUTO</t>
        </is>
      </c>
      <c r="N149" t="inlineStr">
        <is>
          <t>2.2.2.05.01.04</t>
        </is>
      </c>
      <c r="O149" t="inlineStr">
        <is>
          <t>Pasivo Pensional RF Nómina de pensionados</t>
        </is>
      </c>
      <c r="P149" t="inlineStr">
        <is>
          <t>670.25</t>
        </is>
      </c>
      <c r="Q149" t="inlineStr">
        <is>
          <t>REND. FCROS. NOMINA PENSIONADOS FONPET</t>
        </is>
      </c>
      <c r="R149" t="n">
        <v>100000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100000</v>
      </c>
      <c r="Z149" t="n">
        <v>0</v>
      </c>
      <c r="AA149" t="n">
        <v>0</v>
      </c>
      <c r="AB149" t="n">
        <v>0</v>
      </c>
      <c r="AC149" t="n">
        <v>0</v>
      </c>
      <c r="AD149" t="n">
        <v>100000</v>
      </c>
      <c r="AE149" t="n">
        <v>0</v>
      </c>
    </row>
    <row r="150">
      <c r="A150" t="inlineStr">
        <is>
          <t>1 - ADMINISTRACIÓN CENTRAL</t>
        </is>
      </c>
      <c r="B150" t="inlineStr">
        <is>
          <t>00 - SIN SECTOR</t>
        </is>
      </c>
      <c r="C150" t="inlineStr">
        <is>
          <t>00</t>
        </is>
      </c>
      <c r="D150" t="inlineStr">
        <is>
          <t>0000</t>
        </is>
      </c>
      <c r="E150" t="inlineStr">
        <is>
          <t>000000</t>
        </is>
      </c>
      <c r="F150" t="inlineStr">
        <is>
          <t>SIN PRODUCTO</t>
        </is>
      </c>
      <c r="G150" t="inlineStr">
        <is>
          <t>00</t>
        </is>
      </c>
      <c r="H150" t="inlineStr">
        <is>
          <t>00</t>
        </is>
      </c>
      <c r="I150" t="inlineStr">
        <is>
          <t>00</t>
        </is>
      </c>
      <c r="J150" t="inlineStr">
        <is>
          <t>SIN PRODUCTO DANE</t>
        </is>
      </c>
      <c r="K150" t="inlineStr">
        <is>
          <t>00</t>
        </is>
      </c>
      <c r="L150" t="inlineStr">
        <is>
          <t>SIN ATRIBUTO</t>
        </is>
      </c>
      <c r="N150" t="inlineStr">
        <is>
          <t>2.2.2.05.02</t>
        </is>
      </c>
      <c r="O150" t="inlineStr">
        <is>
          <t>Tipo b</t>
        </is>
      </c>
      <c r="P150" t="inlineStr">
        <is>
          <t>00</t>
        </is>
      </c>
      <c r="Q150" t="inlineStr">
        <is>
          <t>RECURSOS</t>
        </is>
      </c>
      <c r="R150" t="n">
        <v>28853175</v>
      </c>
      <c r="S150" t="n">
        <v>153896367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182749542</v>
      </c>
      <c r="Z150" t="n">
        <v>0</v>
      </c>
      <c r="AA150" t="n">
        <v>0</v>
      </c>
      <c r="AB150" t="n">
        <v>0</v>
      </c>
      <c r="AC150" t="n">
        <v>0</v>
      </c>
      <c r="AD150" t="n">
        <v>182749542</v>
      </c>
      <c r="AE150" t="n">
        <v>0</v>
      </c>
    </row>
    <row r="151">
      <c r="A151" t="inlineStr">
        <is>
          <t>1 - ADMINISTRACIÓN CENTRAL</t>
        </is>
      </c>
      <c r="B151" t="inlineStr">
        <is>
          <t>00 - SIN SECTOR</t>
        </is>
      </c>
      <c r="C151" t="inlineStr">
        <is>
          <t>00</t>
        </is>
      </c>
      <c r="D151" t="inlineStr">
        <is>
          <t>0000</t>
        </is>
      </c>
      <c r="E151" t="inlineStr">
        <is>
          <t>000000</t>
        </is>
      </c>
      <c r="F151" t="inlineStr">
        <is>
          <t>SIN PRODUCTO</t>
        </is>
      </c>
      <c r="G151" t="inlineStr">
        <is>
          <t>00</t>
        </is>
      </c>
      <c r="H151" t="inlineStr">
        <is>
          <t>00</t>
        </is>
      </c>
      <c r="I151" t="inlineStr">
        <is>
          <t>00</t>
        </is>
      </c>
      <c r="J151" t="inlineStr">
        <is>
          <t>SIN PRODUCTO DANE</t>
        </is>
      </c>
      <c r="K151" t="inlineStr">
        <is>
          <t>00</t>
        </is>
      </c>
      <c r="L151" t="inlineStr">
        <is>
          <t>SIN ATRIBUTO</t>
        </is>
      </c>
      <c r="N151" t="inlineStr">
        <is>
          <t>2.2.2.05.02.01</t>
        </is>
      </c>
      <c r="O151" t="inlineStr">
        <is>
          <t>Pasivo Pensional Estampilla Proanciano</t>
        </is>
      </c>
      <c r="P151" t="inlineStr">
        <is>
          <t>151</t>
        </is>
      </c>
      <c r="Q151" t="inlineStr">
        <is>
          <t>Estampilla adulto mayor</t>
        </is>
      </c>
      <c r="R151" t="n">
        <v>17550913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17550913</v>
      </c>
      <c r="Z151" t="n">
        <v>0</v>
      </c>
      <c r="AA151" t="n">
        <v>0</v>
      </c>
      <c r="AB151" t="n">
        <v>0</v>
      </c>
      <c r="AC151" t="n">
        <v>0</v>
      </c>
      <c r="AD151" t="n">
        <v>17550913</v>
      </c>
      <c r="AE151" t="n">
        <v>0</v>
      </c>
    </row>
    <row r="152">
      <c r="A152" t="inlineStr">
        <is>
          <t>1 - ADMINISTRACIÓN CENTRAL</t>
        </is>
      </c>
      <c r="B152" t="inlineStr">
        <is>
          <t>00 - SIN SECTOR</t>
        </is>
      </c>
      <c r="C152" t="inlineStr">
        <is>
          <t>00</t>
        </is>
      </c>
      <c r="D152" t="inlineStr">
        <is>
          <t>0000</t>
        </is>
      </c>
      <c r="E152" t="inlineStr">
        <is>
          <t>000000</t>
        </is>
      </c>
      <c r="F152" t="inlineStr">
        <is>
          <t>SIN PRODUCTO</t>
        </is>
      </c>
      <c r="G152" t="inlineStr">
        <is>
          <t>00</t>
        </is>
      </c>
      <c r="H152" t="inlineStr">
        <is>
          <t>00</t>
        </is>
      </c>
      <c r="I152" t="inlineStr">
        <is>
          <t>00</t>
        </is>
      </c>
      <c r="J152" t="inlineStr">
        <is>
          <t>SIN PRODUCTO DANE</t>
        </is>
      </c>
      <c r="K152" t="inlineStr">
        <is>
          <t>00</t>
        </is>
      </c>
      <c r="L152" t="inlineStr">
        <is>
          <t>SIN ATRIBUTO</t>
        </is>
      </c>
      <c r="N152" t="inlineStr">
        <is>
          <t>2.2.2.05.02.01</t>
        </is>
      </c>
      <c r="O152" t="inlineStr">
        <is>
          <t>Pasivo Pensional Estampilla Proanciano</t>
        </is>
      </c>
      <c r="P152" t="inlineStr">
        <is>
          <t>151.1</t>
        </is>
      </c>
      <c r="Q152" t="inlineStr">
        <is>
          <t>RB ESTAMPILLA PRO ADULTO MAYOR</t>
        </is>
      </c>
      <c r="R152" t="n">
        <v>0</v>
      </c>
      <c r="S152" t="n">
        <v>29471294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29471294</v>
      </c>
      <c r="Z152" t="n">
        <v>0</v>
      </c>
      <c r="AA152" t="n">
        <v>0</v>
      </c>
      <c r="AB152" t="n">
        <v>0</v>
      </c>
      <c r="AC152" t="n">
        <v>0</v>
      </c>
      <c r="AD152" t="n">
        <v>29471294</v>
      </c>
      <c r="AE152" t="n">
        <v>0</v>
      </c>
    </row>
    <row r="153">
      <c r="A153" t="inlineStr">
        <is>
          <t>1 - ADMINISTRACIÓN CENTRAL</t>
        </is>
      </c>
      <c r="B153" t="inlineStr">
        <is>
          <t>00 - SIN SECTOR</t>
        </is>
      </c>
      <c r="C153" t="inlineStr">
        <is>
          <t>00</t>
        </is>
      </c>
      <c r="D153" t="inlineStr">
        <is>
          <t>0000</t>
        </is>
      </c>
      <c r="E153" t="inlineStr">
        <is>
          <t>000000</t>
        </is>
      </c>
      <c r="F153" t="inlineStr">
        <is>
          <t>SIN PRODUCTO</t>
        </is>
      </c>
      <c r="G153" t="inlineStr">
        <is>
          <t>00</t>
        </is>
      </c>
      <c r="H153" t="inlineStr">
        <is>
          <t>00</t>
        </is>
      </c>
      <c r="I153" t="inlineStr">
        <is>
          <t>00</t>
        </is>
      </c>
      <c r="J153" t="inlineStr">
        <is>
          <t>SIN PRODUCTO DANE</t>
        </is>
      </c>
      <c r="K153" t="inlineStr">
        <is>
          <t>00</t>
        </is>
      </c>
      <c r="L153" t="inlineStr">
        <is>
          <t>SIN ATRIBUTO</t>
        </is>
      </c>
      <c r="N153" t="inlineStr">
        <is>
          <t>2.2.2.05.02.02</t>
        </is>
      </c>
      <c r="O153" t="inlineStr">
        <is>
          <t>Pasivo Pensional Estampilla Procultura</t>
        </is>
      </c>
      <c r="P153" t="inlineStr">
        <is>
          <t>152</t>
        </is>
      </c>
      <c r="Q153" t="inlineStr">
        <is>
          <t>Estampilla Procultura</t>
        </is>
      </c>
      <c r="R153" t="n">
        <v>5847276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5847276</v>
      </c>
      <c r="Z153" t="n">
        <v>0</v>
      </c>
      <c r="AA153" t="n">
        <v>0</v>
      </c>
      <c r="AB153" t="n">
        <v>0</v>
      </c>
      <c r="AC153" t="n">
        <v>0</v>
      </c>
      <c r="AD153" t="n">
        <v>5847276</v>
      </c>
      <c r="AE153" t="n">
        <v>0</v>
      </c>
    </row>
    <row r="154">
      <c r="A154" t="inlineStr">
        <is>
          <t>1 - ADMINISTRACIÓN CENTRAL</t>
        </is>
      </c>
      <c r="B154" t="inlineStr">
        <is>
          <t>00 - SIN SECTOR</t>
        </is>
      </c>
      <c r="C154" t="inlineStr">
        <is>
          <t>00</t>
        </is>
      </c>
      <c r="D154" t="inlineStr">
        <is>
          <t>0000</t>
        </is>
      </c>
      <c r="E154" t="inlineStr">
        <is>
          <t>000000</t>
        </is>
      </c>
      <c r="F154" t="inlineStr">
        <is>
          <t>SIN PRODUCTO</t>
        </is>
      </c>
      <c r="G154" t="inlineStr">
        <is>
          <t>00</t>
        </is>
      </c>
      <c r="H154" t="inlineStr">
        <is>
          <t>00</t>
        </is>
      </c>
      <c r="I154" t="inlineStr">
        <is>
          <t>00</t>
        </is>
      </c>
      <c r="J154" t="inlineStr">
        <is>
          <t>SIN PRODUCTO DANE</t>
        </is>
      </c>
      <c r="K154" t="inlineStr">
        <is>
          <t>00</t>
        </is>
      </c>
      <c r="L154" t="inlineStr">
        <is>
          <t>SIN ATRIBUTO</t>
        </is>
      </c>
      <c r="N154" t="inlineStr">
        <is>
          <t>2.2.2.05.02.02</t>
        </is>
      </c>
      <c r="O154" t="inlineStr">
        <is>
          <t>Pasivo Pensional Estampilla Procultura (Art. 72 L 617)</t>
        </is>
      </c>
      <c r="P154" t="inlineStr">
        <is>
          <t>152.1</t>
        </is>
      </c>
      <c r="Q154" t="inlineStr">
        <is>
          <t>RB ESTAMPILLA PROCULTURA</t>
        </is>
      </c>
      <c r="R154" t="n">
        <v>0</v>
      </c>
      <c r="S154" t="n">
        <v>30543874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30543874</v>
      </c>
      <c r="Z154" t="n">
        <v>0</v>
      </c>
      <c r="AA154" t="n">
        <v>0</v>
      </c>
      <c r="AB154" t="n">
        <v>0</v>
      </c>
      <c r="AC154" t="n">
        <v>0</v>
      </c>
      <c r="AD154" t="n">
        <v>30543874</v>
      </c>
      <c r="AE154" t="n">
        <v>0</v>
      </c>
    </row>
    <row r="155">
      <c r="A155" t="inlineStr">
        <is>
          <t>1 - ADMINISTRACIÓN CENTRAL</t>
        </is>
      </c>
      <c r="B155" t="inlineStr">
        <is>
          <t>00 - SIN SECTOR</t>
        </is>
      </c>
      <c r="C155" t="inlineStr">
        <is>
          <t>00</t>
        </is>
      </c>
      <c r="D155" t="inlineStr">
        <is>
          <t>0000</t>
        </is>
      </c>
      <c r="E155" t="inlineStr">
        <is>
          <t>000000</t>
        </is>
      </c>
      <c r="F155" t="inlineStr">
        <is>
          <t>SIN PRODUCTO</t>
        </is>
      </c>
      <c r="G155" t="inlineStr">
        <is>
          <t>00</t>
        </is>
      </c>
      <c r="H155" t="inlineStr">
        <is>
          <t>00</t>
        </is>
      </c>
      <c r="I155" t="inlineStr">
        <is>
          <t>00</t>
        </is>
      </c>
      <c r="J155" t="inlineStr">
        <is>
          <t>SIN PRODUCTO DANE</t>
        </is>
      </c>
      <c r="K155" t="inlineStr">
        <is>
          <t>00</t>
        </is>
      </c>
      <c r="L155" t="inlineStr">
        <is>
          <t>SIN ATRIBUTO</t>
        </is>
      </c>
      <c r="N155" t="inlineStr">
        <is>
          <t>2.2.2.05.02.03</t>
        </is>
      </c>
      <c r="O155" t="inlineStr">
        <is>
          <t>Pasivo Pensional Estampilla Procultura</t>
        </is>
      </c>
      <c r="P155" t="inlineStr">
        <is>
          <t>153</t>
        </is>
      </c>
      <c r="Q155" t="inlineStr">
        <is>
          <t>Estampilla para la justicia familiar</t>
        </is>
      </c>
      <c r="R155" t="n">
        <v>5454986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5454986</v>
      </c>
      <c r="Z155" t="n">
        <v>0</v>
      </c>
      <c r="AA155" t="n">
        <v>0</v>
      </c>
      <c r="AB155" t="n">
        <v>0</v>
      </c>
      <c r="AC155" t="n">
        <v>0</v>
      </c>
      <c r="AD155" t="n">
        <v>5454986</v>
      </c>
      <c r="AE155" t="n">
        <v>0</v>
      </c>
    </row>
    <row r="156">
      <c r="A156" t="inlineStr">
        <is>
          <t>1 - ADMINISTRACIÓN CENTRAL</t>
        </is>
      </c>
      <c r="B156" t="inlineStr">
        <is>
          <t>00 - SIN SECTOR</t>
        </is>
      </c>
      <c r="C156" t="inlineStr">
        <is>
          <t>00</t>
        </is>
      </c>
      <c r="D156" t="inlineStr">
        <is>
          <t>0000</t>
        </is>
      </c>
      <c r="E156" t="inlineStr">
        <is>
          <t>000000</t>
        </is>
      </c>
      <c r="F156" t="inlineStr">
        <is>
          <t>SIN PRODUCTO</t>
        </is>
      </c>
      <c r="G156" t="inlineStr">
        <is>
          <t>00</t>
        </is>
      </c>
      <c r="H156" t="inlineStr">
        <is>
          <t>00</t>
        </is>
      </c>
      <c r="I156" t="inlineStr">
        <is>
          <t>00</t>
        </is>
      </c>
      <c r="J156" t="inlineStr">
        <is>
          <t>SIN PRODUCTO DANE</t>
        </is>
      </c>
      <c r="K156" t="inlineStr">
        <is>
          <t>00</t>
        </is>
      </c>
      <c r="L156" t="inlineStr">
        <is>
          <t>SIN ATRIBUTO</t>
        </is>
      </c>
      <c r="N156" t="inlineStr">
        <is>
          <t>2.2.2.05.02.04</t>
        </is>
      </c>
      <c r="O156" t="inlineStr">
        <is>
          <t>Pasivo Pensional recursos desahorro FONPET</t>
        </is>
      </c>
      <c r="P156" t="inlineStr">
        <is>
          <t>71.0.1</t>
        </is>
      </c>
      <c r="Q156" t="inlineStr">
        <is>
          <t>PARA EL PAGO DE OBLIGACIONES PENSIONALES CORRIENTES</t>
        </is>
      </c>
      <c r="R156" t="n">
        <v>0</v>
      </c>
      <c r="S156" t="n">
        <v>93881199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93881199</v>
      </c>
      <c r="Z156" t="n">
        <v>0</v>
      </c>
      <c r="AA156" t="n">
        <v>0</v>
      </c>
      <c r="AB156" t="n">
        <v>0</v>
      </c>
      <c r="AC156" t="n">
        <v>0</v>
      </c>
      <c r="AD156" t="n">
        <v>93881199</v>
      </c>
      <c r="AE156" t="n">
        <v>0</v>
      </c>
    </row>
    <row r="157">
      <c r="A157" t="inlineStr">
        <is>
          <t>1 - ADMINISTRACIÓN CENTRAL</t>
        </is>
      </c>
      <c r="B157" t="inlineStr">
        <is>
          <t>00 - SIN SECTOR</t>
        </is>
      </c>
      <c r="C157" t="inlineStr">
        <is>
          <t>00</t>
        </is>
      </c>
      <c r="D157" t="inlineStr">
        <is>
          <t>0000</t>
        </is>
      </c>
      <c r="E157" t="inlineStr">
        <is>
          <t>000000</t>
        </is>
      </c>
      <c r="F157" t="inlineStr">
        <is>
          <t>SIN PRODUCTO</t>
        </is>
      </c>
      <c r="G157" t="inlineStr">
        <is>
          <t>00</t>
        </is>
      </c>
      <c r="H157" t="inlineStr">
        <is>
          <t>00</t>
        </is>
      </c>
      <c r="I157" t="inlineStr">
        <is>
          <t>00</t>
        </is>
      </c>
      <c r="J157" t="inlineStr">
        <is>
          <t>SIN PRODUCTO DANE</t>
        </is>
      </c>
      <c r="K157" t="inlineStr">
        <is>
          <t>00</t>
        </is>
      </c>
      <c r="L157" t="inlineStr">
        <is>
          <t>SIN ATRIBUTO</t>
        </is>
      </c>
      <c r="N157" t="inlineStr">
        <is>
          <t>2.3</t>
        </is>
      </c>
      <c r="O157" t="inlineStr">
        <is>
          <t>INVERSION</t>
        </is>
      </c>
      <c r="P157" t="inlineStr">
        <is>
          <t>00</t>
        </is>
      </c>
      <c r="Q157" t="inlineStr">
        <is>
          <t>RECURSOS</t>
        </is>
      </c>
      <c r="R157" t="n">
        <v>6689175705</v>
      </c>
      <c r="S157" t="n">
        <v>2393701295</v>
      </c>
      <c r="T157" t="n">
        <v>345475053</v>
      </c>
      <c r="U157" t="n">
        <v>473016980</v>
      </c>
      <c r="V157" t="n">
        <v>473016980</v>
      </c>
      <c r="W157" t="n">
        <v>0</v>
      </c>
      <c r="X157" t="n">
        <v>0</v>
      </c>
      <c r="Y157" t="n">
        <v>8737401947</v>
      </c>
      <c r="Z157" t="n">
        <v>4115474078.17</v>
      </c>
      <c r="AA157" t="n">
        <v>3793311894.28</v>
      </c>
      <c r="AB157" t="n">
        <v>1839267689.12</v>
      </c>
      <c r="AC157" t="n">
        <v>1839267689.12</v>
      </c>
      <c r="AD157" t="n">
        <v>4621927868.83</v>
      </c>
      <c r="AE157" t="n">
        <v>47.1</v>
      </c>
    </row>
    <row r="158">
      <c r="A158" t="inlineStr">
        <is>
          <t>1 - ADMINISTRACIÓN CENTRAL</t>
        </is>
      </c>
      <c r="B158" t="inlineStr">
        <is>
          <t>00 - SIN SECTOR</t>
        </is>
      </c>
      <c r="C158" t="inlineStr">
        <is>
          <t>00</t>
        </is>
      </c>
      <c r="D158" t="inlineStr">
        <is>
          <t>0000</t>
        </is>
      </c>
      <c r="E158" t="inlineStr">
        <is>
          <t>000000</t>
        </is>
      </c>
      <c r="F158" t="inlineStr">
        <is>
          <t>SIN PRODUCTO</t>
        </is>
      </c>
      <c r="G158" t="inlineStr">
        <is>
          <t>00</t>
        </is>
      </c>
      <c r="H158" t="inlineStr">
        <is>
          <t>00</t>
        </is>
      </c>
      <c r="I158" t="inlineStr">
        <is>
          <t>00</t>
        </is>
      </c>
      <c r="J158" t="inlineStr">
        <is>
          <t>SIN PRODUCTO DANE</t>
        </is>
      </c>
      <c r="K158" t="inlineStr">
        <is>
          <t>00</t>
        </is>
      </c>
      <c r="L158" t="inlineStr">
        <is>
          <t>SIN ATRIBUTO</t>
        </is>
      </c>
      <c r="N158" t="inlineStr">
        <is>
          <t>2.3.1</t>
        </is>
      </c>
      <c r="O158" t="inlineStr">
        <is>
          <t>GASTOS DE PERSONAL</t>
        </is>
      </c>
      <c r="P158" t="inlineStr">
        <is>
          <t>00</t>
        </is>
      </c>
      <c r="Q158" t="inlineStr">
        <is>
          <t>RECURSOS</t>
        </is>
      </c>
      <c r="R158" t="n">
        <v>702370747</v>
      </c>
      <c r="S158" t="n">
        <v>232996087</v>
      </c>
      <c r="T158" t="n">
        <v>232996087</v>
      </c>
      <c r="U158" t="n">
        <v>0</v>
      </c>
      <c r="V158" t="n">
        <v>10000000</v>
      </c>
      <c r="W158" t="n">
        <v>0</v>
      </c>
      <c r="X158" t="n">
        <v>0</v>
      </c>
      <c r="Y158" t="n">
        <v>692370747</v>
      </c>
      <c r="Z158" t="n">
        <v>268361812</v>
      </c>
      <c r="AA158" t="n">
        <v>268361812</v>
      </c>
      <c r="AB158" t="n">
        <v>268361812</v>
      </c>
      <c r="AC158" t="n">
        <v>268361812</v>
      </c>
      <c r="AD158" t="n">
        <v>424008935</v>
      </c>
      <c r="AE158" t="n">
        <v>38.76</v>
      </c>
    </row>
    <row r="159">
      <c r="A159" t="inlineStr">
        <is>
          <t>1 - ADMINISTRACIÓN CENTRAL</t>
        </is>
      </c>
      <c r="B159" t="inlineStr">
        <is>
          <t>00 - SIN SECTOR</t>
        </is>
      </c>
      <c r="C159" t="inlineStr">
        <is>
          <t>00</t>
        </is>
      </c>
      <c r="D159" t="inlineStr">
        <is>
          <t>0000</t>
        </is>
      </c>
      <c r="E159" t="inlineStr">
        <is>
          <t>000000</t>
        </is>
      </c>
      <c r="F159" t="inlineStr">
        <is>
          <t>SIN PRODUCTO</t>
        </is>
      </c>
      <c r="G159" t="inlineStr">
        <is>
          <t>00</t>
        </is>
      </c>
      <c r="H159" t="inlineStr">
        <is>
          <t>00</t>
        </is>
      </c>
      <c r="I159" t="inlineStr">
        <is>
          <t>00</t>
        </is>
      </c>
      <c r="J159" t="inlineStr">
        <is>
          <t>SIN PRODUCTO DANE</t>
        </is>
      </c>
      <c r="K159" t="inlineStr">
        <is>
          <t>00</t>
        </is>
      </c>
      <c r="L159" t="inlineStr">
        <is>
          <t>SIN ATRIBUTO</t>
        </is>
      </c>
      <c r="N159" t="inlineStr">
        <is>
          <t>2.3.1.01</t>
        </is>
      </c>
      <c r="O159" t="inlineStr">
        <is>
          <t>PLANTA DE PERSONAL PERMANENTE</t>
        </is>
      </c>
      <c r="P159" t="inlineStr">
        <is>
          <t>00</t>
        </is>
      </c>
      <c r="Q159" t="inlineStr">
        <is>
          <t>RECURSOS</t>
        </is>
      </c>
      <c r="R159" t="n">
        <v>702370747</v>
      </c>
      <c r="S159" t="n">
        <v>232996087</v>
      </c>
      <c r="T159" t="n">
        <v>232996087</v>
      </c>
      <c r="U159" t="n">
        <v>0</v>
      </c>
      <c r="V159" t="n">
        <v>10000000</v>
      </c>
      <c r="W159" t="n">
        <v>0</v>
      </c>
      <c r="X159" t="n">
        <v>0</v>
      </c>
      <c r="Y159" t="n">
        <v>692370747</v>
      </c>
      <c r="Z159" t="n">
        <v>268361812</v>
      </c>
      <c r="AA159" t="n">
        <v>268361812</v>
      </c>
      <c r="AB159" t="n">
        <v>268361812</v>
      </c>
      <c r="AC159" t="n">
        <v>268361812</v>
      </c>
      <c r="AD159" t="n">
        <v>424008935</v>
      </c>
      <c r="AE159" t="n">
        <v>38.76</v>
      </c>
    </row>
    <row r="160">
      <c r="A160" t="inlineStr">
        <is>
          <t>1 - ADMINISTRACIÓN CENTRAL</t>
        </is>
      </c>
      <c r="B160" t="inlineStr">
        <is>
          <t>00 - SIN SECTOR</t>
        </is>
      </c>
      <c r="C160" t="inlineStr">
        <is>
          <t>00</t>
        </is>
      </c>
      <c r="D160" t="inlineStr">
        <is>
          <t>0000</t>
        </is>
      </c>
      <c r="E160" t="inlineStr">
        <is>
          <t>000000</t>
        </is>
      </c>
      <c r="F160" t="inlineStr">
        <is>
          <t>SIN PRODUCTO</t>
        </is>
      </c>
      <c r="G160" t="inlineStr">
        <is>
          <t>00</t>
        </is>
      </c>
      <c r="H160" t="inlineStr">
        <is>
          <t>00</t>
        </is>
      </c>
      <c r="I160" t="inlineStr">
        <is>
          <t>00</t>
        </is>
      </c>
      <c r="J160" t="inlineStr">
        <is>
          <t>SIN PRODUCTO DANE</t>
        </is>
      </c>
      <c r="K160" t="inlineStr">
        <is>
          <t>00</t>
        </is>
      </c>
      <c r="L160" t="inlineStr">
        <is>
          <t>SIN ATRIBUTO</t>
        </is>
      </c>
      <c r="N160" t="inlineStr">
        <is>
          <t>2.3.1.01.01</t>
        </is>
      </c>
      <c r="O160" t="inlineStr">
        <is>
          <t>FACTORES CONSTITUTIVOS DE SALARIO</t>
        </is>
      </c>
      <c r="P160" t="inlineStr">
        <is>
          <t>00</t>
        </is>
      </c>
      <c r="Q160" t="inlineStr">
        <is>
          <t>RECURSOS</t>
        </is>
      </c>
      <c r="R160" t="n">
        <v>501066028</v>
      </c>
      <c r="S160" t="n">
        <v>117929417</v>
      </c>
      <c r="T160" t="n">
        <v>117929417</v>
      </c>
      <c r="U160" t="n">
        <v>0</v>
      </c>
      <c r="V160" t="n">
        <v>10000000</v>
      </c>
      <c r="W160" t="n">
        <v>0</v>
      </c>
      <c r="X160" t="n">
        <v>0</v>
      </c>
      <c r="Y160" t="n">
        <v>491066028</v>
      </c>
      <c r="Z160" t="n">
        <v>180100856</v>
      </c>
      <c r="AA160" t="n">
        <v>180100856</v>
      </c>
      <c r="AB160" t="n">
        <v>180100856</v>
      </c>
      <c r="AC160" t="n">
        <v>180100856</v>
      </c>
      <c r="AD160" t="n">
        <v>310965172</v>
      </c>
      <c r="AE160" t="n">
        <v>36.68</v>
      </c>
    </row>
    <row r="161">
      <c r="A161" t="inlineStr">
        <is>
          <t>1 - ADMINISTRACIÓN CENTRAL</t>
        </is>
      </c>
      <c r="B161" t="inlineStr">
        <is>
          <t>00 - SIN SECTOR</t>
        </is>
      </c>
      <c r="C161" t="inlineStr">
        <is>
          <t>00</t>
        </is>
      </c>
      <c r="D161" t="inlineStr">
        <is>
          <t>0000</t>
        </is>
      </c>
      <c r="E161" t="inlineStr">
        <is>
          <t>000000</t>
        </is>
      </c>
      <c r="F161" t="inlineStr">
        <is>
          <t>SIN PRODUCTO</t>
        </is>
      </c>
      <c r="G161" t="inlineStr">
        <is>
          <t>00</t>
        </is>
      </c>
      <c r="H161" t="inlineStr">
        <is>
          <t>00</t>
        </is>
      </c>
      <c r="I161" t="inlineStr">
        <is>
          <t>00</t>
        </is>
      </c>
      <c r="J161" t="inlineStr">
        <is>
          <t>SIN PRODUCTO DANE</t>
        </is>
      </c>
      <c r="K161" t="inlineStr">
        <is>
          <t>00</t>
        </is>
      </c>
      <c r="L161" t="inlineStr">
        <is>
          <t>SIN ATRIBUTO</t>
        </is>
      </c>
      <c r="N161" t="inlineStr">
        <is>
          <t>2.3.1.01.01.001</t>
        </is>
      </c>
      <c r="O161" t="inlineStr">
        <is>
          <t>FACTORES SALARIALES COMUNES</t>
        </is>
      </c>
      <c r="P161" t="inlineStr">
        <is>
          <t>00</t>
        </is>
      </c>
      <c r="Q161" t="inlineStr">
        <is>
          <t>RECURSOS</t>
        </is>
      </c>
      <c r="R161" t="n">
        <v>501066028</v>
      </c>
      <c r="S161" t="n">
        <v>117929417</v>
      </c>
      <c r="T161" t="n">
        <v>117929417</v>
      </c>
      <c r="U161" t="n">
        <v>0</v>
      </c>
      <c r="V161" t="n">
        <v>10000000</v>
      </c>
      <c r="W161" t="n">
        <v>0</v>
      </c>
      <c r="X161" t="n">
        <v>0</v>
      </c>
      <c r="Y161" t="n">
        <v>491066028</v>
      </c>
      <c r="Z161" t="n">
        <v>180100856</v>
      </c>
      <c r="AA161" t="n">
        <v>180100856</v>
      </c>
      <c r="AB161" t="n">
        <v>180100856</v>
      </c>
      <c r="AC161" t="n">
        <v>180100856</v>
      </c>
      <c r="AD161" t="n">
        <v>310965172</v>
      </c>
      <c r="AE161" t="n">
        <v>36.68</v>
      </c>
    </row>
    <row r="162">
      <c r="A162" t="inlineStr">
        <is>
          <t>1 - ADMINISTRACIÓN CENTRAL</t>
        </is>
      </c>
      <c r="B162" t="inlineStr">
        <is>
          <t>00 - SIN SECTOR</t>
        </is>
      </c>
      <c r="C162" t="inlineStr">
        <is>
          <t>00</t>
        </is>
      </c>
      <c r="D162" t="inlineStr">
        <is>
          <t>0000</t>
        </is>
      </c>
      <c r="E162" t="inlineStr">
        <is>
          <t>000000</t>
        </is>
      </c>
      <c r="F162" t="inlineStr">
        <is>
          <t>SIN PRODUCTO</t>
        </is>
      </c>
      <c r="G162" t="inlineStr">
        <is>
          <t>00</t>
        </is>
      </c>
      <c r="H162" t="inlineStr">
        <is>
          <t>00</t>
        </is>
      </c>
      <c r="I162" t="inlineStr">
        <is>
          <t>00</t>
        </is>
      </c>
      <c r="J162" t="inlineStr">
        <is>
          <t>SIN PRODUCTO DANE</t>
        </is>
      </c>
      <c r="K162" t="inlineStr">
        <is>
          <t>00</t>
        </is>
      </c>
      <c r="L162" t="inlineStr">
        <is>
          <t>SIN ATRIBUTO</t>
        </is>
      </c>
      <c r="N162" t="inlineStr">
        <is>
          <t>2.3.1.01.01.001.01</t>
        </is>
      </c>
      <c r="O162" t="inlineStr">
        <is>
          <t>SUELDO BASICO</t>
        </is>
      </c>
      <c r="P162" t="inlineStr">
        <is>
          <t>00</t>
        </is>
      </c>
      <c r="Q162" t="inlineStr">
        <is>
          <t>RECURSOS</t>
        </is>
      </c>
      <c r="R162" t="n">
        <v>377192086</v>
      </c>
      <c r="S162" t="n">
        <v>47349971</v>
      </c>
      <c r="T162" t="n">
        <v>47349971</v>
      </c>
      <c r="U162" t="n">
        <v>0</v>
      </c>
      <c r="V162" t="n">
        <v>10000000</v>
      </c>
      <c r="W162" t="n">
        <v>0</v>
      </c>
      <c r="X162" t="n">
        <v>0</v>
      </c>
      <c r="Y162" t="n">
        <v>367192086</v>
      </c>
      <c r="Z162" t="n">
        <v>152739831</v>
      </c>
      <c r="AA162" t="n">
        <v>152739831</v>
      </c>
      <c r="AB162" t="n">
        <v>152739831</v>
      </c>
      <c r="AC162" t="n">
        <v>152739831</v>
      </c>
      <c r="AD162" t="n">
        <v>214452255</v>
      </c>
      <c r="AE162" t="n">
        <v>41.6</v>
      </c>
    </row>
    <row r="163">
      <c r="A163" t="inlineStr">
        <is>
          <t>1 - ADMINISTRACIÓN CENTRAL</t>
        </is>
      </c>
      <c r="B163" t="inlineStr">
        <is>
          <t>00 - SIN SECTOR</t>
        </is>
      </c>
      <c r="C163" t="inlineStr">
        <is>
          <t>00</t>
        </is>
      </c>
      <c r="D163" t="inlineStr">
        <is>
          <t>0000</t>
        </is>
      </c>
      <c r="E163" t="inlineStr">
        <is>
          <t>000000</t>
        </is>
      </c>
      <c r="F163" t="inlineStr">
        <is>
          <t>SIN PRODUCTO</t>
        </is>
      </c>
      <c r="G163" t="inlineStr">
        <is>
          <t>00</t>
        </is>
      </c>
      <c r="H163" t="inlineStr">
        <is>
          <t>00</t>
        </is>
      </c>
      <c r="I163" t="inlineStr">
        <is>
          <t>00</t>
        </is>
      </c>
      <c r="J163" t="inlineStr">
        <is>
          <t>SIN PRODUCTO DANE</t>
        </is>
      </c>
      <c r="K163" t="inlineStr">
        <is>
          <t>00</t>
        </is>
      </c>
      <c r="L163" t="inlineStr">
        <is>
          <t>SIN ATRIBUTO</t>
        </is>
      </c>
      <c r="N163" t="inlineStr">
        <is>
          <t>2.3.1.01.01.001.01.12</t>
        </is>
      </c>
      <c r="O163" t="inlineStr">
        <is>
          <t>JUSTICIA Y DEL DERECHO</t>
        </is>
      </c>
      <c r="P163" t="inlineStr">
        <is>
          <t>00</t>
        </is>
      </c>
      <c r="Q163" t="inlineStr">
        <is>
          <t>RECURSOS</t>
        </is>
      </c>
      <c r="R163" t="n">
        <v>51873994</v>
      </c>
      <c r="S163" t="n">
        <v>47349971</v>
      </c>
      <c r="T163" t="n">
        <v>47349971</v>
      </c>
      <c r="U163" t="n">
        <v>0</v>
      </c>
      <c r="V163" t="n">
        <v>0</v>
      </c>
      <c r="W163" t="n">
        <v>0</v>
      </c>
      <c r="X163" t="n">
        <v>0</v>
      </c>
      <c r="Y163" t="n">
        <v>51873994</v>
      </c>
      <c r="Z163" t="n">
        <v>22620115</v>
      </c>
      <c r="AA163" t="n">
        <v>22620115</v>
      </c>
      <c r="AB163" t="n">
        <v>22620115</v>
      </c>
      <c r="AC163" t="n">
        <v>22620115</v>
      </c>
      <c r="AD163" t="n">
        <v>29253879</v>
      </c>
      <c r="AE163" t="n">
        <v>43.61</v>
      </c>
    </row>
    <row r="164">
      <c r="A164" t="inlineStr">
        <is>
          <t>1 - ADMINISTRACIÓN CENTRAL</t>
        </is>
      </c>
      <c r="B164" t="inlineStr">
        <is>
          <t>12 - JUSTICIA Y DEL DERECHO</t>
        </is>
      </c>
      <c r="C164" t="inlineStr">
        <is>
          <t>0800</t>
        </is>
      </c>
      <c r="D164" t="inlineStr">
        <is>
          <t>1202</t>
        </is>
      </c>
      <c r="E164" t="inlineStr">
        <is>
          <t>1202002</t>
        </is>
      </c>
      <c r="F164" t="inlineStr">
        <is>
          <t>SERVICIO DE JUSTICIA A LOS CIUDADANOS</t>
        </is>
      </c>
      <c r="G164" t="inlineStr">
        <is>
          <t>2024546600041</t>
        </is>
      </c>
      <c r="H164" t="inlineStr">
        <is>
          <t>APOYO PARA LA PROMOCIÓN DEL ACCESO A LA JUSTICIA PDM UNIDOS SOMOS MÁS EN EL MUNICIPIO DE   SALAZAR</t>
        </is>
      </c>
      <c r="I164" t="inlineStr">
        <is>
          <t>00</t>
        </is>
      </c>
      <c r="J164" t="inlineStr">
        <is>
          <t>SIN PRODUCTO DANE</t>
        </is>
      </c>
      <c r="K164" t="inlineStr">
        <is>
          <t>00</t>
        </is>
      </c>
      <c r="L164" t="inlineStr">
        <is>
          <t>SIN ATRIBUTO</t>
        </is>
      </c>
      <c r="N164" t="inlineStr">
        <is>
          <t>2.3.1.01.01.001.01.12.01</t>
        </is>
      </c>
      <c r="O164" t="inlineStr">
        <is>
          <t>Sueldo basico - CORREGIDOR</t>
        </is>
      </c>
      <c r="P164" t="inlineStr">
        <is>
          <t>360</t>
        </is>
      </c>
      <c r="Q164" t="inlineStr">
        <is>
          <t>SGP PROPOSITO GENERAL 42 POR CIENTO RECURSOS LIBRE DESTINACION SGP PROPOSITO GENERAL MPIOS DE CATEGORIA 4 5 Y 6 SGP ONCE</t>
        </is>
      </c>
      <c r="R164" t="n">
        <v>51873994</v>
      </c>
      <c r="S164" t="n">
        <v>0</v>
      </c>
      <c r="T164" t="n">
        <v>47349971</v>
      </c>
      <c r="U164" t="n">
        <v>0</v>
      </c>
      <c r="V164" t="n">
        <v>0</v>
      </c>
      <c r="W164" t="n">
        <v>0</v>
      </c>
      <c r="X164" t="n">
        <v>0</v>
      </c>
      <c r="Y164" t="n">
        <v>4524023</v>
      </c>
      <c r="Z164" t="n">
        <v>4524023</v>
      </c>
      <c r="AA164" t="n">
        <v>4524023</v>
      </c>
      <c r="AB164" t="n">
        <v>4524023</v>
      </c>
      <c r="AC164" t="n">
        <v>4524023</v>
      </c>
      <c r="AD164" t="n">
        <v>0</v>
      </c>
      <c r="AE164" t="n">
        <v>100</v>
      </c>
    </row>
    <row r="165">
      <c r="A165" t="inlineStr">
        <is>
          <t>1 - ADMINISTRACIÓN CENTRAL</t>
        </is>
      </c>
      <c r="B165" t="inlineStr">
        <is>
          <t>12 - JUSTICIA Y DEL DERECHO</t>
        </is>
      </c>
      <c r="C165" t="inlineStr">
        <is>
          <t>0800</t>
        </is>
      </c>
      <c r="D165" t="inlineStr">
        <is>
          <t>1202</t>
        </is>
      </c>
      <c r="E165" t="inlineStr">
        <is>
          <t>1202002</t>
        </is>
      </c>
      <c r="F165" t="inlineStr">
        <is>
          <t>SERVICIO DE JUSTICIA A LOS CIUDADANOS</t>
        </is>
      </c>
      <c r="G165" t="inlineStr">
        <is>
          <t>2024546600041</t>
        </is>
      </c>
      <c r="H165" t="inlineStr">
        <is>
          <t>APOYO PARA LA PROMOCIÓN DEL ACCESO A LA JUSTICIA PDM UNIDOS SOMOS MÁS EN EL MUNICIPIO DE   SALAZAR</t>
        </is>
      </c>
      <c r="I165" t="inlineStr">
        <is>
          <t>00</t>
        </is>
      </c>
      <c r="J165" t="inlineStr">
        <is>
          <t>SIN PRODUCTO DANE</t>
        </is>
      </c>
      <c r="K165" t="inlineStr">
        <is>
          <t>00</t>
        </is>
      </c>
      <c r="L165" t="inlineStr">
        <is>
          <t>SIN ATRIBUTO</t>
        </is>
      </c>
      <c r="N165" t="inlineStr">
        <is>
          <t>2.3.1.01.01.001.01.12.02</t>
        </is>
      </c>
      <c r="O165" t="inlineStr">
        <is>
          <t>Sueldo basico - CORREGIDOR</t>
        </is>
      </c>
      <c r="P165" t="inlineStr">
        <is>
          <t>410</t>
        </is>
      </c>
      <c r="Q165" t="inlineStr">
        <is>
          <t>SGP PROPOSITO GENERAL FORZOSA INVERSION LIBRE INVERSIÓN SALDOS NO EJECUTADOS NI INCORPORADOS VIGENCIAS ANTERIORES Y REIN</t>
        </is>
      </c>
      <c r="R165" t="n">
        <v>0</v>
      </c>
      <c r="S165" t="n">
        <v>47349971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47349971</v>
      </c>
      <c r="Z165" t="n">
        <v>18096092</v>
      </c>
      <c r="AA165" t="n">
        <v>18096092</v>
      </c>
      <c r="AB165" t="n">
        <v>18096092</v>
      </c>
      <c r="AC165" t="n">
        <v>18096092</v>
      </c>
      <c r="AD165" t="n">
        <v>29253879</v>
      </c>
      <c r="AE165" t="n">
        <v>38.22</v>
      </c>
    </row>
    <row r="166">
      <c r="A166" t="inlineStr">
        <is>
          <t>1 - ADMINISTRACIÓN CENTRAL</t>
        </is>
      </c>
      <c r="B166" t="inlineStr">
        <is>
          <t>00 - SIN SECTOR</t>
        </is>
      </c>
      <c r="C166" t="inlineStr">
        <is>
          <t>00</t>
        </is>
      </c>
      <c r="D166" t="inlineStr">
        <is>
          <t>0000</t>
        </is>
      </c>
      <c r="E166" t="inlineStr">
        <is>
          <t>000000</t>
        </is>
      </c>
      <c r="F166" t="inlineStr">
        <is>
          <t>SIN PRODUCTO</t>
        </is>
      </c>
      <c r="G166" t="inlineStr">
        <is>
          <t>00</t>
        </is>
      </c>
      <c r="H166" t="inlineStr">
        <is>
          <t>00</t>
        </is>
      </c>
      <c r="I166" t="inlineStr">
        <is>
          <t>00</t>
        </is>
      </c>
      <c r="J166" t="inlineStr">
        <is>
          <t>SIN PRODUCTO DANE</t>
        </is>
      </c>
      <c r="K166" t="inlineStr">
        <is>
          <t>00</t>
        </is>
      </c>
      <c r="L166" t="inlineStr">
        <is>
          <t>SIN ATRIBUTO</t>
        </is>
      </c>
      <c r="N166" t="inlineStr">
        <is>
          <t>2.3.1.01.01.001.01.17</t>
        </is>
      </c>
      <c r="O166" t="inlineStr">
        <is>
          <t>AGRICULTURA Y DESARROLLO RURAL</t>
        </is>
      </c>
      <c r="P166" t="inlineStr">
        <is>
          <t>00</t>
        </is>
      </c>
      <c r="Q166" t="inlineStr">
        <is>
          <t>RECURSOS</t>
        </is>
      </c>
      <c r="R166" t="n">
        <v>150791956</v>
      </c>
      <c r="S166" t="n">
        <v>0</v>
      </c>
      <c r="T166" t="n">
        <v>0</v>
      </c>
      <c r="U166" t="n">
        <v>0</v>
      </c>
      <c r="V166" t="n">
        <v>10000000</v>
      </c>
      <c r="W166" t="n">
        <v>0</v>
      </c>
      <c r="X166" t="n">
        <v>0</v>
      </c>
      <c r="Y166" t="n">
        <v>140791956</v>
      </c>
      <c r="Z166" t="n">
        <v>58126726</v>
      </c>
      <c r="AA166" t="n">
        <v>58126726</v>
      </c>
      <c r="AB166" t="n">
        <v>58126726</v>
      </c>
      <c r="AC166" t="n">
        <v>58126726</v>
      </c>
      <c r="AD166" t="n">
        <v>82665230</v>
      </c>
      <c r="AE166" t="n">
        <v>41.29</v>
      </c>
    </row>
    <row r="167">
      <c r="A167" t="inlineStr">
        <is>
          <t>1 - ADMINISTRACIÓN CENTRAL</t>
        </is>
      </c>
      <c r="B167" t="inlineStr">
        <is>
          <t>17 - AGRICULTURA Y DESARROLLO RURAL</t>
        </is>
      </c>
      <c r="C167" t="inlineStr">
        <is>
          <t>1100</t>
        </is>
      </c>
      <c r="D167" t="inlineStr">
        <is>
          <t>1702</t>
        </is>
      </c>
      <c r="E167" t="inlineStr">
        <is>
          <t>1702010</t>
        </is>
      </c>
      <c r="F167" t="inlineStr">
        <is>
          <t>SERVICIO DE ASISTENCIA TÉCNICA AGROPECUARIA DIRIGIDA A PEQUEÑOS PRODUCTORES</t>
        </is>
      </c>
      <c r="G167" t="inlineStr">
        <is>
          <t>2024546600043</t>
        </is>
      </c>
      <c r="H167" t="inlineStr">
        <is>
          <t>APOYO PARA LA INCLUSIÓN PRODUCTIVA DE PEQUEÑOS PRODUCTORES RURALES PDM UNIDOS SOMOS MÁS EN EL MUNICIPIO DE  SALAZAR</t>
        </is>
      </c>
      <c r="I167" t="inlineStr">
        <is>
          <t>00</t>
        </is>
      </c>
      <c r="J167" t="inlineStr">
        <is>
          <t>SIN PRODUCTO DANE</t>
        </is>
      </c>
      <c r="K167" t="inlineStr">
        <is>
          <t>00</t>
        </is>
      </c>
      <c r="L167" t="inlineStr">
        <is>
          <t>SIN ATRIBUTO</t>
        </is>
      </c>
      <c r="N167" t="inlineStr">
        <is>
          <t>2.3.1.01.01.001.01.17.01</t>
        </is>
      </c>
      <c r="O167" t="inlineStr">
        <is>
          <t>Sueldo basico - UMATA</t>
        </is>
      </c>
      <c r="P167" t="inlineStr">
        <is>
          <t>420</t>
        </is>
      </c>
      <c r="Q167" t="inlineStr">
        <is>
          <t>SGP PROPOSITO GENERAL FORZOSA INVERSION LIBRE INVERSIÓN SGP ONCE DOCEAVAS VIGENCIA ACTUAL MAS ULTIMA DOCEAVA VIGENCIA AN</t>
        </is>
      </c>
      <c r="R167" t="n">
        <v>150791956</v>
      </c>
      <c r="S167" t="n">
        <v>0</v>
      </c>
      <c r="T167" t="n">
        <v>0</v>
      </c>
      <c r="U167" t="n">
        <v>0</v>
      </c>
      <c r="V167" t="n">
        <v>10000000</v>
      </c>
      <c r="W167" t="n">
        <v>0</v>
      </c>
      <c r="X167" t="n">
        <v>0</v>
      </c>
      <c r="Y167" t="n">
        <v>140791956</v>
      </c>
      <c r="Z167" t="n">
        <v>58126726</v>
      </c>
      <c r="AA167" t="n">
        <v>58126726</v>
      </c>
      <c r="AB167" t="n">
        <v>58126726</v>
      </c>
      <c r="AC167" t="n">
        <v>58126726</v>
      </c>
      <c r="AD167" t="n">
        <v>82665230</v>
      </c>
      <c r="AE167" t="n">
        <v>41.29</v>
      </c>
    </row>
    <row r="168">
      <c r="A168" t="inlineStr">
        <is>
          <t>1 - ADMINISTRACIÓN CENTRAL</t>
        </is>
      </c>
      <c r="B168" t="inlineStr">
        <is>
          <t>00 - SIN SECTOR</t>
        </is>
      </c>
      <c r="C168" t="inlineStr">
        <is>
          <t>00</t>
        </is>
      </c>
      <c r="D168" t="inlineStr">
        <is>
          <t>0000</t>
        </is>
      </c>
      <c r="E168" t="inlineStr">
        <is>
          <t>000000</t>
        </is>
      </c>
      <c r="F168" t="inlineStr">
        <is>
          <t>SIN PRODUCTO</t>
        </is>
      </c>
      <c r="G168" t="inlineStr">
        <is>
          <t>00</t>
        </is>
      </c>
      <c r="H168" t="inlineStr">
        <is>
          <t>00</t>
        </is>
      </c>
      <c r="I168" t="inlineStr">
        <is>
          <t>00</t>
        </is>
      </c>
      <c r="J168" t="inlineStr">
        <is>
          <t>SIN PRODUCTO DANE</t>
        </is>
      </c>
      <c r="K168" t="inlineStr">
        <is>
          <t>00</t>
        </is>
      </c>
      <c r="L168" t="inlineStr">
        <is>
          <t>SIN ATRIBUTO</t>
        </is>
      </c>
      <c r="N168" t="inlineStr">
        <is>
          <t>2.3.1.01.01.001.01.45</t>
        </is>
      </c>
      <c r="O168" t="inlineStr">
        <is>
          <t>GOBIERNO TERRITORIAL</t>
        </is>
      </c>
      <c r="P168" t="inlineStr">
        <is>
          <t>00</t>
        </is>
      </c>
      <c r="Q168" t="inlineStr">
        <is>
          <t>RECURSOS</t>
        </is>
      </c>
      <c r="R168" t="n">
        <v>174526136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174526136</v>
      </c>
      <c r="Z168" t="n">
        <v>71992990</v>
      </c>
      <c r="AA168" t="n">
        <v>71992990</v>
      </c>
      <c r="AB168" t="n">
        <v>71992990</v>
      </c>
      <c r="AC168" t="n">
        <v>71992990</v>
      </c>
      <c r="AD168" t="n">
        <v>102533146</v>
      </c>
      <c r="AE168" t="n">
        <v>41.25</v>
      </c>
    </row>
    <row r="169">
      <c r="A169" t="inlineStr">
        <is>
          <t>1 - ADMINISTRACIÓN CENTRAL</t>
        </is>
      </c>
      <c r="B169" t="inlineStr">
        <is>
          <t>45 - GOBIERNO TERRITORIAL</t>
        </is>
      </c>
      <c r="C169" t="inlineStr">
        <is>
          <t>1000</t>
        </is>
      </c>
      <c r="D169" t="inlineStr">
        <is>
          <t>4501</t>
        </is>
      </c>
      <c r="E169" t="inlineStr">
        <is>
          <t>4501082</t>
        </is>
      </c>
      <c r="F169" t="inlineStr">
        <is>
          <t>SERVICIO DE APOYO PARA LA ATENCIÓN ESPECIALIZADA E INTERDISCIPLINARIA EN LAS COMISARIAS DE FAMILIA</t>
        </is>
      </c>
      <c r="G169" t="inlineStr">
        <is>
          <t>2024546600072</t>
        </is>
      </c>
      <c r="H169" t="inlineStr">
        <is>
          <t>FORTALECIMIENTO DE LA CONVIVENCIA Y LA SEGURIDAD CIUDADANA PDM UNIDOS SOMOS MÁS EN EL MUNICIPIO DE  SALAZAR</t>
        </is>
      </c>
      <c r="I169" t="inlineStr">
        <is>
          <t>00</t>
        </is>
      </c>
      <c r="J169" t="inlineStr">
        <is>
          <t>SIN PRODUCTO DANE</t>
        </is>
      </c>
      <c r="K169" t="inlineStr">
        <is>
          <t>00</t>
        </is>
      </c>
      <c r="L169" t="inlineStr">
        <is>
          <t>SIN ATRIBUTO</t>
        </is>
      </c>
      <c r="N169" t="inlineStr">
        <is>
          <t>2.3.1.01.01.001.01.45.01</t>
        </is>
      </c>
      <c r="O169" t="inlineStr">
        <is>
          <t>Sueldo basico - COMISARIA DE FAMILIA</t>
        </is>
      </c>
      <c r="P169" t="inlineStr">
        <is>
          <t>153</t>
        </is>
      </c>
      <c r="Q169" t="inlineStr">
        <is>
          <t>Estampilla para la justicia familiar</t>
        </is>
      </c>
      <c r="R169" t="n">
        <v>43639887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43639887</v>
      </c>
      <c r="Z169" t="n">
        <v>43488686</v>
      </c>
      <c r="AA169" t="n">
        <v>43488686</v>
      </c>
      <c r="AB169" t="n">
        <v>43488686</v>
      </c>
      <c r="AC169" t="n">
        <v>43488686</v>
      </c>
      <c r="AD169" t="n">
        <v>151201</v>
      </c>
      <c r="AE169" t="n">
        <v>99.65000000000001</v>
      </c>
    </row>
    <row r="170">
      <c r="A170" t="inlineStr">
        <is>
          <t>1 - ADMINISTRACIÓN CENTRAL</t>
        </is>
      </c>
      <c r="B170" t="inlineStr">
        <is>
          <t>45 - GOBIERNO TERRITORIAL</t>
        </is>
      </c>
      <c r="C170" t="inlineStr">
        <is>
          <t>1000</t>
        </is>
      </c>
      <c r="D170" t="inlineStr">
        <is>
          <t>4501</t>
        </is>
      </c>
      <c r="E170" t="inlineStr">
        <is>
          <t>4501082</t>
        </is>
      </c>
      <c r="F170" t="inlineStr">
        <is>
          <t>SERVICIO DE APOYO PARA LA ATENCIÓN ESPECIALIZADA E INTERDISCIPLINARIA EN LAS COMISARIAS DE FAMILIA</t>
        </is>
      </c>
      <c r="G170" t="inlineStr">
        <is>
          <t>2024546600072</t>
        </is>
      </c>
      <c r="H170" t="inlineStr">
        <is>
          <t>FORTALECIMIENTO DE LA CONVIVENCIA Y LA SEGURIDAD CIUDADANA PDM UNIDOS SOMOS MÁS EN EL MUNICIPIO DE  SALAZAR</t>
        </is>
      </c>
      <c r="I170" t="inlineStr">
        <is>
          <t>00</t>
        </is>
      </c>
      <c r="J170" t="inlineStr">
        <is>
          <t>SIN PRODUCTO DANE</t>
        </is>
      </c>
      <c r="K170" t="inlineStr">
        <is>
          <t>00</t>
        </is>
      </c>
      <c r="L170" t="inlineStr">
        <is>
          <t>SIN ATRIBUTO</t>
        </is>
      </c>
      <c r="N170" t="inlineStr">
        <is>
          <t>2.3.1.01.01.001.01.45.02</t>
        </is>
      </c>
      <c r="O170" t="inlineStr">
        <is>
          <t>Sueldo basico - COMISARIA DE FAMILIA</t>
        </is>
      </c>
      <c r="P170" t="inlineStr">
        <is>
          <t>153.2</t>
        </is>
      </c>
      <c r="Q170" t="inlineStr">
        <is>
          <t>RF Estampilla Justicia Familiar</t>
        </is>
      </c>
      <c r="R170" t="n">
        <v>100000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100000</v>
      </c>
      <c r="Z170" t="n">
        <v>0</v>
      </c>
      <c r="AA170" t="n">
        <v>0</v>
      </c>
      <c r="AB170" t="n">
        <v>0</v>
      </c>
      <c r="AC170" t="n">
        <v>0</v>
      </c>
      <c r="AD170" t="n">
        <v>100000</v>
      </c>
      <c r="AE170" t="n">
        <v>0</v>
      </c>
    </row>
    <row r="171">
      <c r="A171" t="inlineStr">
        <is>
          <t>1 - ADMINISTRACIÓN CENTRAL</t>
        </is>
      </c>
      <c r="B171" t="inlineStr">
        <is>
          <t>45 - GOBIERNO TERRITORIAL</t>
        </is>
      </c>
      <c r="C171" t="inlineStr">
        <is>
          <t>1000</t>
        </is>
      </c>
      <c r="D171" t="inlineStr">
        <is>
          <t>4501</t>
        </is>
      </c>
      <c r="E171" t="inlineStr">
        <is>
          <t>4501082</t>
        </is>
      </c>
      <c r="F171" t="inlineStr">
        <is>
          <t>SERVICIO DE APOYO PARA LA ATENCIÓN ESPECIALIZADA E INTERDISCIPLINARIA EN LAS COMISARIAS DE FAMILIA</t>
        </is>
      </c>
      <c r="G171" t="inlineStr">
        <is>
          <t>2024546600072</t>
        </is>
      </c>
      <c r="H171" t="inlineStr">
        <is>
          <t>FORTALECIMIENTO DE LA CONVIVENCIA Y LA SEGURIDAD CIUDADANA PDM UNIDOS SOMOS MÁS EN EL MUNICIPIO DE  SALAZAR</t>
        </is>
      </c>
      <c r="I171" t="inlineStr">
        <is>
          <t>00</t>
        </is>
      </c>
      <c r="J171" t="inlineStr">
        <is>
          <t>SIN PRODUCTO DANE</t>
        </is>
      </c>
      <c r="K171" t="inlineStr">
        <is>
          <t>00</t>
        </is>
      </c>
      <c r="L171" t="inlineStr">
        <is>
          <t>SIN ATRIBUTO</t>
        </is>
      </c>
      <c r="N171" t="inlineStr">
        <is>
          <t>2.3.1.01.01.001.01.45.03</t>
        </is>
      </c>
      <c r="O171" t="inlineStr">
        <is>
          <t>Sueldo basico - COMISARIA DE FAMILIA</t>
        </is>
      </c>
      <c r="P171" t="inlineStr">
        <is>
          <t>420</t>
        </is>
      </c>
      <c r="Q171" t="inlineStr">
        <is>
          <t>SGP PROPOSITO GENERAL FORZOSA INVERSION LIBRE INVERSIÓN SGP ONCE DOCEAVAS VIGENCIA ACTUAL MAS ULTIMA DOCEAVA VIGENCIA AN</t>
        </is>
      </c>
      <c r="R171" t="n">
        <v>130786249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130786249</v>
      </c>
      <c r="Z171" t="n">
        <v>28504304</v>
      </c>
      <c r="AA171" t="n">
        <v>28504304</v>
      </c>
      <c r="AB171" t="n">
        <v>28504304</v>
      </c>
      <c r="AC171" t="n">
        <v>28504304</v>
      </c>
      <c r="AD171" t="n">
        <v>102281945</v>
      </c>
      <c r="AE171" t="n">
        <v>21.79</v>
      </c>
    </row>
    <row r="172">
      <c r="A172" t="inlineStr">
        <is>
          <t>1 - ADMINISTRACIÓN CENTRAL</t>
        </is>
      </c>
      <c r="B172" t="inlineStr">
        <is>
          <t>00 - SIN SECTOR</t>
        </is>
      </c>
      <c r="C172" t="inlineStr">
        <is>
          <t>00</t>
        </is>
      </c>
      <c r="D172" t="inlineStr">
        <is>
          <t>0000</t>
        </is>
      </c>
      <c r="E172" t="inlineStr">
        <is>
          <t>000000</t>
        </is>
      </c>
      <c r="F172" t="inlineStr">
        <is>
          <t>SIN PRODUCTO</t>
        </is>
      </c>
      <c r="G172" t="inlineStr">
        <is>
          <t>00</t>
        </is>
      </c>
      <c r="H172" t="inlineStr">
        <is>
          <t>00</t>
        </is>
      </c>
      <c r="I172" t="inlineStr">
        <is>
          <t>00</t>
        </is>
      </c>
      <c r="J172" t="inlineStr">
        <is>
          <t>SIN PRODUCTO DANE</t>
        </is>
      </c>
      <c r="K172" t="inlineStr">
        <is>
          <t>00</t>
        </is>
      </c>
      <c r="L172" t="inlineStr">
        <is>
          <t>SIN ATRIBUTO</t>
        </is>
      </c>
      <c r="N172" t="inlineStr">
        <is>
          <t>2.3.1.01.01.001.04</t>
        </is>
      </c>
      <c r="O172" t="inlineStr">
        <is>
          <t>SUBSIDIO DE ALIMENTACION</t>
        </is>
      </c>
      <c r="P172" t="inlineStr">
        <is>
          <t>00</t>
        </is>
      </c>
      <c r="Q172" t="inlineStr">
        <is>
          <t>RECURSOS</t>
        </is>
      </c>
      <c r="R172" t="n">
        <v>12702740</v>
      </c>
      <c r="S172" t="n">
        <v>7186348</v>
      </c>
      <c r="T172" t="n">
        <v>7186348</v>
      </c>
      <c r="U172" t="n">
        <v>0</v>
      </c>
      <c r="V172" t="n">
        <v>0</v>
      </c>
      <c r="W172" t="n">
        <v>0</v>
      </c>
      <c r="X172" t="n">
        <v>0</v>
      </c>
      <c r="Y172" t="n">
        <v>12702740</v>
      </c>
      <c r="Z172" t="n">
        <v>4890596</v>
      </c>
      <c r="AA172" t="n">
        <v>4890596</v>
      </c>
      <c r="AB172" t="n">
        <v>4890596</v>
      </c>
      <c r="AC172" t="n">
        <v>4890596</v>
      </c>
      <c r="AD172" t="n">
        <v>7812144</v>
      </c>
      <c r="AE172" t="n">
        <v>38.5</v>
      </c>
    </row>
    <row r="173">
      <c r="A173" t="inlineStr">
        <is>
          <t>1 - ADMINISTRACIÓN CENTRAL</t>
        </is>
      </c>
      <c r="B173" t="inlineStr">
        <is>
          <t>00 - SIN SECTOR</t>
        </is>
      </c>
      <c r="C173" t="inlineStr">
        <is>
          <t>00</t>
        </is>
      </c>
      <c r="D173" t="inlineStr">
        <is>
          <t>0000</t>
        </is>
      </c>
      <c r="E173" t="inlineStr">
        <is>
          <t>000000</t>
        </is>
      </c>
      <c r="F173" t="inlineStr">
        <is>
          <t>SIN PRODUCTO</t>
        </is>
      </c>
      <c r="G173" t="inlineStr">
        <is>
          <t>00</t>
        </is>
      </c>
      <c r="H173" t="inlineStr">
        <is>
          <t>00</t>
        </is>
      </c>
      <c r="I173" t="inlineStr">
        <is>
          <t>00</t>
        </is>
      </c>
      <c r="J173" t="inlineStr">
        <is>
          <t>SIN PRODUCTO DANE</t>
        </is>
      </c>
      <c r="K173" t="inlineStr">
        <is>
          <t>00</t>
        </is>
      </c>
      <c r="L173" t="inlineStr">
        <is>
          <t>SIN ATRIBUTO</t>
        </is>
      </c>
      <c r="N173" t="inlineStr">
        <is>
          <t>2.3.1.01.01.001.04.12</t>
        </is>
      </c>
      <c r="O173" t="inlineStr">
        <is>
          <t>JUSTICIA Y DEL DERECHO</t>
        </is>
      </c>
      <c r="P173" t="inlineStr">
        <is>
          <t>00</t>
        </is>
      </c>
      <c r="Q173" t="inlineStr">
        <is>
          <t>RECURSOS</t>
        </is>
      </c>
      <c r="R173" t="n">
        <v>2540548</v>
      </c>
      <c r="S173" t="n">
        <v>2342686</v>
      </c>
      <c r="T173" t="n">
        <v>2342686</v>
      </c>
      <c r="U173" t="n">
        <v>0</v>
      </c>
      <c r="V173" t="n">
        <v>0</v>
      </c>
      <c r="W173" t="n">
        <v>0</v>
      </c>
      <c r="X173" t="n">
        <v>0</v>
      </c>
      <c r="Y173" t="n">
        <v>2540548</v>
      </c>
      <c r="Z173" t="n">
        <v>1058570</v>
      </c>
      <c r="AA173" t="n">
        <v>1058570</v>
      </c>
      <c r="AB173" t="n">
        <v>1058570</v>
      </c>
      <c r="AC173" t="n">
        <v>1058570</v>
      </c>
      <c r="AD173" t="n">
        <v>1481978</v>
      </c>
      <c r="AE173" t="n">
        <v>41.67</v>
      </c>
    </row>
    <row r="174">
      <c r="A174" t="inlineStr">
        <is>
          <t>1 - ADMINISTRACIÓN CENTRAL</t>
        </is>
      </c>
      <c r="B174" t="inlineStr">
        <is>
          <t>12 - JUSTICIA Y DEL DERECHO</t>
        </is>
      </c>
      <c r="C174" t="inlineStr">
        <is>
          <t>0800</t>
        </is>
      </c>
      <c r="D174" t="inlineStr">
        <is>
          <t>1202</t>
        </is>
      </c>
      <c r="E174" t="inlineStr">
        <is>
          <t>1202002</t>
        </is>
      </c>
      <c r="F174" t="inlineStr">
        <is>
          <t>SERVICIO DE JUSTICIA A LOS CIUDADANOS</t>
        </is>
      </c>
      <c r="G174" t="inlineStr">
        <is>
          <t>2024546600041</t>
        </is>
      </c>
      <c r="H174" t="inlineStr">
        <is>
          <t>APOYO PARA LA PROMOCIÓN DEL ACCESO A LA JUSTICIA PDM UNIDOS SOMOS MÁS EN EL MUNICIPIO DE   SALAZAR</t>
        </is>
      </c>
      <c r="I174" t="inlineStr">
        <is>
          <t>00</t>
        </is>
      </c>
      <c r="J174" t="inlineStr">
        <is>
          <t>SIN PRODUCTO DANE</t>
        </is>
      </c>
      <c r="K174" t="inlineStr">
        <is>
          <t>00</t>
        </is>
      </c>
      <c r="L174" t="inlineStr">
        <is>
          <t>SIN ATRIBUTO</t>
        </is>
      </c>
      <c r="N174" t="inlineStr">
        <is>
          <t>2.3.1.01.01.001.04.12.01</t>
        </is>
      </c>
      <c r="O174" t="inlineStr">
        <is>
          <t>Subsidio de alimentacion - CORREGIDOR</t>
        </is>
      </c>
      <c r="P174" t="inlineStr">
        <is>
          <t>360</t>
        </is>
      </c>
      <c r="Q174" t="inlineStr">
        <is>
          <t>SGP PROPOSITO GENERAL 42 POR CIENTO RECURSOS LIBRE DESTINACION SGP PROPOSITO GENERAL MPIOS DE CATEGORIA 4 5 Y 6 SGP ONCE</t>
        </is>
      </c>
      <c r="R174" t="n">
        <v>2540548</v>
      </c>
      <c r="S174" t="n">
        <v>0</v>
      </c>
      <c r="T174" t="n">
        <v>2342686</v>
      </c>
      <c r="U174" t="n">
        <v>0</v>
      </c>
      <c r="V174" t="n">
        <v>0</v>
      </c>
      <c r="W174" t="n">
        <v>0</v>
      </c>
      <c r="X174" t="n">
        <v>0</v>
      </c>
      <c r="Y174" t="n">
        <v>197862</v>
      </c>
      <c r="Z174" t="n">
        <v>197862</v>
      </c>
      <c r="AA174" t="n">
        <v>197862</v>
      </c>
      <c r="AB174" t="n">
        <v>197862</v>
      </c>
      <c r="AC174" t="n">
        <v>197862</v>
      </c>
      <c r="AD174" t="n">
        <v>0</v>
      </c>
      <c r="AE174" t="n">
        <v>100</v>
      </c>
    </row>
    <row r="175">
      <c r="A175" t="inlineStr">
        <is>
          <t>1 - ADMINISTRACIÓN CENTRAL</t>
        </is>
      </c>
      <c r="B175" t="inlineStr">
        <is>
          <t>12 - JUSTICIA Y DEL DERECHO</t>
        </is>
      </c>
      <c r="C175" t="inlineStr">
        <is>
          <t>0800</t>
        </is>
      </c>
      <c r="D175" t="inlineStr">
        <is>
          <t>1202</t>
        </is>
      </c>
      <c r="E175" t="inlineStr">
        <is>
          <t>1202002</t>
        </is>
      </c>
      <c r="F175" t="inlineStr">
        <is>
          <t>SERVICIO DE JUSTICIA A LOS CIUDADANOS</t>
        </is>
      </c>
      <c r="G175" t="inlineStr">
        <is>
          <t>2024546600041</t>
        </is>
      </c>
      <c r="H175" t="inlineStr">
        <is>
          <t>APOYO PARA LA PROMOCIÓN DEL ACCESO A LA JUSTICIA PDM UNIDOS SOMOS MÁS EN EL MUNICIPIO DE   SALAZAR</t>
        </is>
      </c>
      <c r="I175" t="inlineStr">
        <is>
          <t>00</t>
        </is>
      </c>
      <c r="J175" t="inlineStr">
        <is>
          <t>SIN PRODUCTO DANE</t>
        </is>
      </c>
      <c r="K175" t="inlineStr">
        <is>
          <t>00</t>
        </is>
      </c>
      <c r="L175" t="inlineStr">
        <is>
          <t>SIN ATRIBUTO</t>
        </is>
      </c>
      <c r="N175" t="inlineStr">
        <is>
          <t>2.3.1.01.01.001.04.12.02</t>
        </is>
      </c>
      <c r="O175" t="inlineStr">
        <is>
          <t>Subsidio de alimentacion - CORREGIDOR</t>
        </is>
      </c>
      <c r="P175" t="inlineStr">
        <is>
          <t>410</t>
        </is>
      </c>
      <c r="Q175" t="inlineStr">
        <is>
          <t>SGP PROPOSITO GENERAL FORZOSA INVERSION LIBRE INVERSIÓN SALDOS NO EJECUTADOS NI INCORPORADOS VIGENCIAS ANTERIORES Y REIN</t>
        </is>
      </c>
      <c r="R175" t="n">
        <v>0</v>
      </c>
      <c r="S175" t="n">
        <v>2342686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2342686</v>
      </c>
      <c r="Z175" t="n">
        <v>860708</v>
      </c>
      <c r="AA175" t="n">
        <v>860708</v>
      </c>
      <c r="AB175" t="n">
        <v>860708</v>
      </c>
      <c r="AC175" t="n">
        <v>860708</v>
      </c>
      <c r="AD175" t="n">
        <v>1481978</v>
      </c>
      <c r="AE175" t="n">
        <v>36.74</v>
      </c>
    </row>
    <row r="176">
      <c r="A176" t="inlineStr">
        <is>
          <t>1 - ADMINISTRACIÓN CENTRAL</t>
        </is>
      </c>
      <c r="B176" t="inlineStr">
        <is>
          <t>00 - SIN SECTOR</t>
        </is>
      </c>
      <c r="C176" t="inlineStr">
        <is>
          <t>00</t>
        </is>
      </c>
      <c r="D176" t="inlineStr">
        <is>
          <t>0000</t>
        </is>
      </c>
      <c r="E176" t="inlineStr">
        <is>
          <t>000000</t>
        </is>
      </c>
      <c r="F176" t="inlineStr">
        <is>
          <t>SIN PRODUCTO</t>
        </is>
      </c>
      <c r="G176" t="inlineStr">
        <is>
          <t>00</t>
        </is>
      </c>
      <c r="H176" t="inlineStr">
        <is>
          <t>00</t>
        </is>
      </c>
      <c r="I176" t="inlineStr">
        <is>
          <t>00</t>
        </is>
      </c>
      <c r="J176" t="inlineStr">
        <is>
          <t>SIN PRODUCTO DANE</t>
        </is>
      </c>
      <c r="K176" t="inlineStr">
        <is>
          <t>00</t>
        </is>
      </c>
      <c r="L176" t="inlineStr">
        <is>
          <t>SIN ATRIBUTO</t>
        </is>
      </c>
      <c r="N176" t="inlineStr">
        <is>
          <t>2.3.1.01.01.001.04.17</t>
        </is>
      </c>
      <c r="O176" t="inlineStr">
        <is>
          <t>AGRICULTURA Y DESARROLLO RURAL</t>
        </is>
      </c>
      <c r="P176" t="inlineStr">
        <is>
          <t>00</t>
        </is>
      </c>
      <c r="Q176" t="inlineStr">
        <is>
          <t>RECURSOS</t>
        </is>
      </c>
      <c r="R176" t="n">
        <v>5081096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5081096</v>
      </c>
      <c r="Z176" t="n">
        <v>1894842</v>
      </c>
      <c r="AA176" t="n">
        <v>1894842</v>
      </c>
      <c r="AB176" t="n">
        <v>1894842</v>
      </c>
      <c r="AC176" t="n">
        <v>1894842</v>
      </c>
      <c r="AD176" t="n">
        <v>3186254</v>
      </c>
      <c r="AE176" t="n">
        <v>37.29</v>
      </c>
    </row>
    <row r="177">
      <c r="A177" t="inlineStr">
        <is>
          <t>1 - ADMINISTRACIÓN CENTRAL</t>
        </is>
      </c>
      <c r="B177" t="inlineStr">
        <is>
          <t>17 - AGRICULTURA Y DESARROLLO RURAL</t>
        </is>
      </c>
      <c r="C177" t="inlineStr">
        <is>
          <t>1100</t>
        </is>
      </c>
      <c r="D177" t="inlineStr">
        <is>
          <t>1702</t>
        </is>
      </c>
      <c r="E177" t="inlineStr">
        <is>
          <t>1702010</t>
        </is>
      </c>
      <c r="F177" t="inlineStr">
        <is>
          <t>SERVICIO DE ASISTENCIA TÉCNICA AGROPECUARIA DIRIGIDA A PEQUEÑOS PRODUCTORES</t>
        </is>
      </c>
      <c r="G177" t="inlineStr">
        <is>
          <t>2024546600043</t>
        </is>
      </c>
      <c r="H177" t="inlineStr">
        <is>
          <t>APOYO PARA LA INCLUSIÓN PRODUCTIVA DE PEQUEÑOS PRODUCTORES RURALES PDM UNIDOS SOMOS MÁS EN EL MUNICIPIO DE  SALAZAR</t>
        </is>
      </c>
      <c r="I177" t="inlineStr">
        <is>
          <t>00</t>
        </is>
      </c>
      <c r="J177" t="inlineStr">
        <is>
          <t>SIN PRODUCTO DANE</t>
        </is>
      </c>
      <c r="K177" t="inlineStr">
        <is>
          <t>00</t>
        </is>
      </c>
      <c r="L177" t="inlineStr">
        <is>
          <t>SIN ATRIBUTO</t>
        </is>
      </c>
      <c r="N177" t="inlineStr">
        <is>
          <t>2.3.1.01.01.001.04.17.01</t>
        </is>
      </c>
      <c r="O177" t="inlineStr">
        <is>
          <t>Subsidio de alimentacion - UMATA</t>
        </is>
      </c>
      <c r="P177" t="inlineStr">
        <is>
          <t>420</t>
        </is>
      </c>
      <c r="Q177" t="inlineStr">
        <is>
          <t>SGP PROPOSITO GENERAL FORZOSA INVERSION LIBRE INVERSIÓN SGP ONCE DOCEAVAS VIGENCIA ACTUAL MAS ULTIMA DOCEAVA VIGENCIA AN</t>
        </is>
      </c>
      <c r="R177" t="n">
        <v>5081096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5081096</v>
      </c>
      <c r="Z177" t="n">
        <v>1894842</v>
      </c>
      <c r="AA177" t="n">
        <v>1894842</v>
      </c>
      <c r="AB177" t="n">
        <v>1894842</v>
      </c>
      <c r="AC177" t="n">
        <v>1894842</v>
      </c>
      <c r="AD177" t="n">
        <v>3186254</v>
      </c>
      <c r="AE177" t="n">
        <v>37.29</v>
      </c>
    </row>
    <row r="178">
      <c r="A178" t="inlineStr">
        <is>
          <t>1 - ADMINISTRACIÓN CENTRAL</t>
        </is>
      </c>
      <c r="B178" t="inlineStr">
        <is>
          <t>00 - SIN SECTOR</t>
        </is>
      </c>
      <c r="C178" t="inlineStr">
        <is>
          <t>00</t>
        </is>
      </c>
      <c r="D178" t="inlineStr">
        <is>
          <t>0000</t>
        </is>
      </c>
      <c r="E178" t="inlineStr">
        <is>
          <t>000000</t>
        </is>
      </c>
      <c r="F178" t="inlineStr">
        <is>
          <t>SIN PRODUCTO</t>
        </is>
      </c>
      <c r="G178" t="inlineStr">
        <is>
          <t>00</t>
        </is>
      </c>
      <c r="H178" t="inlineStr">
        <is>
          <t>00</t>
        </is>
      </c>
      <c r="I178" t="inlineStr">
        <is>
          <t>00</t>
        </is>
      </c>
      <c r="J178" t="inlineStr">
        <is>
          <t>SIN PRODUCTO DANE</t>
        </is>
      </c>
      <c r="K178" t="inlineStr">
        <is>
          <t>00</t>
        </is>
      </c>
      <c r="L178" t="inlineStr">
        <is>
          <t>SIN ATRIBUTO</t>
        </is>
      </c>
      <c r="N178" t="inlineStr">
        <is>
          <t>2.3.1.01.01.001.04.45</t>
        </is>
      </c>
      <c r="O178" t="inlineStr">
        <is>
          <t>GOBIERNO TERRITORIAL</t>
        </is>
      </c>
      <c r="P178" t="inlineStr">
        <is>
          <t>00</t>
        </is>
      </c>
      <c r="Q178" t="inlineStr">
        <is>
          <t>RECURSOS</t>
        </is>
      </c>
      <c r="R178" t="n">
        <v>5081096</v>
      </c>
      <c r="S178" t="n">
        <v>4843662</v>
      </c>
      <c r="T178" t="n">
        <v>4843662</v>
      </c>
      <c r="U178" t="n">
        <v>0</v>
      </c>
      <c r="V178" t="n">
        <v>0</v>
      </c>
      <c r="W178" t="n">
        <v>0</v>
      </c>
      <c r="X178" t="n">
        <v>0</v>
      </c>
      <c r="Y178" t="n">
        <v>5081096</v>
      </c>
      <c r="Z178" t="n">
        <v>1937184</v>
      </c>
      <c r="AA178" t="n">
        <v>1937184</v>
      </c>
      <c r="AB178" t="n">
        <v>1937184</v>
      </c>
      <c r="AC178" t="n">
        <v>1937184</v>
      </c>
      <c r="AD178" t="n">
        <v>3143912</v>
      </c>
      <c r="AE178" t="n">
        <v>38.13</v>
      </c>
    </row>
    <row r="179">
      <c r="A179" t="inlineStr">
        <is>
          <t>1 - ADMINISTRACIÓN CENTRAL</t>
        </is>
      </c>
      <c r="B179" t="inlineStr">
        <is>
          <t>45 - GOBIERNO TERRITORIAL</t>
        </is>
      </c>
      <c r="C179" t="inlineStr">
        <is>
          <t>1000</t>
        </is>
      </c>
      <c r="D179" t="inlineStr">
        <is>
          <t>4501</t>
        </is>
      </c>
      <c r="E179" t="inlineStr">
        <is>
          <t>4501082</t>
        </is>
      </c>
      <c r="F179" t="inlineStr">
        <is>
          <t>SERVICIO DE APOYO PARA LA ATENCIÓN ESPECIALIZADA E INTERDISCIPLINARIA EN LAS COMISARIAS DE FAMILIA</t>
        </is>
      </c>
      <c r="G179" t="inlineStr">
        <is>
          <t>2024546600072</t>
        </is>
      </c>
      <c r="H179" t="inlineStr">
        <is>
          <t>FORTALECIMIENTO DE LA CONVIVENCIA Y LA SEGURIDAD CIUDADANA PDM UNIDOS SOMOS MÁS EN EL MUNICIPIO DE  SALAZAR</t>
        </is>
      </c>
      <c r="I179" t="inlineStr">
        <is>
          <t>00</t>
        </is>
      </c>
      <c r="J179" t="inlineStr">
        <is>
          <t>SIN PRODUCTO DANE</t>
        </is>
      </c>
      <c r="K179" t="inlineStr">
        <is>
          <t>00</t>
        </is>
      </c>
      <c r="L179" t="inlineStr">
        <is>
          <t>SIN ATRIBUTO</t>
        </is>
      </c>
      <c r="N179" t="inlineStr">
        <is>
          <t>2.3.1.01.01.001.04.45.01</t>
        </is>
      </c>
      <c r="O179" t="inlineStr">
        <is>
          <t>Subsidio de alimentacion - COMISARIA DE FAMILIA</t>
        </is>
      </c>
      <c r="P179" t="inlineStr">
        <is>
          <t>360</t>
        </is>
      </c>
      <c r="Q179" t="inlineStr">
        <is>
          <t>SGP PROPOSITO GENERAL 42 POR CIENTO RECURSOS LIBRE DESTINACION SGP PROPOSITO GENERAL MPIOS DE CATEGORIA 4 5 Y 6 SGP ONCE</t>
        </is>
      </c>
      <c r="R179" t="n">
        <v>5081096</v>
      </c>
      <c r="S179" t="n">
        <v>0</v>
      </c>
      <c r="T179" t="n">
        <v>4843662</v>
      </c>
      <c r="U179" t="n">
        <v>0</v>
      </c>
      <c r="V179" t="n">
        <v>0</v>
      </c>
      <c r="W179" t="n">
        <v>0</v>
      </c>
      <c r="X179" t="n">
        <v>0</v>
      </c>
      <c r="Y179" t="n">
        <v>237434</v>
      </c>
      <c r="Z179" t="n">
        <v>237434</v>
      </c>
      <c r="AA179" t="n">
        <v>237434</v>
      </c>
      <c r="AB179" t="n">
        <v>237434</v>
      </c>
      <c r="AC179" t="n">
        <v>237434</v>
      </c>
      <c r="AD179" t="n">
        <v>0</v>
      </c>
      <c r="AE179" t="n">
        <v>100</v>
      </c>
    </row>
    <row r="180">
      <c r="A180" t="inlineStr">
        <is>
          <t>1 - ADMINISTRACIÓN CENTRAL</t>
        </is>
      </c>
      <c r="B180" t="inlineStr">
        <is>
          <t>45 - GOBIERNO TERRITORIAL</t>
        </is>
      </c>
      <c r="C180" t="inlineStr">
        <is>
          <t>1000</t>
        </is>
      </c>
      <c r="D180" t="inlineStr">
        <is>
          <t>4501</t>
        </is>
      </c>
      <c r="E180" t="inlineStr">
        <is>
          <t>4501082</t>
        </is>
      </c>
      <c r="F180" t="inlineStr">
        <is>
          <t>SERVICIO DE APOYO PARA LA ATENCIÓN ESPECIALIZADA E INTERDISCIPLINARIA EN LAS COMISARIAS DE FAMILIA</t>
        </is>
      </c>
      <c r="G180" t="inlineStr">
        <is>
          <t>2024546600072</t>
        </is>
      </c>
      <c r="H180" t="inlineStr">
        <is>
          <t>FORTALECIMIENTO DE LA CONVIVENCIA Y LA SEGURIDAD CIUDADANA PDM UNIDOS SOMOS MÁS EN EL MUNICIPIO DE  SALAZAR</t>
        </is>
      </c>
      <c r="I180" t="inlineStr">
        <is>
          <t>00</t>
        </is>
      </c>
      <c r="J180" t="inlineStr">
        <is>
          <t>SIN PRODUCTO DANE</t>
        </is>
      </c>
      <c r="K180" t="inlineStr">
        <is>
          <t>00</t>
        </is>
      </c>
      <c r="L180" t="inlineStr">
        <is>
          <t>SIN ATRIBUTO</t>
        </is>
      </c>
      <c r="N180" t="inlineStr">
        <is>
          <t>2.3.1.01.01.001.04.45.02</t>
        </is>
      </c>
      <c r="O180" t="inlineStr">
        <is>
          <t>Subsidio de alimentacion - COMISARIA DE FAMILIA</t>
        </is>
      </c>
      <c r="P180" t="inlineStr">
        <is>
          <t>360.1</t>
        </is>
      </c>
      <c r="Q180" t="inlineStr">
        <is>
          <t>SGP LIBRE DESTINACION BALANCE</t>
        </is>
      </c>
      <c r="R180" t="n">
        <v>0</v>
      </c>
      <c r="S180" t="n">
        <v>3823367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3823367</v>
      </c>
      <c r="Z180" t="n">
        <v>1627718</v>
      </c>
      <c r="AA180" t="n">
        <v>1627718</v>
      </c>
      <c r="AB180" t="n">
        <v>1627718</v>
      </c>
      <c r="AC180" t="n">
        <v>1627718</v>
      </c>
      <c r="AD180" t="n">
        <v>2195649</v>
      </c>
      <c r="AE180" t="n">
        <v>42.57</v>
      </c>
    </row>
    <row r="181">
      <c r="A181" t="inlineStr">
        <is>
          <t>1 - ADMINISTRACIÓN CENTRAL</t>
        </is>
      </c>
      <c r="B181" t="inlineStr">
        <is>
          <t>45 - GOBIERNO TERRITORIAL</t>
        </is>
      </c>
      <c r="C181" t="inlineStr">
        <is>
          <t>1000</t>
        </is>
      </c>
      <c r="D181" t="inlineStr">
        <is>
          <t>4501</t>
        </is>
      </c>
      <c r="E181" t="inlineStr">
        <is>
          <t>4501082</t>
        </is>
      </c>
      <c r="F181" t="inlineStr">
        <is>
          <t>SERVICIO DE APOYO PARA LA ATENCIÓN ESPECIALIZADA E INTERDISCIPLINARIA EN LAS COMISARIAS DE FAMILIA</t>
        </is>
      </c>
      <c r="G181" t="inlineStr">
        <is>
          <t>2024546600072</t>
        </is>
      </c>
      <c r="H181" t="inlineStr">
        <is>
          <t>FORTALECIMIENTO DE LA CONVIVENCIA Y LA SEGURIDAD CIUDADANA PDM UNIDOS SOMOS MÁS EN EL MUNICIPIO DE  SALAZAR</t>
        </is>
      </c>
      <c r="I181" t="inlineStr">
        <is>
          <t>00</t>
        </is>
      </c>
      <c r="J181" t="inlineStr">
        <is>
          <t>SIN PRODUCTO DANE</t>
        </is>
      </c>
      <c r="K181" t="inlineStr">
        <is>
          <t>00</t>
        </is>
      </c>
      <c r="L181" t="inlineStr">
        <is>
          <t>SIN ATRIBUTO</t>
        </is>
      </c>
      <c r="N181" t="inlineStr">
        <is>
          <t>2.3.1.01.01.001.04.45.03</t>
        </is>
      </c>
      <c r="O181" t="inlineStr">
        <is>
          <t>Subsidio de alimentacion - COMISARIA DE FAMILIA</t>
        </is>
      </c>
      <c r="P181" t="inlineStr">
        <is>
          <t>153.1</t>
        </is>
      </c>
      <c r="Q181" t="inlineStr">
        <is>
          <t>RB ESTAMPILLA PARA LA JUSTICIA FAMILIAR</t>
        </is>
      </c>
      <c r="R181" t="n">
        <v>0</v>
      </c>
      <c r="S181" t="n">
        <v>1020295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1020295</v>
      </c>
      <c r="Z181" t="n">
        <v>72032</v>
      </c>
      <c r="AA181" t="n">
        <v>72032</v>
      </c>
      <c r="AB181" t="n">
        <v>72032</v>
      </c>
      <c r="AC181" t="n">
        <v>72032</v>
      </c>
      <c r="AD181" t="n">
        <v>948263</v>
      </c>
      <c r="AE181" t="n">
        <v>7.06</v>
      </c>
    </row>
    <row r="182">
      <c r="A182" t="inlineStr">
        <is>
          <t>1 - ADMINISTRACIÓN CENTRAL</t>
        </is>
      </c>
      <c r="B182" t="inlineStr">
        <is>
          <t>00 - SIN SECTOR</t>
        </is>
      </c>
      <c r="C182" t="inlineStr">
        <is>
          <t>00</t>
        </is>
      </c>
      <c r="D182" t="inlineStr">
        <is>
          <t>0000</t>
        </is>
      </c>
      <c r="E182" t="inlineStr">
        <is>
          <t>000000</t>
        </is>
      </c>
      <c r="F182" t="inlineStr">
        <is>
          <t>SIN PRODUCTO</t>
        </is>
      </c>
      <c r="G182" t="inlineStr">
        <is>
          <t>00</t>
        </is>
      </c>
      <c r="H182" t="inlineStr">
        <is>
          <t>00</t>
        </is>
      </c>
      <c r="I182" t="inlineStr">
        <is>
          <t>00</t>
        </is>
      </c>
      <c r="J182" t="inlineStr">
        <is>
          <t>SIN PRODUCTO DANE</t>
        </is>
      </c>
      <c r="K182" t="inlineStr">
        <is>
          <t>00</t>
        </is>
      </c>
      <c r="L182" t="inlineStr">
        <is>
          <t>SIN ATRIBUTO</t>
        </is>
      </c>
      <c r="N182" t="inlineStr">
        <is>
          <t>2.3.1.01.01.001.05</t>
        </is>
      </c>
      <c r="O182" t="inlineStr">
        <is>
          <t>AUXILIO DE TRANSPORTE</t>
        </is>
      </c>
      <c r="P182" t="inlineStr">
        <is>
          <t>00</t>
        </is>
      </c>
      <c r="Q182" t="inlineStr">
        <is>
          <t>RECURSOS</t>
        </is>
      </c>
      <c r="R182" t="n">
        <v>25680000</v>
      </c>
      <c r="S182" t="n">
        <v>14311982</v>
      </c>
      <c r="T182" t="n">
        <v>14311982</v>
      </c>
      <c r="U182" t="n">
        <v>0</v>
      </c>
      <c r="V182" t="n">
        <v>0</v>
      </c>
      <c r="W182" t="n">
        <v>0</v>
      </c>
      <c r="X182" t="n">
        <v>0</v>
      </c>
      <c r="Y182" t="n">
        <v>25680000</v>
      </c>
      <c r="Z182" t="n">
        <v>11508189</v>
      </c>
      <c r="AA182" t="n">
        <v>11508189</v>
      </c>
      <c r="AB182" t="n">
        <v>11508189</v>
      </c>
      <c r="AC182" t="n">
        <v>11508189</v>
      </c>
      <c r="AD182" t="n">
        <v>14171811</v>
      </c>
      <c r="AE182" t="n">
        <v>44.81</v>
      </c>
    </row>
    <row r="183">
      <c r="A183" t="inlineStr">
        <is>
          <t>1 - ADMINISTRACIÓN CENTRAL</t>
        </is>
      </c>
      <c r="B183" t="inlineStr">
        <is>
          <t>00 - SIN SECTOR</t>
        </is>
      </c>
      <c r="C183" t="inlineStr">
        <is>
          <t>00</t>
        </is>
      </c>
      <c r="D183" t="inlineStr">
        <is>
          <t>0000</t>
        </is>
      </c>
      <c r="E183" t="inlineStr">
        <is>
          <t>000000</t>
        </is>
      </c>
      <c r="F183" t="inlineStr">
        <is>
          <t>SIN PRODUCTO</t>
        </is>
      </c>
      <c r="G183" t="inlineStr">
        <is>
          <t>00</t>
        </is>
      </c>
      <c r="H183" t="inlineStr">
        <is>
          <t>00</t>
        </is>
      </c>
      <c r="I183" t="inlineStr">
        <is>
          <t>00</t>
        </is>
      </c>
      <c r="J183" t="inlineStr">
        <is>
          <t>SIN PRODUCTO DANE</t>
        </is>
      </c>
      <c r="K183" t="inlineStr">
        <is>
          <t>00</t>
        </is>
      </c>
      <c r="L183" t="inlineStr">
        <is>
          <t>SIN ATRIBUTO</t>
        </is>
      </c>
      <c r="N183" t="inlineStr">
        <is>
          <t>2.3.1.01.01.001.05.12</t>
        </is>
      </c>
      <c r="O183" t="inlineStr">
        <is>
          <t>JUSTICIA Y DEL DERECHO</t>
        </is>
      </c>
      <c r="P183" t="inlineStr">
        <is>
          <t>00</t>
        </is>
      </c>
      <c r="Q183" t="inlineStr">
        <is>
          <t>RECURSOS</t>
        </is>
      </c>
      <c r="R183" t="n">
        <v>5136000</v>
      </c>
      <c r="S183" t="n">
        <v>4637810</v>
      </c>
      <c r="T183" t="n">
        <v>4637810</v>
      </c>
      <c r="U183" t="n">
        <v>0</v>
      </c>
      <c r="V183" t="n">
        <v>0</v>
      </c>
      <c r="W183" t="n">
        <v>0</v>
      </c>
      <c r="X183" t="n">
        <v>0</v>
      </c>
      <c r="Y183" t="n">
        <v>5136000</v>
      </c>
      <c r="Z183" t="n">
        <v>2490950</v>
      </c>
      <c r="AA183" t="n">
        <v>2490950</v>
      </c>
      <c r="AB183" t="n">
        <v>2490950</v>
      </c>
      <c r="AC183" t="n">
        <v>2490950</v>
      </c>
      <c r="AD183" t="n">
        <v>2645050</v>
      </c>
      <c r="AE183" t="n">
        <v>48.5</v>
      </c>
    </row>
    <row r="184">
      <c r="A184" t="inlineStr">
        <is>
          <t>1 - ADMINISTRACIÓN CENTRAL</t>
        </is>
      </c>
      <c r="B184" t="inlineStr">
        <is>
          <t>12 - JUSTICIA Y DEL DERECHO</t>
        </is>
      </c>
      <c r="C184" t="inlineStr">
        <is>
          <t>0800</t>
        </is>
      </c>
      <c r="D184" t="inlineStr">
        <is>
          <t>1202</t>
        </is>
      </c>
      <c r="E184" t="inlineStr">
        <is>
          <t>1202002</t>
        </is>
      </c>
      <c r="F184" t="inlineStr">
        <is>
          <t>SERVICIO DE JUSTICIA A LOS CIUDADANOS</t>
        </is>
      </c>
      <c r="G184" t="inlineStr">
        <is>
          <t>2024546600041</t>
        </is>
      </c>
      <c r="H184" t="inlineStr">
        <is>
          <t>APOYO PARA LA PROMOCIÓN DEL ACCESO A LA JUSTICIA PDM UNIDOS SOMOS MÁS EN EL MUNICIPIO DE   SALAZAR</t>
        </is>
      </c>
      <c r="I184" t="inlineStr">
        <is>
          <t>00</t>
        </is>
      </c>
      <c r="J184" t="inlineStr">
        <is>
          <t>SIN PRODUCTO DANE</t>
        </is>
      </c>
      <c r="K184" t="inlineStr">
        <is>
          <t>00</t>
        </is>
      </c>
      <c r="L184" t="inlineStr">
        <is>
          <t>SIN ATRIBUTO</t>
        </is>
      </c>
      <c r="N184" t="inlineStr">
        <is>
          <t>2.3.1.01.01.001.05.12.01</t>
        </is>
      </c>
      <c r="O184" t="inlineStr">
        <is>
          <t>Auxilio de transporte - CORREGIDOR</t>
        </is>
      </c>
      <c r="P184" t="inlineStr">
        <is>
          <t>360</t>
        </is>
      </c>
      <c r="Q184" t="inlineStr">
        <is>
          <t>SGP PROPOSITO GENERAL 42 POR CIENTO RECURSOS LIBRE DESTINACION SGP PROPOSITO GENERAL MPIOS DE CATEGORIA 4 5 Y 6 SGP ONCE</t>
        </is>
      </c>
      <c r="R184" t="n">
        <v>5136000</v>
      </c>
      <c r="S184" t="n">
        <v>0</v>
      </c>
      <c r="T184" t="n">
        <v>4637810</v>
      </c>
      <c r="U184" t="n">
        <v>0</v>
      </c>
      <c r="V184" t="n">
        <v>0</v>
      </c>
      <c r="W184" t="n">
        <v>0</v>
      </c>
      <c r="X184" t="n">
        <v>0</v>
      </c>
      <c r="Y184" t="n">
        <v>498190</v>
      </c>
      <c r="Z184" t="n">
        <v>498190</v>
      </c>
      <c r="AA184" t="n">
        <v>498190</v>
      </c>
      <c r="AB184" t="n">
        <v>498190</v>
      </c>
      <c r="AC184" t="n">
        <v>498190</v>
      </c>
      <c r="AD184" t="n">
        <v>0</v>
      </c>
      <c r="AE184" t="n">
        <v>100</v>
      </c>
    </row>
    <row r="185">
      <c r="A185" t="inlineStr">
        <is>
          <t>1 - ADMINISTRACIÓN CENTRAL</t>
        </is>
      </c>
      <c r="B185" t="inlineStr">
        <is>
          <t>12 - JUSTICIA Y DEL DERECHO</t>
        </is>
      </c>
      <c r="C185" t="inlineStr">
        <is>
          <t>0800</t>
        </is>
      </c>
      <c r="D185" t="inlineStr">
        <is>
          <t>1202</t>
        </is>
      </c>
      <c r="E185" t="inlineStr">
        <is>
          <t>1202002</t>
        </is>
      </c>
      <c r="F185" t="inlineStr">
        <is>
          <t>SERVICIO DE JUSTICIA A LOS CIUDADANOS</t>
        </is>
      </c>
      <c r="G185" t="inlineStr">
        <is>
          <t>2024546600041</t>
        </is>
      </c>
      <c r="H185" t="inlineStr">
        <is>
          <t>APOYO PARA LA PROMOCIÓN DEL ACCESO A LA JUSTICIA PDM UNIDOS SOMOS MÁS EN EL MUNICIPIO DE   SALAZAR</t>
        </is>
      </c>
      <c r="I185" t="inlineStr">
        <is>
          <t>00</t>
        </is>
      </c>
      <c r="J185" t="inlineStr">
        <is>
          <t>SIN PRODUCTO DANE</t>
        </is>
      </c>
      <c r="K185" t="inlineStr">
        <is>
          <t>00</t>
        </is>
      </c>
      <c r="L185" t="inlineStr">
        <is>
          <t>SIN ATRIBUTO</t>
        </is>
      </c>
      <c r="N185" t="inlineStr">
        <is>
          <t>2.3.1.01.01.001.05.12.02</t>
        </is>
      </c>
      <c r="O185" t="inlineStr">
        <is>
          <t>Auxilio de transporte - CORREGIDOR</t>
        </is>
      </c>
      <c r="P185" t="inlineStr">
        <is>
          <t>410</t>
        </is>
      </c>
      <c r="Q185" t="inlineStr">
        <is>
          <t>SGP PROPOSITO GENERAL FORZOSA INVERSION LIBRE INVERSIÓN SALDOS NO EJECUTADOS NI INCORPORADOS VIGENCIAS ANTERIORES Y REIN</t>
        </is>
      </c>
      <c r="R185" t="n">
        <v>0</v>
      </c>
      <c r="S185" t="n">
        <v>4637810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4637810</v>
      </c>
      <c r="Z185" t="n">
        <v>1992760</v>
      </c>
      <c r="AA185" t="n">
        <v>1992760</v>
      </c>
      <c r="AB185" t="n">
        <v>1992760</v>
      </c>
      <c r="AC185" t="n">
        <v>1992760</v>
      </c>
      <c r="AD185" t="n">
        <v>2645050</v>
      </c>
      <c r="AE185" t="n">
        <v>42.97</v>
      </c>
    </row>
    <row r="186">
      <c r="A186" t="inlineStr">
        <is>
          <t>1 - ADMINISTRACIÓN CENTRAL</t>
        </is>
      </c>
      <c r="B186" t="inlineStr">
        <is>
          <t>00 - SIN SECTOR</t>
        </is>
      </c>
      <c r="C186" t="inlineStr">
        <is>
          <t>00</t>
        </is>
      </c>
      <c r="D186" t="inlineStr">
        <is>
          <t>0000</t>
        </is>
      </c>
      <c r="E186" t="inlineStr">
        <is>
          <t>000000</t>
        </is>
      </c>
      <c r="F186" t="inlineStr">
        <is>
          <t>SIN PRODUCTO</t>
        </is>
      </c>
      <c r="G186" t="inlineStr">
        <is>
          <t>00</t>
        </is>
      </c>
      <c r="H186" t="inlineStr">
        <is>
          <t>00</t>
        </is>
      </c>
      <c r="I186" t="inlineStr">
        <is>
          <t>00</t>
        </is>
      </c>
      <c r="J186" t="inlineStr">
        <is>
          <t>SIN PRODUCTO DANE</t>
        </is>
      </c>
      <c r="K186" t="inlineStr">
        <is>
          <t>00</t>
        </is>
      </c>
      <c r="L186" t="inlineStr">
        <is>
          <t>SIN ATRIBUTO</t>
        </is>
      </c>
      <c r="N186" t="inlineStr">
        <is>
          <t>2.3.1.01.01.001.05.17</t>
        </is>
      </c>
      <c r="O186" t="inlineStr">
        <is>
          <t>AGRICULTURA Y DESARROLLO RURAL</t>
        </is>
      </c>
      <c r="P186" t="inlineStr">
        <is>
          <t>00</t>
        </is>
      </c>
      <c r="Q186" t="inlineStr">
        <is>
          <t>RECURSOS</t>
        </is>
      </c>
      <c r="R186" t="n">
        <v>10272000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10272000</v>
      </c>
      <c r="Z186" t="n">
        <v>4458801</v>
      </c>
      <c r="AA186" t="n">
        <v>4458801</v>
      </c>
      <c r="AB186" t="n">
        <v>4458801</v>
      </c>
      <c r="AC186" t="n">
        <v>4458801</v>
      </c>
      <c r="AD186" t="n">
        <v>5813199</v>
      </c>
      <c r="AE186" t="n">
        <v>43.41</v>
      </c>
    </row>
    <row r="187">
      <c r="A187" t="inlineStr">
        <is>
          <t>1 - ADMINISTRACIÓN CENTRAL</t>
        </is>
      </c>
      <c r="B187" t="inlineStr">
        <is>
          <t>17 - AGRICULTURA Y DESARROLLO RURAL</t>
        </is>
      </c>
      <c r="C187" t="inlineStr">
        <is>
          <t>1100</t>
        </is>
      </c>
      <c r="D187" t="inlineStr">
        <is>
          <t>1702</t>
        </is>
      </c>
      <c r="E187" t="inlineStr">
        <is>
          <t>1702010</t>
        </is>
      </c>
      <c r="F187" t="inlineStr">
        <is>
          <t>SERVICIO DE ASISTENCIA TÉCNICA AGROPECUARIA DIRIGIDA A PEQUEÑOS PRODUCTORES</t>
        </is>
      </c>
      <c r="G187" t="inlineStr">
        <is>
          <t>2024546600043</t>
        </is>
      </c>
      <c r="H187" t="inlineStr">
        <is>
          <t>APOYO PARA LA INCLUSIÓN PRODUCTIVA DE PEQUEÑOS PRODUCTORES RURALES PDM UNIDOS SOMOS MÁS EN EL MUNICIPIO DE  SALAZAR</t>
        </is>
      </c>
      <c r="I187" t="inlineStr">
        <is>
          <t>00</t>
        </is>
      </c>
      <c r="J187" t="inlineStr">
        <is>
          <t>SIN PRODUCTO DANE</t>
        </is>
      </c>
      <c r="K187" t="inlineStr">
        <is>
          <t>00</t>
        </is>
      </c>
      <c r="L187" t="inlineStr">
        <is>
          <t>SIN ATRIBUTO</t>
        </is>
      </c>
      <c r="N187" t="inlineStr">
        <is>
          <t>2.3.1.01.01.001.05.17.01</t>
        </is>
      </c>
      <c r="O187" t="inlineStr">
        <is>
          <t>Auxilio de transporte - UMATA</t>
        </is>
      </c>
      <c r="P187" t="inlineStr">
        <is>
          <t>420</t>
        </is>
      </c>
      <c r="Q187" t="inlineStr">
        <is>
          <t>SGP PROPOSITO GENERAL FORZOSA INVERSION LIBRE INVERSIÓN SGP ONCE DOCEAVAS VIGENCIA ACTUAL MAS ULTIMA DOCEAVA VIGENCIA AN</t>
        </is>
      </c>
      <c r="R187" t="n">
        <v>10272000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10272000</v>
      </c>
      <c r="Z187" t="n">
        <v>4458801</v>
      </c>
      <c r="AA187" t="n">
        <v>4458801</v>
      </c>
      <c r="AB187" t="n">
        <v>4458801</v>
      </c>
      <c r="AC187" t="n">
        <v>4458801</v>
      </c>
      <c r="AD187" t="n">
        <v>5813199</v>
      </c>
      <c r="AE187" t="n">
        <v>43.41</v>
      </c>
    </row>
    <row r="188">
      <c r="A188" t="inlineStr">
        <is>
          <t>1 - ADMINISTRACIÓN CENTRAL</t>
        </is>
      </c>
      <c r="B188" t="inlineStr">
        <is>
          <t>00 - SIN SECTOR</t>
        </is>
      </c>
      <c r="C188" t="inlineStr">
        <is>
          <t>00</t>
        </is>
      </c>
      <c r="D188" t="inlineStr">
        <is>
          <t>0000</t>
        </is>
      </c>
      <c r="E188" t="inlineStr">
        <is>
          <t>000000</t>
        </is>
      </c>
      <c r="F188" t="inlineStr">
        <is>
          <t>SIN PRODUCTO</t>
        </is>
      </c>
      <c r="G188" t="inlineStr">
        <is>
          <t>00</t>
        </is>
      </c>
      <c r="H188" t="inlineStr">
        <is>
          <t>00</t>
        </is>
      </c>
      <c r="I188" t="inlineStr">
        <is>
          <t>00</t>
        </is>
      </c>
      <c r="J188" t="inlineStr">
        <is>
          <t>SIN PRODUCTO DANE</t>
        </is>
      </c>
      <c r="K188" t="inlineStr">
        <is>
          <t>00</t>
        </is>
      </c>
      <c r="L188" t="inlineStr">
        <is>
          <t>SIN ATRIBUTO</t>
        </is>
      </c>
      <c r="N188" t="inlineStr">
        <is>
          <t>2.3.1.01.01.001.05.45</t>
        </is>
      </c>
      <c r="O188" t="inlineStr">
        <is>
          <t>GOBIERNO TERRITORIAL</t>
        </is>
      </c>
      <c r="P188" t="inlineStr">
        <is>
          <t>00</t>
        </is>
      </c>
      <c r="Q188" t="inlineStr">
        <is>
          <t>RECURSOS</t>
        </is>
      </c>
      <c r="R188" t="n">
        <v>10272000</v>
      </c>
      <c r="S188" t="n">
        <v>9674172</v>
      </c>
      <c r="T188" t="n">
        <v>9674172</v>
      </c>
      <c r="U188" t="n">
        <v>0</v>
      </c>
      <c r="V188" t="n">
        <v>0</v>
      </c>
      <c r="W188" t="n">
        <v>0</v>
      </c>
      <c r="X188" t="n">
        <v>0</v>
      </c>
      <c r="Y188" t="n">
        <v>10272000</v>
      </c>
      <c r="Z188" t="n">
        <v>4558438</v>
      </c>
      <c r="AA188" t="n">
        <v>4558438</v>
      </c>
      <c r="AB188" t="n">
        <v>4558438</v>
      </c>
      <c r="AC188" t="n">
        <v>4558438</v>
      </c>
      <c r="AD188" t="n">
        <v>5713562</v>
      </c>
      <c r="AE188" t="n">
        <v>44.38</v>
      </c>
    </row>
    <row r="189">
      <c r="A189" t="inlineStr">
        <is>
          <t>1 - ADMINISTRACIÓN CENTRAL</t>
        </is>
      </c>
      <c r="B189" t="inlineStr">
        <is>
          <t>45 - GOBIERNO TERRITORIAL</t>
        </is>
      </c>
      <c r="C189" t="inlineStr">
        <is>
          <t>1000</t>
        </is>
      </c>
      <c r="D189" t="inlineStr">
        <is>
          <t>4501</t>
        </is>
      </c>
      <c r="E189" t="inlineStr">
        <is>
          <t>4501082</t>
        </is>
      </c>
      <c r="F189" t="inlineStr">
        <is>
          <t>SERVICIO DE APOYO PARA LA ATENCIÓN ESPECIALIZADA E INTERDISCIPLINARIA EN LAS COMISARIAS DE FAMILIA</t>
        </is>
      </c>
      <c r="G189" t="inlineStr">
        <is>
          <t>2024546600072</t>
        </is>
      </c>
      <c r="H189" t="inlineStr">
        <is>
          <t>FORTALECIMIENTO DE LA CONVIVENCIA Y LA SEGURIDAD CIUDADANA PDM UNIDOS SOMOS MÁS EN EL MUNICIPIO DE  SALAZAR</t>
        </is>
      </c>
      <c r="I189" t="inlineStr">
        <is>
          <t>00</t>
        </is>
      </c>
      <c r="J189" t="inlineStr">
        <is>
          <t>SIN PRODUCTO DANE</t>
        </is>
      </c>
      <c r="K189" t="inlineStr">
        <is>
          <t>00</t>
        </is>
      </c>
      <c r="L189" t="inlineStr">
        <is>
          <t>SIN ATRIBUTO</t>
        </is>
      </c>
      <c r="N189" t="inlineStr">
        <is>
          <t>2.3.1.01.01.001.05.45.01</t>
        </is>
      </c>
      <c r="O189" t="inlineStr">
        <is>
          <t>Auxilio de transporte - COMISARIA DE FAMILIA</t>
        </is>
      </c>
      <c r="P189" t="inlineStr">
        <is>
          <t>360</t>
        </is>
      </c>
      <c r="Q189" t="inlineStr">
        <is>
          <t>SGP PROPOSITO GENERAL 42 POR CIENTO RECURSOS LIBRE DESTINACION SGP PROPOSITO GENERAL MPIOS DE CATEGORIA 4 5 Y 6 SGP ONCE</t>
        </is>
      </c>
      <c r="R189" t="n">
        <v>10272000</v>
      </c>
      <c r="S189" t="n">
        <v>0</v>
      </c>
      <c r="T189" t="n">
        <v>9674172</v>
      </c>
      <c r="U189" t="n">
        <v>0</v>
      </c>
      <c r="V189" t="n">
        <v>0</v>
      </c>
      <c r="W189" t="n">
        <v>0</v>
      </c>
      <c r="X189" t="n">
        <v>0</v>
      </c>
      <c r="Y189" t="n">
        <v>597828</v>
      </c>
      <c r="Z189" t="n">
        <v>597828</v>
      </c>
      <c r="AA189" t="n">
        <v>597828</v>
      </c>
      <c r="AB189" t="n">
        <v>597828</v>
      </c>
      <c r="AC189" t="n">
        <v>597828</v>
      </c>
      <c r="AD189" t="n">
        <v>0</v>
      </c>
      <c r="AE189" t="n">
        <v>100</v>
      </c>
    </row>
    <row r="190">
      <c r="A190" t="inlineStr">
        <is>
          <t>1 - ADMINISTRACIÓN CENTRAL</t>
        </is>
      </c>
      <c r="B190" t="inlineStr">
        <is>
          <t>45 - GOBIERNO TERRITORIAL</t>
        </is>
      </c>
      <c r="C190" t="inlineStr">
        <is>
          <t>1000</t>
        </is>
      </c>
      <c r="D190" t="inlineStr">
        <is>
          <t>4501</t>
        </is>
      </c>
      <c r="E190" t="inlineStr">
        <is>
          <t>4501082</t>
        </is>
      </c>
      <c r="F190" t="inlineStr">
        <is>
          <t>SERVICIO DE APOYO PARA LA ATENCIÓN ESPECIALIZADA E INTERDISCIPLINARIA EN LAS COMISARIAS DE FAMILIA</t>
        </is>
      </c>
      <c r="G190" t="inlineStr">
        <is>
          <t>2024546600072</t>
        </is>
      </c>
      <c r="H190" t="inlineStr">
        <is>
          <t>FORTALECIMIENTO DE LA CONVIVENCIA Y LA SEGURIDAD CIUDADANA PDM UNIDOS SOMOS MÁS EN EL MUNICIPIO DE  SALAZAR</t>
        </is>
      </c>
      <c r="I190" t="inlineStr">
        <is>
          <t>00</t>
        </is>
      </c>
      <c r="J190" t="inlineStr">
        <is>
          <t>SIN PRODUCTO DANE</t>
        </is>
      </c>
      <c r="K190" t="inlineStr">
        <is>
          <t>00</t>
        </is>
      </c>
      <c r="L190" t="inlineStr">
        <is>
          <t>SIN ATRIBUTO</t>
        </is>
      </c>
      <c r="N190" t="inlineStr">
        <is>
          <t>2.3.1.01.01.001.05.45.02</t>
        </is>
      </c>
      <c r="O190" t="inlineStr">
        <is>
          <t>Auxilio de transporte - COMISARIA DE FAMILIA</t>
        </is>
      </c>
      <c r="P190" t="inlineStr">
        <is>
          <t>360.1</t>
        </is>
      </c>
      <c r="Q190" t="inlineStr">
        <is>
          <t>SGP LIBRE DESTINACION BALANCE</t>
        </is>
      </c>
      <c r="R190" t="n">
        <v>0</v>
      </c>
      <c r="S190" t="n">
        <v>9674172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9674172</v>
      </c>
      <c r="Z190" t="n">
        <v>3960610</v>
      </c>
      <c r="AA190" t="n">
        <v>3960610</v>
      </c>
      <c r="AB190" t="n">
        <v>3960610</v>
      </c>
      <c r="AC190" t="n">
        <v>3960610</v>
      </c>
      <c r="AD190" t="n">
        <v>5713562</v>
      </c>
      <c r="AE190" t="n">
        <v>40.94</v>
      </c>
    </row>
    <row r="191">
      <c r="A191" t="inlineStr">
        <is>
          <t>1 - ADMINISTRACIÓN CENTRAL</t>
        </is>
      </c>
      <c r="B191" t="inlineStr">
        <is>
          <t>00 - SIN SECTOR</t>
        </is>
      </c>
      <c r="C191" t="inlineStr">
        <is>
          <t>00</t>
        </is>
      </c>
      <c r="D191" t="inlineStr">
        <is>
          <t>0000</t>
        </is>
      </c>
      <c r="E191" t="inlineStr">
        <is>
          <t>000000</t>
        </is>
      </c>
      <c r="F191" t="inlineStr">
        <is>
          <t>SIN PRODUCTO</t>
        </is>
      </c>
      <c r="G191" t="inlineStr">
        <is>
          <t>00</t>
        </is>
      </c>
      <c r="H191" t="inlineStr">
        <is>
          <t>00</t>
        </is>
      </c>
      <c r="I191" t="inlineStr">
        <is>
          <t>00</t>
        </is>
      </c>
      <c r="J191" t="inlineStr">
        <is>
          <t>SIN PRODUCTO DANE</t>
        </is>
      </c>
      <c r="K191" t="inlineStr">
        <is>
          <t>00</t>
        </is>
      </c>
      <c r="L191" t="inlineStr">
        <is>
          <t>SIN ATRIBUTO</t>
        </is>
      </c>
      <c r="N191" t="inlineStr">
        <is>
          <t>2.3.1.01.01.001.06</t>
        </is>
      </c>
      <c r="O191" t="inlineStr">
        <is>
          <t>PRIMA DE SERVICIO</t>
        </is>
      </c>
      <c r="P191" t="inlineStr">
        <is>
          <t>00</t>
        </is>
      </c>
      <c r="Q191" t="inlineStr">
        <is>
          <t>RECURSOS</t>
        </is>
      </c>
      <c r="R191" t="n">
        <v>16850603</v>
      </c>
      <c r="S191" t="n">
        <v>10119032</v>
      </c>
      <c r="T191" t="n">
        <v>10119032</v>
      </c>
      <c r="U191" t="n">
        <v>0</v>
      </c>
      <c r="V191" t="n">
        <v>0</v>
      </c>
      <c r="W191" t="n">
        <v>0</v>
      </c>
      <c r="X191" t="n">
        <v>0</v>
      </c>
      <c r="Y191" t="n">
        <v>16850603</v>
      </c>
      <c r="Z191" t="n">
        <v>442237</v>
      </c>
      <c r="AA191" t="n">
        <v>442237</v>
      </c>
      <c r="AB191" t="n">
        <v>442237</v>
      </c>
      <c r="AC191" t="n">
        <v>442237</v>
      </c>
      <c r="AD191" t="n">
        <v>16408366</v>
      </c>
      <c r="AE191" t="n">
        <v>2.62</v>
      </c>
    </row>
    <row r="192">
      <c r="A192" t="inlineStr">
        <is>
          <t>1 - ADMINISTRACIÓN CENTRAL</t>
        </is>
      </c>
      <c r="B192" t="inlineStr">
        <is>
          <t>00 - SIN SECTOR</t>
        </is>
      </c>
      <c r="C192" t="inlineStr">
        <is>
          <t>00</t>
        </is>
      </c>
      <c r="D192" t="inlineStr">
        <is>
          <t>0000</t>
        </is>
      </c>
      <c r="E192" t="inlineStr">
        <is>
          <t>000000</t>
        </is>
      </c>
      <c r="F192" t="inlineStr">
        <is>
          <t>SIN PRODUCTO</t>
        </is>
      </c>
      <c r="G192" t="inlineStr">
        <is>
          <t>00</t>
        </is>
      </c>
      <c r="H192" t="inlineStr">
        <is>
          <t>00</t>
        </is>
      </c>
      <c r="I192" t="inlineStr">
        <is>
          <t>00</t>
        </is>
      </c>
      <c r="J192" t="inlineStr">
        <is>
          <t>SIN PRODUCTO DANE</t>
        </is>
      </c>
      <c r="K192" t="inlineStr">
        <is>
          <t>00</t>
        </is>
      </c>
      <c r="L192" t="inlineStr">
        <is>
          <t>SIN ATRIBUTO</t>
        </is>
      </c>
      <c r="N192" t="inlineStr">
        <is>
          <t>2.3.1.01.01.001.06.12</t>
        </is>
      </c>
      <c r="O192" t="inlineStr">
        <is>
          <t>JUSTICIA Y DEL DERECHO</t>
        </is>
      </c>
      <c r="P192" t="inlineStr">
        <is>
          <t>00</t>
        </is>
      </c>
      <c r="Q192" t="inlineStr">
        <is>
          <t>RECURSOS</t>
        </is>
      </c>
      <c r="R192" t="n">
        <v>2357331</v>
      </c>
      <c r="S192" t="n">
        <v>2357331</v>
      </c>
      <c r="T192" t="n">
        <v>2357331</v>
      </c>
      <c r="U192" t="n">
        <v>0</v>
      </c>
      <c r="V192" t="n">
        <v>0</v>
      </c>
      <c r="W192" t="n">
        <v>0</v>
      </c>
      <c r="X192" t="n">
        <v>0</v>
      </c>
      <c r="Y192" t="n">
        <v>2357331</v>
      </c>
      <c r="Z192" t="n">
        <v>0</v>
      </c>
      <c r="AA192" t="n">
        <v>0</v>
      </c>
      <c r="AB192" t="n">
        <v>0</v>
      </c>
      <c r="AC192" t="n">
        <v>0</v>
      </c>
      <c r="AD192" t="n">
        <v>2357331</v>
      </c>
      <c r="AE192" t="n">
        <v>0</v>
      </c>
    </row>
    <row r="193">
      <c r="A193" t="inlineStr">
        <is>
          <t>1 - ADMINISTRACIÓN CENTRAL</t>
        </is>
      </c>
      <c r="B193" t="inlineStr">
        <is>
          <t>12 - JUSTICIA Y DEL DERECHO</t>
        </is>
      </c>
      <c r="C193" t="inlineStr">
        <is>
          <t>0800</t>
        </is>
      </c>
      <c r="D193" t="inlineStr">
        <is>
          <t>1202</t>
        </is>
      </c>
      <c r="E193" t="inlineStr">
        <is>
          <t>1202002</t>
        </is>
      </c>
      <c r="F193" t="inlineStr">
        <is>
          <t>SERVICIO DE JUSTICIA A LOS CIUDADANOS</t>
        </is>
      </c>
      <c r="G193" t="inlineStr">
        <is>
          <t>2024546600041</t>
        </is>
      </c>
      <c r="H193" t="inlineStr">
        <is>
          <t>APOYO PARA LA PROMOCIÓN DEL ACCESO A LA JUSTICIA PDM UNIDOS SOMOS MÁS EN EL MUNICIPIO DE   SALAZAR</t>
        </is>
      </c>
      <c r="I193" t="inlineStr">
        <is>
          <t>00</t>
        </is>
      </c>
      <c r="J193" t="inlineStr">
        <is>
          <t>SIN PRODUCTO DANE</t>
        </is>
      </c>
      <c r="K193" t="inlineStr">
        <is>
          <t>00</t>
        </is>
      </c>
      <c r="L193" t="inlineStr">
        <is>
          <t>SIN ATRIBUTO</t>
        </is>
      </c>
      <c r="N193" t="inlineStr">
        <is>
          <t>2.3.1.01.01.001.06.12.01</t>
        </is>
      </c>
      <c r="O193" t="inlineStr">
        <is>
          <t>Prima de servicio - CORREGIDOR</t>
        </is>
      </c>
      <c r="P193" t="inlineStr">
        <is>
          <t>360</t>
        </is>
      </c>
      <c r="Q193" t="inlineStr">
        <is>
          <t>SGP PROPOSITO GENERAL 42 POR CIENTO RECURSOS LIBRE DESTINACION SGP PROPOSITO GENERAL MPIOS DE CATEGORIA 4 5 Y 6 SGP ONCE</t>
        </is>
      </c>
      <c r="R193" t="n">
        <v>2357331</v>
      </c>
      <c r="S193" t="n">
        <v>0</v>
      </c>
      <c r="T193" t="n">
        <v>2357331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</row>
    <row r="194">
      <c r="A194" t="inlineStr">
        <is>
          <t>1 - ADMINISTRACIÓN CENTRAL</t>
        </is>
      </c>
      <c r="B194" t="inlineStr">
        <is>
          <t>12 - JUSTICIA Y DEL DERECHO</t>
        </is>
      </c>
      <c r="C194" t="inlineStr">
        <is>
          <t>0800</t>
        </is>
      </c>
      <c r="D194" t="inlineStr">
        <is>
          <t>1202</t>
        </is>
      </c>
      <c r="E194" t="inlineStr">
        <is>
          <t>1202002</t>
        </is>
      </c>
      <c r="F194" t="inlineStr">
        <is>
          <t>SERVICIO DE JUSTICIA A LOS CIUDADANOS</t>
        </is>
      </c>
      <c r="G194" t="inlineStr">
        <is>
          <t>2024546600041</t>
        </is>
      </c>
      <c r="H194" t="inlineStr">
        <is>
          <t>APOYO PARA LA PROMOCIÓN DEL ACCESO A LA JUSTICIA PDM UNIDOS SOMOS MÁS EN EL MUNICIPIO DE   SALAZAR</t>
        </is>
      </c>
      <c r="I194" t="inlineStr">
        <is>
          <t>00</t>
        </is>
      </c>
      <c r="J194" t="inlineStr">
        <is>
          <t>SIN PRODUCTO DANE</t>
        </is>
      </c>
      <c r="K194" t="inlineStr">
        <is>
          <t>00</t>
        </is>
      </c>
      <c r="L194" t="inlineStr">
        <is>
          <t>SIN ATRIBUTO</t>
        </is>
      </c>
      <c r="N194" t="inlineStr">
        <is>
          <t>2.3.1.01.01.001.06.12.02</t>
        </is>
      </c>
      <c r="O194" t="inlineStr">
        <is>
          <t>Prima de servicio - CORREGIDOR</t>
        </is>
      </c>
      <c r="P194" t="inlineStr">
        <is>
          <t>410</t>
        </is>
      </c>
      <c r="Q194" t="inlineStr">
        <is>
          <t>SGP PROPOSITO GENERAL FORZOSA INVERSION LIBRE INVERSIÓN SALDOS NO EJECUTADOS NI INCORPORADOS VIGENCIAS ANTERIORES Y REIN</t>
        </is>
      </c>
      <c r="R194" t="n">
        <v>0</v>
      </c>
      <c r="S194" t="n">
        <v>2357331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2357331</v>
      </c>
      <c r="Z194" t="n">
        <v>0</v>
      </c>
      <c r="AA194" t="n">
        <v>0</v>
      </c>
      <c r="AB194" t="n">
        <v>0</v>
      </c>
      <c r="AC194" t="n">
        <v>0</v>
      </c>
      <c r="AD194" t="n">
        <v>2357331</v>
      </c>
      <c r="AE194" t="n">
        <v>0</v>
      </c>
    </row>
    <row r="195">
      <c r="A195" t="inlineStr">
        <is>
          <t>1 - ADMINISTRACIÓN CENTRAL</t>
        </is>
      </c>
      <c r="B195" t="inlineStr">
        <is>
          <t>00 - SIN SECTOR</t>
        </is>
      </c>
      <c r="C195" t="inlineStr">
        <is>
          <t>00</t>
        </is>
      </c>
      <c r="D195" t="inlineStr">
        <is>
          <t>0000</t>
        </is>
      </c>
      <c r="E195" t="inlineStr">
        <is>
          <t>000000</t>
        </is>
      </c>
      <c r="F195" t="inlineStr">
        <is>
          <t>SIN PRODUCTO</t>
        </is>
      </c>
      <c r="G195" t="inlineStr">
        <is>
          <t>00</t>
        </is>
      </c>
      <c r="H195" t="inlineStr">
        <is>
          <t>00</t>
        </is>
      </c>
      <c r="I195" t="inlineStr">
        <is>
          <t>00</t>
        </is>
      </c>
      <c r="J195" t="inlineStr">
        <is>
          <t>SIN PRODUCTO DANE</t>
        </is>
      </c>
      <c r="K195" t="inlineStr">
        <is>
          <t>00</t>
        </is>
      </c>
      <c r="L195" t="inlineStr">
        <is>
          <t>SIN ATRIBUTO</t>
        </is>
      </c>
      <c r="N195" t="inlineStr">
        <is>
          <t>2.3.1.01.01.001.06.17</t>
        </is>
      </c>
      <c r="O195" t="inlineStr">
        <is>
          <t>AGRICULTURA Y DESARROLLO RURAL</t>
        </is>
      </c>
      <c r="P195" t="inlineStr">
        <is>
          <t>00</t>
        </is>
      </c>
      <c r="Q195" t="inlineStr">
        <is>
          <t>RECURSOS</t>
        </is>
      </c>
      <c r="R195" t="n">
        <v>6731571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6731571</v>
      </c>
      <c r="Z195" t="n">
        <v>0</v>
      </c>
      <c r="AA195" t="n">
        <v>0</v>
      </c>
      <c r="AB195" t="n">
        <v>0</v>
      </c>
      <c r="AC195" t="n">
        <v>0</v>
      </c>
      <c r="AD195" t="n">
        <v>6731571</v>
      </c>
      <c r="AE195" t="n">
        <v>0</v>
      </c>
    </row>
    <row r="196">
      <c r="A196" t="inlineStr">
        <is>
          <t>1 - ADMINISTRACIÓN CENTRAL</t>
        </is>
      </c>
      <c r="B196" t="inlineStr">
        <is>
          <t>17 - AGRICULTURA Y DESARROLLO RURAL</t>
        </is>
      </c>
      <c r="C196" t="inlineStr">
        <is>
          <t>1100</t>
        </is>
      </c>
      <c r="D196" t="inlineStr">
        <is>
          <t>1702</t>
        </is>
      </c>
      <c r="E196" t="inlineStr">
        <is>
          <t>1702010</t>
        </is>
      </c>
      <c r="F196" t="inlineStr">
        <is>
          <t>SERVICIO DE ASISTENCIA TÉCNICA AGROPECUARIA DIRIGIDA A PEQUEÑOS PRODUCTORES</t>
        </is>
      </c>
      <c r="G196" t="inlineStr">
        <is>
          <t>2024546600043</t>
        </is>
      </c>
      <c r="H196" t="inlineStr">
        <is>
          <t>APOYO PARA LA INCLUSIÓN PRODUCTIVA DE PEQUEÑOS PRODUCTORES RURALES PDM UNIDOS SOMOS MÁS EN EL MUNICIPIO DE  SALAZAR</t>
        </is>
      </c>
      <c r="I196" t="inlineStr">
        <is>
          <t>00</t>
        </is>
      </c>
      <c r="J196" t="inlineStr">
        <is>
          <t>SIN PRODUCTO DANE</t>
        </is>
      </c>
      <c r="K196" t="inlineStr">
        <is>
          <t>00</t>
        </is>
      </c>
      <c r="L196" t="inlineStr">
        <is>
          <t>SIN ATRIBUTO</t>
        </is>
      </c>
      <c r="N196" t="inlineStr">
        <is>
          <t>2.3.1.01.01.001.06.17.01</t>
        </is>
      </c>
      <c r="O196" t="inlineStr">
        <is>
          <t>Prima de servicio - UMATA</t>
        </is>
      </c>
      <c r="P196" t="inlineStr">
        <is>
          <t>420</t>
        </is>
      </c>
      <c r="Q196" t="inlineStr">
        <is>
          <t>SGP PROPOSITO GENERAL FORZOSA INVERSION LIBRE INVERSIÓN SGP ONCE DOCEAVAS VIGENCIA ACTUAL MAS ULTIMA DOCEAVA VIGENCIA AN</t>
        </is>
      </c>
      <c r="R196" t="n">
        <v>6731571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6731571</v>
      </c>
      <c r="Z196" t="n">
        <v>0</v>
      </c>
      <c r="AA196" t="n">
        <v>0</v>
      </c>
      <c r="AB196" t="n">
        <v>0</v>
      </c>
      <c r="AC196" t="n">
        <v>0</v>
      </c>
      <c r="AD196" t="n">
        <v>6731571</v>
      </c>
      <c r="AE196" t="n">
        <v>0</v>
      </c>
    </row>
    <row r="197">
      <c r="A197" t="inlineStr">
        <is>
          <t>1 - ADMINISTRACIÓN CENTRAL</t>
        </is>
      </c>
      <c r="B197" t="inlineStr">
        <is>
          <t>00 - SIN SECTOR</t>
        </is>
      </c>
      <c r="C197" t="inlineStr">
        <is>
          <t>00</t>
        </is>
      </c>
      <c r="D197" t="inlineStr">
        <is>
          <t>0000</t>
        </is>
      </c>
      <c r="E197" t="inlineStr">
        <is>
          <t>000000</t>
        </is>
      </c>
      <c r="F197" t="inlineStr">
        <is>
          <t>SIN PRODUCTO</t>
        </is>
      </c>
      <c r="G197" t="inlineStr">
        <is>
          <t>00</t>
        </is>
      </c>
      <c r="H197" t="inlineStr">
        <is>
          <t>00</t>
        </is>
      </c>
      <c r="I197" t="inlineStr">
        <is>
          <t>00</t>
        </is>
      </c>
      <c r="J197" t="inlineStr">
        <is>
          <t>SIN PRODUCTO DANE</t>
        </is>
      </c>
      <c r="K197" t="inlineStr">
        <is>
          <t>00</t>
        </is>
      </c>
      <c r="L197" t="inlineStr">
        <is>
          <t>SIN ATRIBUTO</t>
        </is>
      </c>
      <c r="N197" t="inlineStr">
        <is>
          <t>2.3.1.01.01.001.06.45</t>
        </is>
      </c>
      <c r="O197" t="inlineStr">
        <is>
          <t>GOBIERNO TERRITORIAL</t>
        </is>
      </c>
      <c r="P197" t="inlineStr">
        <is>
          <t>00</t>
        </is>
      </c>
      <c r="Q197" t="inlineStr">
        <is>
          <t>RECURSOS</t>
        </is>
      </c>
      <c r="R197" t="n">
        <v>7761701</v>
      </c>
      <c r="S197" t="n">
        <v>7761701</v>
      </c>
      <c r="T197" t="n">
        <v>7761701</v>
      </c>
      <c r="U197" t="n">
        <v>0</v>
      </c>
      <c r="V197" t="n">
        <v>0</v>
      </c>
      <c r="W197" t="n">
        <v>0</v>
      </c>
      <c r="X197" t="n">
        <v>0</v>
      </c>
      <c r="Y197" t="n">
        <v>7761701</v>
      </c>
      <c r="Z197" t="n">
        <v>442237</v>
      </c>
      <c r="AA197" t="n">
        <v>442237</v>
      </c>
      <c r="AB197" t="n">
        <v>442237</v>
      </c>
      <c r="AC197" t="n">
        <v>442237</v>
      </c>
      <c r="AD197" t="n">
        <v>7319464</v>
      </c>
      <c r="AE197" t="n">
        <v>5.7</v>
      </c>
    </row>
    <row r="198">
      <c r="A198" t="inlineStr">
        <is>
          <t>1 - ADMINISTRACIÓN CENTRAL</t>
        </is>
      </c>
      <c r="B198" t="inlineStr">
        <is>
          <t>45 - GOBIERNO TERRITORIAL</t>
        </is>
      </c>
      <c r="C198" t="inlineStr">
        <is>
          <t>1000</t>
        </is>
      </c>
      <c r="D198" t="inlineStr">
        <is>
          <t>4501</t>
        </is>
      </c>
      <c r="E198" t="inlineStr">
        <is>
          <t>4501082</t>
        </is>
      </c>
      <c r="F198" t="inlineStr">
        <is>
          <t>SERVICIO DE APOYO PARA LA ATENCIÓN ESPECIALIZADA E INTERDISCIPLINARIA EN LAS COMISARIAS DE FAMILIA</t>
        </is>
      </c>
      <c r="G198" t="inlineStr">
        <is>
          <t>2024546600072</t>
        </is>
      </c>
      <c r="H198" t="inlineStr">
        <is>
          <t>FORTALECIMIENTO DE LA CONVIVENCIA Y LA SEGURIDAD CIUDADANA PDM UNIDOS SOMOS MÁS EN EL MUNICIPIO DE  SALAZAR</t>
        </is>
      </c>
      <c r="I198" t="inlineStr">
        <is>
          <t>00</t>
        </is>
      </c>
      <c r="J198" t="inlineStr">
        <is>
          <t>SIN PRODUCTO DANE</t>
        </is>
      </c>
      <c r="K198" t="inlineStr">
        <is>
          <t>00</t>
        </is>
      </c>
      <c r="L198" t="inlineStr">
        <is>
          <t>SIN ATRIBUTO</t>
        </is>
      </c>
      <c r="N198" t="inlineStr">
        <is>
          <t>2.3.1.01.01.001.06.45.01</t>
        </is>
      </c>
      <c r="O198" t="inlineStr">
        <is>
          <t>Prima de servicio - COMISARIA DE FAMILIA</t>
        </is>
      </c>
      <c r="P198" t="inlineStr">
        <is>
          <t>360</t>
        </is>
      </c>
      <c r="Q198" t="inlineStr">
        <is>
          <t>SGP PROPOSITO GENERAL 42 POR CIENTO RECURSOS LIBRE DESTINACION SGP PROPOSITO GENERAL MPIOS DE CATEGORIA 4 5 Y 6 SGP ONCE</t>
        </is>
      </c>
      <c r="R198" t="n">
        <v>7761701</v>
      </c>
      <c r="S198" t="n">
        <v>0</v>
      </c>
      <c r="T198" t="n">
        <v>7761701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inlineStr">
        <is>
          <t>1 - ADMINISTRACIÓN CENTRAL</t>
        </is>
      </c>
      <c r="B199" t="inlineStr">
        <is>
          <t>45 - GOBIERNO TERRITORIAL</t>
        </is>
      </c>
      <c r="C199" t="inlineStr">
        <is>
          <t>1000</t>
        </is>
      </c>
      <c r="D199" t="inlineStr">
        <is>
          <t>4501</t>
        </is>
      </c>
      <c r="E199" t="inlineStr">
        <is>
          <t>4501082</t>
        </is>
      </c>
      <c r="F199" t="inlineStr">
        <is>
          <t>SERVICIO DE APOYO PARA LA ATENCIÓN ESPECIALIZADA E INTERDISCIPLINARIA EN LAS COMISARIAS DE FAMILIA</t>
        </is>
      </c>
      <c r="G199" t="inlineStr">
        <is>
          <t>2024546600072</t>
        </is>
      </c>
      <c r="H199" t="inlineStr">
        <is>
          <t>FORTALECIMIENTO DE LA CONVIVENCIA Y LA SEGURIDAD CIUDADANA PDM UNIDOS SOMOS MÁS EN EL MUNICIPIO DE  SALAZAR</t>
        </is>
      </c>
      <c r="I199" t="inlineStr">
        <is>
          <t>00</t>
        </is>
      </c>
      <c r="J199" t="inlineStr">
        <is>
          <t>SIN PRODUCTO DANE</t>
        </is>
      </c>
      <c r="K199" t="inlineStr">
        <is>
          <t>00</t>
        </is>
      </c>
      <c r="L199" t="inlineStr">
        <is>
          <t>SIN ATRIBUTO</t>
        </is>
      </c>
      <c r="N199" t="inlineStr">
        <is>
          <t>2.3.1.01.01.001.06.45.02</t>
        </is>
      </c>
      <c r="O199" t="inlineStr">
        <is>
          <t>Prima de servicio - COMISARIA DE FAMILIA</t>
        </is>
      </c>
      <c r="P199" t="inlineStr">
        <is>
          <t>360.1</t>
        </is>
      </c>
      <c r="Q199" t="inlineStr">
        <is>
          <t>SGP LIBRE DESTINACION BALANCE</t>
        </is>
      </c>
      <c r="R199" t="n">
        <v>0</v>
      </c>
      <c r="S199" t="n">
        <v>7761701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7761701</v>
      </c>
      <c r="Z199" t="n">
        <v>442237</v>
      </c>
      <c r="AA199" t="n">
        <v>442237</v>
      </c>
      <c r="AB199" t="n">
        <v>442237</v>
      </c>
      <c r="AC199" t="n">
        <v>442237</v>
      </c>
      <c r="AD199" t="n">
        <v>7319464</v>
      </c>
      <c r="AE199" t="n">
        <v>5.7</v>
      </c>
    </row>
    <row r="200">
      <c r="A200" t="inlineStr">
        <is>
          <t>1 - ADMINISTRACIÓN CENTRAL</t>
        </is>
      </c>
      <c r="B200" t="inlineStr">
        <is>
          <t>00 - SIN SECTOR</t>
        </is>
      </c>
      <c r="C200" t="inlineStr">
        <is>
          <t>00</t>
        </is>
      </c>
      <c r="D200" t="inlineStr">
        <is>
          <t>0000</t>
        </is>
      </c>
      <c r="E200" t="inlineStr">
        <is>
          <t>000000</t>
        </is>
      </c>
      <c r="F200" t="inlineStr">
        <is>
          <t>SIN PRODUCTO</t>
        </is>
      </c>
      <c r="G200" t="inlineStr">
        <is>
          <t>00</t>
        </is>
      </c>
      <c r="H200" t="inlineStr">
        <is>
          <t>00</t>
        </is>
      </c>
      <c r="I200" t="inlineStr">
        <is>
          <t>00</t>
        </is>
      </c>
      <c r="J200" t="inlineStr">
        <is>
          <t>SIN PRODUCTO DANE</t>
        </is>
      </c>
      <c r="K200" t="inlineStr">
        <is>
          <t>00</t>
        </is>
      </c>
      <c r="L200" t="inlineStr">
        <is>
          <t>SIN ATRIBUTO</t>
        </is>
      </c>
      <c r="N200" t="inlineStr">
        <is>
          <t>2.3.1.01.01.001.07</t>
        </is>
      </c>
      <c r="O200" t="inlineStr">
        <is>
          <t>BONIFICACION POR SERVICIOS PRESTADOS</t>
        </is>
      </c>
      <c r="P200" t="inlineStr">
        <is>
          <t>00</t>
        </is>
      </c>
      <c r="Q200" t="inlineStr">
        <is>
          <t>RECURSOS</t>
        </is>
      </c>
      <c r="R200" t="n">
        <v>14519729</v>
      </c>
      <c r="S200" t="n">
        <v>6461718</v>
      </c>
      <c r="T200" t="n">
        <v>6461718</v>
      </c>
      <c r="U200" t="n">
        <v>0</v>
      </c>
      <c r="V200" t="n">
        <v>0</v>
      </c>
      <c r="W200" t="n">
        <v>0</v>
      </c>
      <c r="X200" t="n">
        <v>0</v>
      </c>
      <c r="Y200" t="n">
        <v>14519729</v>
      </c>
      <c r="Z200" t="n">
        <v>5481888</v>
      </c>
      <c r="AA200" t="n">
        <v>5481888</v>
      </c>
      <c r="AB200" t="n">
        <v>5481888</v>
      </c>
      <c r="AC200" t="n">
        <v>5481888</v>
      </c>
      <c r="AD200" t="n">
        <v>9037841</v>
      </c>
      <c r="AE200" t="n">
        <v>37.75</v>
      </c>
    </row>
    <row r="201">
      <c r="A201" t="inlineStr">
        <is>
          <t>1 - ADMINISTRACIÓN CENTRAL</t>
        </is>
      </c>
      <c r="B201" t="inlineStr">
        <is>
          <t>00 - SIN SECTOR</t>
        </is>
      </c>
      <c r="C201" t="inlineStr">
        <is>
          <t>00</t>
        </is>
      </c>
      <c r="D201" t="inlineStr">
        <is>
          <t>0000</t>
        </is>
      </c>
      <c r="E201" t="inlineStr">
        <is>
          <t>000000</t>
        </is>
      </c>
      <c r="F201" t="inlineStr">
        <is>
          <t>SIN PRODUCTO</t>
        </is>
      </c>
      <c r="G201" t="inlineStr">
        <is>
          <t>00</t>
        </is>
      </c>
      <c r="H201" t="inlineStr">
        <is>
          <t>00</t>
        </is>
      </c>
      <c r="I201" t="inlineStr">
        <is>
          <t>00</t>
        </is>
      </c>
      <c r="J201" t="inlineStr">
        <is>
          <t>SIN PRODUCTO DANE</t>
        </is>
      </c>
      <c r="K201" t="inlineStr">
        <is>
          <t>00</t>
        </is>
      </c>
      <c r="L201" t="inlineStr">
        <is>
          <t>SIN ATRIBUTO</t>
        </is>
      </c>
      <c r="N201" t="inlineStr">
        <is>
          <t>2.3.1.01.01.001.07.12</t>
        </is>
      </c>
      <c r="O201" t="inlineStr">
        <is>
          <t>JUSTICIA</t>
        </is>
      </c>
      <c r="P201" t="inlineStr">
        <is>
          <t>00</t>
        </is>
      </c>
      <c r="Q201" t="inlineStr">
        <is>
          <t>RECURSOS</t>
        </is>
      </c>
      <c r="R201" t="n">
        <v>2161416</v>
      </c>
      <c r="S201" t="n">
        <v>2161416</v>
      </c>
      <c r="T201" t="n">
        <v>2161416</v>
      </c>
      <c r="U201" t="n">
        <v>0</v>
      </c>
      <c r="V201" t="n">
        <v>0</v>
      </c>
      <c r="W201" t="n">
        <v>0</v>
      </c>
      <c r="X201" t="n">
        <v>0</v>
      </c>
      <c r="Y201" t="n">
        <v>2161416</v>
      </c>
      <c r="Z201" t="n">
        <v>1462973</v>
      </c>
      <c r="AA201" t="n">
        <v>1462973</v>
      </c>
      <c r="AB201" t="n">
        <v>1462973</v>
      </c>
      <c r="AC201" t="n">
        <v>1462973</v>
      </c>
      <c r="AD201" t="n">
        <v>698443</v>
      </c>
      <c r="AE201" t="n">
        <v>67.69</v>
      </c>
    </row>
    <row r="202">
      <c r="A202" t="inlineStr">
        <is>
          <t>1 - ADMINISTRACIÓN CENTRAL</t>
        </is>
      </c>
      <c r="B202" t="inlineStr">
        <is>
          <t>12 - JUSTICIA Y DEL DERECHO</t>
        </is>
      </c>
      <c r="C202" t="inlineStr">
        <is>
          <t>0800</t>
        </is>
      </c>
      <c r="D202" t="inlineStr">
        <is>
          <t>1202</t>
        </is>
      </c>
      <c r="E202" t="inlineStr">
        <is>
          <t>1202002</t>
        </is>
      </c>
      <c r="F202" t="inlineStr">
        <is>
          <t>SERVICIO DE JUSTICIA A LOS CIUDADANOS</t>
        </is>
      </c>
      <c r="G202" t="inlineStr">
        <is>
          <t>2024546600041</t>
        </is>
      </c>
      <c r="H202" t="inlineStr">
        <is>
          <t>APOYO PARA LA PROMOCIÓN DEL ACCESO A LA JUSTICIA PDM UNIDOS SOMOS MÁS EN EL MUNICIPIO DE   SALAZAR</t>
        </is>
      </c>
      <c r="I202" t="inlineStr">
        <is>
          <t>00</t>
        </is>
      </c>
      <c r="J202" t="inlineStr">
        <is>
          <t>SIN PRODUCTO DANE</t>
        </is>
      </c>
      <c r="K202" t="inlineStr">
        <is>
          <t>00</t>
        </is>
      </c>
      <c r="L202" t="inlineStr">
        <is>
          <t>SIN ATRIBUTO</t>
        </is>
      </c>
      <c r="N202" t="inlineStr">
        <is>
          <t>2.3.1.01.01.001.07.12.01</t>
        </is>
      </c>
      <c r="O202" t="inlineStr">
        <is>
          <t>Bonificacion por servicios prestados - CORREGIDOR</t>
        </is>
      </c>
      <c r="P202" t="inlineStr">
        <is>
          <t>360</t>
        </is>
      </c>
      <c r="Q202" t="inlineStr">
        <is>
          <t>SGP PROPOSITO GENERAL 42 POR CIENTO RECURSOS LIBRE DESTINACION SGP PROPOSITO GENERAL MPIOS DE CATEGORIA 4 5 Y 6 SGP ONCE</t>
        </is>
      </c>
      <c r="R202" t="n">
        <v>2161416</v>
      </c>
      <c r="S202" t="n">
        <v>0</v>
      </c>
      <c r="T202" t="n">
        <v>2161416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</row>
    <row r="203">
      <c r="A203" t="inlineStr">
        <is>
          <t>1 - ADMINISTRACIÓN CENTRAL</t>
        </is>
      </c>
      <c r="B203" t="inlineStr">
        <is>
          <t>12 - JUSTICIA Y DEL DERECHO</t>
        </is>
      </c>
      <c r="C203" t="inlineStr">
        <is>
          <t>0800</t>
        </is>
      </c>
      <c r="D203" t="inlineStr">
        <is>
          <t>1202</t>
        </is>
      </c>
      <c r="E203" t="inlineStr">
        <is>
          <t>1202002</t>
        </is>
      </c>
      <c r="F203" t="inlineStr">
        <is>
          <t>SERVICIO DE JUSTICIA A LOS CIUDADANOS</t>
        </is>
      </c>
      <c r="G203" t="inlineStr">
        <is>
          <t>2024546600041</t>
        </is>
      </c>
      <c r="H203" t="inlineStr">
        <is>
          <t>APOYO PARA LA PROMOCIÓN DEL ACCESO A LA JUSTICIA PDM UNIDOS SOMOS MÁS EN EL MUNICIPIO DE   SALAZAR</t>
        </is>
      </c>
      <c r="I203" t="inlineStr">
        <is>
          <t>00</t>
        </is>
      </c>
      <c r="J203" t="inlineStr">
        <is>
          <t>SIN PRODUCTO DANE</t>
        </is>
      </c>
      <c r="K203" t="inlineStr">
        <is>
          <t>00</t>
        </is>
      </c>
      <c r="L203" t="inlineStr">
        <is>
          <t>SIN ATRIBUTO</t>
        </is>
      </c>
      <c r="N203" t="inlineStr">
        <is>
          <t>2.3.1.01.01.001.07.12.02</t>
        </is>
      </c>
      <c r="O203" t="inlineStr">
        <is>
          <t>Bonificacion por servicios prestados - CORREGIDOR</t>
        </is>
      </c>
      <c r="P203" t="inlineStr">
        <is>
          <t>410</t>
        </is>
      </c>
      <c r="Q203" t="inlineStr">
        <is>
          <t>SGP PROPOSITO GENERAL FORZOSA INVERSION LIBRE INVERSIÓN SALDOS NO EJECUTADOS NI INCORPORADOS VIGENCIAS ANTERIORES Y REIN</t>
        </is>
      </c>
      <c r="R203" t="n">
        <v>0</v>
      </c>
      <c r="S203" t="n">
        <v>2161416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2161416</v>
      </c>
      <c r="Z203" t="n">
        <v>1462973</v>
      </c>
      <c r="AA203" t="n">
        <v>1462973</v>
      </c>
      <c r="AB203" t="n">
        <v>1462973</v>
      </c>
      <c r="AC203" t="n">
        <v>1462973</v>
      </c>
      <c r="AD203" t="n">
        <v>698443</v>
      </c>
      <c r="AE203" t="n">
        <v>67.69</v>
      </c>
    </row>
    <row r="204">
      <c r="A204" t="inlineStr">
        <is>
          <t>1 - ADMINISTRACIÓN CENTRAL</t>
        </is>
      </c>
      <c r="B204" t="inlineStr">
        <is>
          <t>00 - SIN SECTOR</t>
        </is>
      </c>
      <c r="C204" t="inlineStr">
        <is>
          <t>00</t>
        </is>
      </c>
      <c r="D204" t="inlineStr">
        <is>
          <t>0000</t>
        </is>
      </c>
      <c r="E204" t="inlineStr">
        <is>
          <t>000000</t>
        </is>
      </c>
      <c r="F204" t="inlineStr">
        <is>
          <t>SIN PRODUCTO</t>
        </is>
      </c>
      <c r="G204" t="inlineStr">
        <is>
          <t>00</t>
        </is>
      </c>
      <c r="H204" t="inlineStr">
        <is>
          <t>00</t>
        </is>
      </c>
      <c r="I204" t="inlineStr">
        <is>
          <t>00</t>
        </is>
      </c>
      <c r="J204" t="inlineStr">
        <is>
          <t>SIN PRODUCTO DANE</t>
        </is>
      </c>
      <c r="K204" t="inlineStr">
        <is>
          <t>00</t>
        </is>
      </c>
      <c r="L204" t="inlineStr">
        <is>
          <t>SIN ATRIBUTO</t>
        </is>
      </c>
      <c r="N204" t="inlineStr">
        <is>
          <t>2.3.1.01.01.001.07.17</t>
        </is>
      </c>
      <c r="O204" t="inlineStr">
        <is>
          <t>AGRICULTURA</t>
        </is>
      </c>
      <c r="P204" t="inlineStr">
        <is>
          <t>00</t>
        </is>
      </c>
      <c r="Q204" t="inlineStr">
        <is>
          <t>RECURSOS</t>
        </is>
      </c>
      <c r="R204" t="n">
        <v>5684695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5684695</v>
      </c>
      <c r="Z204" t="n">
        <v>1105498</v>
      </c>
      <c r="AA204" t="n">
        <v>1105498</v>
      </c>
      <c r="AB204" t="n">
        <v>1105498</v>
      </c>
      <c r="AC204" t="n">
        <v>1105498</v>
      </c>
      <c r="AD204" t="n">
        <v>4579197</v>
      </c>
      <c r="AE204" t="n">
        <v>19.45</v>
      </c>
    </row>
    <row r="205">
      <c r="A205" t="inlineStr">
        <is>
          <t>1 - ADMINISTRACIÓN CENTRAL</t>
        </is>
      </c>
      <c r="B205" t="inlineStr">
        <is>
          <t>17 - AGRICULTURA Y DESARROLLO RURAL</t>
        </is>
      </c>
      <c r="C205" t="inlineStr">
        <is>
          <t>1100</t>
        </is>
      </c>
      <c r="D205" t="inlineStr">
        <is>
          <t>1702</t>
        </is>
      </c>
      <c r="E205" t="inlineStr">
        <is>
          <t>1702010</t>
        </is>
      </c>
      <c r="F205" t="inlineStr">
        <is>
          <t>SERVICIO DE ASISTENCIA TÉCNICA AGROPECUARIA DIRIGIDA A PEQUEÑOS PRODUCTORES</t>
        </is>
      </c>
      <c r="G205" t="inlineStr">
        <is>
          <t>2024546600043</t>
        </is>
      </c>
      <c r="H205" t="inlineStr">
        <is>
          <t>APOYO PARA LA INCLUSIÓN PRODUCTIVA DE PEQUEÑOS PRODUCTORES RURALES PDM UNIDOS SOMOS MÁS EN EL MUNICIPIO DE  SALAZAR</t>
        </is>
      </c>
      <c r="I205" t="inlineStr">
        <is>
          <t>00</t>
        </is>
      </c>
      <c r="J205" t="inlineStr">
        <is>
          <t>SIN PRODUCTO DANE</t>
        </is>
      </c>
      <c r="K205" t="inlineStr">
        <is>
          <t>00</t>
        </is>
      </c>
      <c r="L205" t="inlineStr">
        <is>
          <t>SIN ATRIBUTO</t>
        </is>
      </c>
      <c r="N205" t="inlineStr">
        <is>
          <t>2.3.1.01.01.001.07.17.01</t>
        </is>
      </c>
      <c r="O205" t="inlineStr">
        <is>
          <t>Bonificacion por servicios prestados - UMATA</t>
        </is>
      </c>
      <c r="P205" t="inlineStr">
        <is>
          <t>420</t>
        </is>
      </c>
      <c r="Q205" t="inlineStr">
        <is>
          <t>SGP PROPOSITO GENERAL FORZOSA INVERSION LIBRE INVERSIÓN SGP ONCE DOCEAVAS VIGENCIA ACTUAL MAS ULTIMA DOCEAVA VIGENCIA AN</t>
        </is>
      </c>
      <c r="R205" t="n">
        <v>5684695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5684695</v>
      </c>
      <c r="Z205" t="n">
        <v>1105498</v>
      </c>
      <c r="AA205" t="n">
        <v>1105498</v>
      </c>
      <c r="AB205" t="n">
        <v>1105498</v>
      </c>
      <c r="AC205" t="n">
        <v>1105498</v>
      </c>
      <c r="AD205" t="n">
        <v>4579197</v>
      </c>
      <c r="AE205" t="n">
        <v>19.45</v>
      </c>
    </row>
    <row r="206">
      <c r="A206" t="inlineStr">
        <is>
          <t>1 - ADMINISTRACIÓN CENTRAL</t>
        </is>
      </c>
      <c r="B206" t="inlineStr">
        <is>
          <t>00 - SIN SECTOR</t>
        </is>
      </c>
      <c r="C206" t="inlineStr">
        <is>
          <t>00</t>
        </is>
      </c>
      <c r="D206" t="inlineStr">
        <is>
          <t>0000</t>
        </is>
      </c>
      <c r="E206" t="inlineStr">
        <is>
          <t>000000</t>
        </is>
      </c>
      <c r="F206" t="inlineStr">
        <is>
          <t>SIN PRODUCTO</t>
        </is>
      </c>
      <c r="G206" t="inlineStr">
        <is>
          <t>00</t>
        </is>
      </c>
      <c r="H206" t="inlineStr">
        <is>
          <t>00</t>
        </is>
      </c>
      <c r="I206" t="inlineStr">
        <is>
          <t>00</t>
        </is>
      </c>
      <c r="J206" t="inlineStr">
        <is>
          <t>SIN PRODUCTO DANE</t>
        </is>
      </c>
      <c r="K206" t="inlineStr">
        <is>
          <t>00</t>
        </is>
      </c>
      <c r="L206" t="inlineStr">
        <is>
          <t>SIN ATRIBUTO</t>
        </is>
      </c>
      <c r="N206" t="inlineStr">
        <is>
          <t>2.3.1.01.01.001.07.45</t>
        </is>
      </c>
      <c r="O206" t="inlineStr">
        <is>
          <t>GOBIERNO TERRITORIAL</t>
        </is>
      </c>
      <c r="P206" t="inlineStr">
        <is>
          <t>00</t>
        </is>
      </c>
      <c r="Q206" t="inlineStr">
        <is>
          <t>RECURSOS</t>
        </is>
      </c>
      <c r="R206" t="n">
        <v>6673618</v>
      </c>
      <c r="S206" t="n">
        <v>4300302</v>
      </c>
      <c r="T206" t="n">
        <v>4300302</v>
      </c>
      <c r="U206" t="n">
        <v>0</v>
      </c>
      <c r="V206" t="n">
        <v>0</v>
      </c>
      <c r="W206" t="n">
        <v>0</v>
      </c>
      <c r="X206" t="n">
        <v>0</v>
      </c>
      <c r="Y206" t="n">
        <v>6673618</v>
      </c>
      <c r="Z206" t="n">
        <v>2913417</v>
      </c>
      <c r="AA206" t="n">
        <v>2913417</v>
      </c>
      <c r="AB206" t="n">
        <v>2913417</v>
      </c>
      <c r="AC206" t="n">
        <v>2913417</v>
      </c>
      <c r="AD206" t="n">
        <v>3760201</v>
      </c>
      <c r="AE206" t="n">
        <v>43.66</v>
      </c>
    </row>
    <row r="207">
      <c r="A207" t="inlineStr">
        <is>
          <t>1 - ADMINISTRACIÓN CENTRAL</t>
        </is>
      </c>
      <c r="B207" t="inlineStr">
        <is>
          <t>45 - GOBIERNO TERRITORIAL</t>
        </is>
      </c>
      <c r="C207" t="inlineStr">
        <is>
          <t>1000</t>
        </is>
      </c>
      <c r="D207" t="inlineStr">
        <is>
          <t>4501</t>
        </is>
      </c>
      <c r="E207" t="inlineStr">
        <is>
          <t>4501082</t>
        </is>
      </c>
      <c r="F207" t="inlineStr">
        <is>
          <t>SERVICIO DE APOYO PARA LA ATENCIÓN ESPECIALIZADA E INTERDISCIPLINARIA EN LAS COMISARIAS DE FAMILIA</t>
        </is>
      </c>
      <c r="G207" t="inlineStr">
        <is>
          <t>2024546600072</t>
        </is>
      </c>
      <c r="H207" t="inlineStr">
        <is>
          <t>FORTALECIMIENTO DE LA CONVIVENCIA Y LA SEGURIDAD CIUDADANA PDM UNIDOS SOMOS MÁS EN EL MUNICIPIO DE  SALAZAR</t>
        </is>
      </c>
      <c r="I207" t="inlineStr">
        <is>
          <t>00</t>
        </is>
      </c>
      <c r="J207" t="inlineStr">
        <is>
          <t>SIN PRODUCTO DANE</t>
        </is>
      </c>
      <c r="K207" t="inlineStr">
        <is>
          <t>00</t>
        </is>
      </c>
      <c r="L207" t="inlineStr">
        <is>
          <t>SIN ATRIBUTO</t>
        </is>
      </c>
      <c r="N207" t="inlineStr">
        <is>
          <t>2.3.1.01.01.001.07.45.01</t>
        </is>
      </c>
      <c r="O207" t="inlineStr">
        <is>
          <t>Bonificacion por servicios prestados - COMISARIA DE FAMILIA</t>
        </is>
      </c>
      <c r="P207" t="inlineStr">
        <is>
          <t>360</t>
        </is>
      </c>
      <c r="Q207" t="inlineStr">
        <is>
          <t>SGP PROPOSITO GENERAL 42 POR CIENTO RECURSOS LIBRE DESTINACION SGP PROPOSITO GENERAL MPIOS DE CATEGORIA 4 5 Y 6 SGP ONCE</t>
        </is>
      </c>
      <c r="R207" t="n">
        <v>6673618</v>
      </c>
      <c r="S207" t="n">
        <v>0</v>
      </c>
      <c r="T207" t="n">
        <v>4300302</v>
      </c>
      <c r="U207" t="n">
        <v>0</v>
      </c>
      <c r="V207" t="n">
        <v>0</v>
      </c>
      <c r="W207" t="n">
        <v>0</v>
      </c>
      <c r="X207" t="n">
        <v>0</v>
      </c>
      <c r="Y207" t="n">
        <v>2373316</v>
      </c>
      <c r="Z207" t="n">
        <v>2373316</v>
      </c>
      <c r="AA207" t="n">
        <v>2373316</v>
      </c>
      <c r="AB207" t="n">
        <v>2373316</v>
      </c>
      <c r="AC207" t="n">
        <v>2373316</v>
      </c>
      <c r="AD207" t="n">
        <v>0</v>
      </c>
      <c r="AE207" t="n">
        <v>100</v>
      </c>
    </row>
    <row r="208">
      <c r="A208" t="inlineStr">
        <is>
          <t>1 - ADMINISTRACIÓN CENTRAL</t>
        </is>
      </c>
      <c r="B208" t="inlineStr">
        <is>
          <t>45 - GOBIERNO TERRITORIAL</t>
        </is>
      </c>
      <c r="C208" t="inlineStr">
        <is>
          <t>1000</t>
        </is>
      </c>
      <c r="D208" t="inlineStr">
        <is>
          <t>4501</t>
        </is>
      </c>
      <c r="E208" t="inlineStr">
        <is>
          <t>4501082</t>
        </is>
      </c>
      <c r="F208" t="inlineStr">
        <is>
          <t>SERVICIO DE APOYO PARA LA ATENCIÓN ESPECIALIZADA E INTERDISCIPLINARIA EN LAS COMISARIAS DE FAMILIA</t>
        </is>
      </c>
      <c r="G208" t="inlineStr">
        <is>
          <t>2024546600072</t>
        </is>
      </c>
      <c r="H208" t="inlineStr">
        <is>
          <t>FORTALECIMIENTO DE LA CONVIVENCIA Y LA SEGURIDAD CIUDADANA PDM UNIDOS SOMOS MÁS EN EL MUNICIPIO DE  SALAZAR</t>
        </is>
      </c>
      <c r="I208" t="inlineStr">
        <is>
          <t>00</t>
        </is>
      </c>
      <c r="J208" t="inlineStr">
        <is>
          <t>SIN PRODUCTO DANE</t>
        </is>
      </c>
      <c r="K208" t="inlineStr">
        <is>
          <t>00</t>
        </is>
      </c>
      <c r="L208" t="inlineStr">
        <is>
          <t>SIN ATRIBUTO</t>
        </is>
      </c>
      <c r="N208" t="inlineStr">
        <is>
          <t>2.3.1.01.01.001.07.45.02</t>
        </is>
      </c>
      <c r="O208" t="inlineStr">
        <is>
          <t>Bonificacion por servicios prestados - COMISARIA DE FAMILIA</t>
        </is>
      </c>
      <c r="P208" t="inlineStr">
        <is>
          <t>153.1</t>
        </is>
      </c>
      <c r="Q208" t="inlineStr">
        <is>
          <t>RB ESTAMPILLA PARA LA JUSTICIA FAMILIAR</t>
        </is>
      </c>
      <c r="R208" t="n">
        <v>0</v>
      </c>
      <c r="S208" t="n">
        <v>4300302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4300302</v>
      </c>
      <c r="Z208" t="n">
        <v>540101</v>
      </c>
      <c r="AA208" t="n">
        <v>540101</v>
      </c>
      <c r="AB208" t="n">
        <v>540101</v>
      </c>
      <c r="AC208" t="n">
        <v>540101</v>
      </c>
      <c r="AD208" t="n">
        <v>3760201</v>
      </c>
      <c r="AE208" t="n">
        <v>12.56</v>
      </c>
    </row>
    <row r="209">
      <c r="A209" t="inlineStr">
        <is>
          <t>1 - ADMINISTRACIÓN CENTRAL</t>
        </is>
      </c>
      <c r="B209" t="inlineStr">
        <is>
          <t>00 - SIN SECTOR</t>
        </is>
      </c>
      <c r="C209" t="inlineStr">
        <is>
          <t>00</t>
        </is>
      </c>
      <c r="D209" t="inlineStr">
        <is>
          <t>0000</t>
        </is>
      </c>
      <c r="E209" t="inlineStr">
        <is>
          <t>000000</t>
        </is>
      </c>
      <c r="F209" t="inlineStr">
        <is>
          <t>SIN PRODUCTO</t>
        </is>
      </c>
      <c r="G209" t="inlineStr">
        <is>
          <t>00</t>
        </is>
      </c>
      <c r="H209" t="inlineStr">
        <is>
          <t>00</t>
        </is>
      </c>
      <c r="I209" t="inlineStr">
        <is>
          <t>00</t>
        </is>
      </c>
      <c r="J209" t="inlineStr">
        <is>
          <t>SIN PRODUCTO DANE</t>
        </is>
      </c>
      <c r="K209" t="inlineStr">
        <is>
          <t>00</t>
        </is>
      </c>
      <c r="L209" t="inlineStr">
        <is>
          <t>SIN ATRIBUTO</t>
        </is>
      </c>
      <c r="N209" t="inlineStr">
        <is>
          <t>2.3.1.01.01.001.08</t>
        </is>
      </c>
      <c r="O209" t="inlineStr">
        <is>
          <t>PRESTACIONES SOCIALES</t>
        </is>
      </c>
      <c r="P209" t="inlineStr">
        <is>
          <t>00</t>
        </is>
      </c>
      <c r="Q209" t="inlineStr">
        <is>
          <t>RECURSOS</t>
        </is>
      </c>
      <c r="R209" t="n">
        <v>54120870</v>
      </c>
      <c r="S209" t="n">
        <v>32500366</v>
      </c>
      <c r="T209" t="n">
        <v>32500366</v>
      </c>
      <c r="U209" t="n">
        <v>0</v>
      </c>
      <c r="V209" t="n">
        <v>0</v>
      </c>
      <c r="W209" t="n">
        <v>0</v>
      </c>
      <c r="X209" t="n">
        <v>0</v>
      </c>
      <c r="Y209" t="n">
        <v>54120870</v>
      </c>
      <c r="Z209" t="n">
        <v>5038115</v>
      </c>
      <c r="AA209" t="n">
        <v>5038115</v>
      </c>
      <c r="AB209" t="n">
        <v>5038115</v>
      </c>
      <c r="AC209" t="n">
        <v>5038115</v>
      </c>
      <c r="AD209" t="n">
        <v>49082755</v>
      </c>
      <c r="AE209" t="n">
        <v>9.31</v>
      </c>
    </row>
    <row r="210">
      <c r="A210" t="inlineStr">
        <is>
          <t>1 - ADMINISTRACIÓN CENTRAL</t>
        </is>
      </c>
      <c r="B210" t="inlineStr">
        <is>
          <t>00 - SIN SECTOR</t>
        </is>
      </c>
      <c r="C210" t="inlineStr">
        <is>
          <t>00</t>
        </is>
      </c>
      <c r="D210" t="inlineStr">
        <is>
          <t>0000</t>
        </is>
      </c>
      <c r="E210" t="inlineStr">
        <is>
          <t>000000</t>
        </is>
      </c>
      <c r="F210" t="inlineStr">
        <is>
          <t>SIN PRODUCTO</t>
        </is>
      </c>
      <c r="G210" t="inlineStr">
        <is>
          <t>00</t>
        </is>
      </c>
      <c r="H210" t="inlineStr">
        <is>
          <t>00</t>
        </is>
      </c>
      <c r="I210" t="inlineStr">
        <is>
          <t>00</t>
        </is>
      </c>
      <c r="J210" t="inlineStr">
        <is>
          <t>SIN PRODUCTO DANE</t>
        </is>
      </c>
      <c r="K210" t="inlineStr">
        <is>
          <t>00</t>
        </is>
      </c>
      <c r="L210" t="inlineStr">
        <is>
          <t>SIN ATRIBUTO</t>
        </is>
      </c>
      <c r="N210" t="inlineStr">
        <is>
          <t>2.3.1.01.01.001.08.01</t>
        </is>
      </c>
      <c r="O210" t="inlineStr">
        <is>
          <t>PRIMA DE NAVIDAD</t>
        </is>
      </c>
      <c r="P210" t="inlineStr">
        <is>
          <t>00</t>
        </is>
      </c>
      <c r="Q210" t="inlineStr">
        <is>
          <t>RECURSOS</t>
        </is>
      </c>
      <c r="R210" t="n">
        <v>36568154</v>
      </c>
      <c r="S210" t="n">
        <v>21959707</v>
      </c>
      <c r="T210" t="n">
        <v>21959707</v>
      </c>
      <c r="U210" t="n">
        <v>0</v>
      </c>
      <c r="V210" t="n">
        <v>0</v>
      </c>
      <c r="W210" t="n">
        <v>0</v>
      </c>
      <c r="X210" t="n">
        <v>0</v>
      </c>
      <c r="Y210" t="n">
        <v>36568154</v>
      </c>
      <c r="Z210" t="n">
        <v>747902</v>
      </c>
      <c r="AA210" t="n">
        <v>747902</v>
      </c>
      <c r="AB210" t="n">
        <v>747902</v>
      </c>
      <c r="AC210" t="n">
        <v>747902</v>
      </c>
      <c r="AD210" t="n">
        <v>35820252</v>
      </c>
      <c r="AE210" t="n">
        <v>2.05</v>
      </c>
    </row>
    <row r="211">
      <c r="A211" t="inlineStr">
        <is>
          <t>1 - ADMINISTRACIÓN CENTRAL</t>
        </is>
      </c>
      <c r="B211" t="inlineStr">
        <is>
          <t>12 - JUSTICIA Y DEL DERECHO</t>
        </is>
      </c>
      <c r="C211" t="inlineStr">
        <is>
          <t>0800</t>
        </is>
      </c>
      <c r="D211" t="inlineStr">
        <is>
          <t>1202</t>
        </is>
      </c>
      <c r="E211" t="inlineStr">
        <is>
          <t>1202002</t>
        </is>
      </c>
      <c r="F211" t="inlineStr">
        <is>
          <t>SERVICIO DE JUSTICIA A LOS CIUDADANOS</t>
        </is>
      </c>
      <c r="G211" t="inlineStr">
        <is>
          <t>2024546600041</t>
        </is>
      </c>
      <c r="H211" t="inlineStr">
        <is>
          <t>APOYO PARA LA PROMOCIÓN DEL ACCESO A LA JUSTICIA PDM UNIDOS SOMOS MÁS EN EL MUNICIPIO DE   SALAZAR</t>
        </is>
      </c>
      <c r="I211" t="inlineStr">
        <is>
          <t>00</t>
        </is>
      </c>
      <c r="J211" t="inlineStr">
        <is>
          <t>SIN PRODUCTO DANE</t>
        </is>
      </c>
      <c r="K211" t="inlineStr">
        <is>
          <t>00</t>
        </is>
      </c>
      <c r="L211" t="inlineStr">
        <is>
          <t>SIN ATRIBUTO</t>
        </is>
      </c>
      <c r="N211" t="inlineStr">
        <is>
          <t>2.3.1.01.01.001.08.01.12.01</t>
        </is>
      </c>
      <c r="O211" t="inlineStr">
        <is>
          <t>Prima de navidad - CORREGIDOR</t>
        </is>
      </c>
      <c r="P211" t="inlineStr">
        <is>
          <t>360</t>
        </is>
      </c>
      <c r="Q211" t="inlineStr">
        <is>
          <t>SGP PROPOSITO GENERAL 42 POR CIENTO RECURSOS LIBRE DESTINACION SGP PROPOSITO GENERAL MPIOS DE CATEGORIA 4 5 Y 6 SGP ONCE</t>
        </is>
      </c>
      <c r="R211" t="n">
        <v>5115737</v>
      </c>
      <c r="S211" t="n">
        <v>0</v>
      </c>
      <c r="T211" t="n">
        <v>5115737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</row>
    <row r="212">
      <c r="A212" t="inlineStr">
        <is>
          <t>1 - ADMINISTRACIÓN CENTRAL</t>
        </is>
      </c>
      <c r="B212" t="inlineStr">
        <is>
          <t>12 - JUSTICIA Y DEL DERECHO</t>
        </is>
      </c>
      <c r="C212" t="inlineStr">
        <is>
          <t>0800</t>
        </is>
      </c>
      <c r="D212" t="inlineStr">
        <is>
          <t>1202</t>
        </is>
      </c>
      <c r="E212" t="inlineStr">
        <is>
          <t>1202002</t>
        </is>
      </c>
      <c r="F212" t="inlineStr">
        <is>
          <t>SERVICIO DE JUSTICIA A LOS CIUDADANOS</t>
        </is>
      </c>
      <c r="G212" t="inlineStr">
        <is>
          <t>2024546600041</t>
        </is>
      </c>
      <c r="H212" t="inlineStr">
        <is>
          <t>APOYO PARA LA PROMOCIÓN DEL ACCESO A LA JUSTICIA PDM UNIDOS SOMOS MÁS EN EL MUNICIPIO DE   SALAZAR</t>
        </is>
      </c>
      <c r="I212" t="inlineStr">
        <is>
          <t>00</t>
        </is>
      </c>
      <c r="J212" t="inlineStr">
        <is>
          <t>SIN PRODUCTO DANE</t>
        </is>
      </c>
      <c r="K212" t="inlineStr">
        <is>
          <t>00</t>
        </is>
      </c>
      <c r="L212" t="inlineStr">
        <is>
          <t>SIN ATRIBUTO</t>
        </is>
      </c>
      <c r="N212" t="inlineStr">
        <is>
          <t>2.3.1.01.01.001.08.01.12.02</t>
        </is>
      </c>
      <c r="O212" t="inlineStr">
        <is>
          <t>Prima de navidad - CORREGIDOR</t>
        </is>
      </c>
      <c r="P212" t="inlineStr">
        <is>
          <t>410</t>
        </is>
      </c>
      <c r="Q212" t="inlineStr">
        <is>
          <t>SGP PROPOSITO GENERAL FORZOSA INVERSION LIBRE INVERSIÓN SALDOS NO EJECUTADOS NI INCORPORADOS VIGENCIAS ANTERIORES Y REIN</t>
        </is>
      </c>
      <c r="R212" t="n">
        <v>0</v>
      </c>
      <c r="S212" t="n">
        <v>5115737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5115737</v>
      </c>
      <c r="Z212" t="n">
        <v>0</v>
      </c>
      <c r="AA212" t="n">
        <v>0</v>
      </c>
      <c r="AB212" t="n">
        <v>0</v>
      </c>
      <c r="AC212" t="n">
        <v>0</v>
      </c>
      <c r="AD212" t="n">
        <v>5115737</v>
      </c>
      <c r="AE212" t="n">
        <v>0</v>
      </c>
    </row>
    <row r="213">
      <c r="A213" t="inlineStr">
        <is>
          <t>1 - ADMINISTRACIÓN CENTRAL</t>
        </is>
      </c>
      <c r="B213" t="inlineStr">
        <is>
          <t>17 - AGRICULTURA Y DESARROLLO RURAL</t>
        </is>
      </c>
      <c r="C213" t="inlineStr">
        <is>
          <t>1100</t>
        </is>
      </c>
      <c r="D213" t="inlineStr">
        <is>
          <t>1702</t>
        </is>
      </c>
      <c r="E213" t="inlineStr">
        <is>
          <t>1702010</t>
        </is>
      </c>
      <c r="F213" t="inlineStr">
        <is>
          <t>SERVICIO DE ASISTENCIA TÉCNICA AGROPECUARIA DIRIGIDA A PEQUEÑOS PRODUCTORES</t>
        </is>
      </c>
      <c r="G213" t="inlineStr">
        <is>
          <t>2024546600043</t>
        </is>
      </c>
      <c r="H213" t="inlineStr">
        <is>
          <t>APOYO PARA LA INCLUSIÓN PRODUCTIVA DE PEQUEÑOS PRODUCTORES RURALES PDM UNIDOS SOMOS MÁS EN EL MUNICIPIO DE  SALAZAR</t>
        </is>
      </c>
      <c r="I213" t="inlineStr">
        <is>
          <t>00</t>
        </is>
      </c>
      <c r="J213" t="inlineStr">
        <is>
          <t>SIN PRODUCTO DANE</t>
        </is>
      </c>
      <c r="K213" t="inlineStr">
        <is>
          <t>00</t>
        </is>
      </c>
      <c r="L213" t="inlineStr">
        <is>
          <t>SIN ATRIBUTO</t>
        </is>
      </c>
      <c r="N213" t="inlineStr">
        <is>
          <t>2.3.1.01.01.001.08.01.17.01</t>
        </is>
      </c>
      <c r="O213" t="inlineStr">
        <is>
          <t>Prima de navidad - UMATA</t>
        </is>
      </c>
      <c r="P213" t="inlineStr">
        <is>
          <t>420</t>
        </is>
      </c>
      <c r="Q213" t="inlineStr">
        <is>
          <t>SGP PROPOSITO GENERAL FORZOSA INVERSION LIBRE INVERSIÓN SGP ONCE DOCEAVAS VIGENCIA ACTUAL MAS ULTIMA DOCEAVA VIGENCIA AN</t>
        </is>
      </c>
      <c r="R213" t="n">
        <v>14608447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14608447</v>
      </c>
      <c r="Z213" t="n">
        <v>0</v>
      </c>
      <c r="AA213" t="n">
        <v>0</v>
      </c>
      <c r="AB213" t="n">
        <v>0</v>
      </c>
      <c r="AC213" t="n">
        <v>0</v>
      </c>
      <c r="AD213" t="n">
        <v>14608447</v>
      </c>
      <c r="AE213" t="n">
        <v>0</v>
      </c>
    </row>
    <row r="214">
      <c r="A214" t="inlineStr">
        <is>
          <t>1 - ADMINISTRACIÓN CENTRAL</t>
        </is>
      </c>
      <c r="B214" t="inlineStr">
        <is>
          <t>45 - GOBIERNO TERRITORIAL</t>
        </is>
      </c>
      <c r="C214" t="inlineStr">
        <is>
          <t>1000</t>
        </is>
      </c>
      <c r="D214" t="inlineStr">
        <is>
          <t>4501</t>
        </is>
      </c>
      <c r="E214" t="inlineStr">
        <is>
          <t>4501082</t>
        </is>
      </c>
      <c r="F214" t="inlineStr">
        <is>
          <t>SERVICIO DE APOYO PARA LA ATENCIÓN ESPECIALIZADA E INTERDISCIPLINARIA EN LAS COMISARIAS DE FAMILIA</t>
        </is>
      </c>
      <c r="G214" t="inlineStr">
        <is>
          <t>2024546600072</t>
        </is>
      </c>
      <c r="H214" t="inlineStr">
        <is>
          <t>FORTALECIMIENTO DE LA CONVIVENCIA Y LA SEGURIDAD CIUDADANA PDM UNIDOS SOMOS MÁS EN EL MUNICIPIO DE  SALAZAR</t>
        </is>
      </c>
      <c r="I214" t="inlineStr">
        <is>
          <t>00</t>
        </is>
      </c>
      <c r="J214" t="inlineStr">
        <is>
          <t>SIN PRODUCTO DANE</t>
        </is>
      </c>
      <c r="K214" t="inlineStr">
        <is>
          <t>00</t>
        </is>
      </c>
      <c r="L214" t="inlineStr">
        <is>
          <t>SIN ATRIBUTO</t>
        </is>
      </c>
      <c r="N214" t="inlineStr">
        <is>
          <t>2.3.1.01.01.001.08.01.45.01</t>
        </is>
      </c>
      <c r="O214" t="inlineStr">
        <is>
          <t>Prima de navidad - COMISARIA DE FAMILIA</t>
        </is>
      </c>
      <c r="P214" t="inlineStr">
        <is>
          <t>360</t>
        </is>
      </c>
      <c r="Q214" t="inlineStr">
        <is>
          <t>SGP PROPOSITO GENERAL 42 POR CIENTO RECURSOS LIBRE DESTINACION SGP PROPOSITO GENERAL MPIOS DE CATEGORIA 4 5 Y 6 SGP ONCE</t>
        </is>
      </c>
      <c r="R214" t="n">
        <v>16843970</v>
      </c>
      <c r="S214" t="n">
        <v>0</v>
      </c>
      <c r="T214" t="n">
        <v>16843970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</row>
    <row r="215">
      <c r="A215" t="inlineStr">
        <is>
          <t>1 - ADMINISTRACIÓN CENTRAL</t>
        </is>
      </c>
      <c r="B215" t="inlineStr">
        <is>
          <t>45 - GOBIERNO TERRITORIAL</t>
        </is>
      </c>
      <c r="C215" t="inlineStr">
        <is>
          <t>1000</t>
        </is>
      </c>
      <c r="D215" t="inlineStr">
        <is>
          <t>4501</t>
        </is>
      </c>
      <c r="E215" t="inlineStr">
        <is>
          <t>4501082</t>
        </is>
      </c>
      <c r="F215" t="inlineStr">
        <is>
          <t>SERVICIO DE APOYO PARA LA ATENCIÓN ESPECIALIZADA E INTERDISCIPLINARIA EN LAS COMISARIAS DE FAMILIA</t>
        </is>
      </c>
      <c r="G215" t="inlineStr">
        <is>
          <t>2024546600072</t>
        </is>
      </c>
      <c r="H215" t="inlineStr">
        <is>
          <t>FORTALECIMIENTO DE LA CONVIVENCIA Y LA SEGURIDAD CIUDADANA PDM UNIDOS SOMOS MÁS EN EL MUNICIPIO DE  SALAZAR</t>
        </is>
      </c>
      <c r="I215" t="inlineStr">
        <is>
          <t>00</t>
        </is>
      </c>
      <c r="J215" t="inlineStr">
        <is>
          <t>SIN PRODUCTO DANE</t>
        </is>
      </c>
      <c r="K215" t="inlineStr">
        <is>
          <t>00</t>
        </is>
      </c>
      <c r="L215" t="inlineStr">
        <is>
          <t>SIN ATRIBUTO</t>
        </is>
      </c>
      <c r="N215" t="inlineStr">
        <is>
          <t>2.3.1.01.01.001.08.01.45.02</t>
        </is>
      </c>
      <c r="O215" t="inlineStr">
        <is>
          <t>Prima de navidad - COMISARIA DE FAMILIA</t>
        </is>
      </c>
      <c r="P215" t="inlineStr">
        <is>
          <t>360.1</t>
        </is>
      </c>
      <c r="Q215" t="inlineStr">
        <is>
          <t>SGP LIBRE DESTINACION BALANCE</t>
        </is>
      </c>
      <c r="R215" t="n">
        <v>0</v>
      </c>
      <c r="S215" t="n">
        <v>16843970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16843970</v>
      </c>
      <c r="Z215" t="n">
        <v>747902</v>
      </c>
      <c r="AA215" t="n">
        <v>747902</v>
      </c>
      <c r="AB215" t="n">
        <v>747902</v>
      </c>
      <c r="AC215" t="n">
        <v>747902</v>
      </c>
      <c r="AD215" t="n">
        <v>16096068</v>
      </c>
      <c r="AE215" t="n">
        <v>4.44</v>
      </c>
    </row>
    <row r="216">
      <c r="A216" t="inlineStr">
        <is>
          <t>1 - ADMINISTRACIÓN CENTRAL</t>
        </is>
      </c>
      <c r="B216" t="inlineStr">
        <is>
          <t>12 - JUSTICIA Y DEL DERECHO</t>
        </is>
      </c>
      <c r="C216" t="inlineStr">
        <is>
          <t>0800</t>
        </is>
      </c>
      <c r="D216" t="inlineStr">
        <is>
          <t>1202</t>
        </is>
      </c>
      <c r="E216" t="inlineStr">
        <is>
          <t>1202002</t>
        </is>
      </c>
      <c r="F216" t="inlineStr">
        <is>
          <t>SERVICIO DE JUSTICIA A LOS CIUDADANOS</t>
        </is>
      </c>
      <c r="G216" t="inlineStr">
        <is>
          <t>2024546600041</t>
        </is>
      </c>
      <c r="H216" t="inlineStr">
        <is>
          <t>APOYO PARA LA PROMOCIÓN DEL ACCESO A LA JUSTICIA PDM UNIDOS SOMOS MÁS EN EL MUNICIPIO DE   SALAZAR</t>
        </is>
      </c>
      <c r="I216" t="inlineStr">
        <is>
          <t>00</t>
        </is>
      </c>
      <c r="J216" t="inlineStr">
        <is>
          <t>SIN PRODUCTO DANE</t>
        </is>
      </c>
      <c r="K216" t="inlineStr">
        <is>
          <t>00</t>
        </is>
      </c>
      <c r="L216" t="inlineStr">
        <is>
          <t>SIN ATRIBUTO</t>
        </is>
      </c>
      <c r="N216" t="inlineStr">
        <is>
          <t>2.3.1.01.01.001.08.02.12.01</t>
        </is>
      </c>
      <c r="O216" t="inlineStr">
        <is>
          <t>Prima de vacaciones - CORREGIDOR</t>
        </is>
      </c>
      <c r="P216" t="inlineStr">
        <is>
          <t>360</t>
        </is>
      </c>
      <c r="Q216" t="inlineStr">
        <is>
          <t>SGP PROPOSITO GENERAL 42 POR CIENTO RECURSOS LIBRE DESTINACION SGP PROPOSITO GENERAL MPIOS DE CATEGORIA 4 5 Y 6 SGP ONCE</t>
        </is>
      </c>
      <c r="R216" t="n">
        <v>2455553</v>
      </c>
      <c r="S216" t="n">
        <v>0</v>
      </c>
      <c r="T216" t="n">
        <v>2455553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</row>
    <row r="217">
      <c r="A217" t="inlineStr">
        <is>
          <t>1 - ADMINISTRACIÓN CENTRAL</t>
        </is>
      </c>
      <c r="B217" t="inlineStr">
        <is>
          <t>12 - JUSTICIA Y DEL DERECHO</t>
        </is>
      </c>
      <c r="C217" t="inlineStr">
        <is>
          <t>0800</t>
        </is>
      </c>
      <c r="D217" t="inlineStr">
        <is>
          <t>1202</t>
        </is>
      </c>
      <c r="E217" t="inlineStr">
        <is>
          <t>1202002</t>
        </is>
      </c>
      <c r="F217" t="inlineStr">
        <is>
          <t>SERVICIO DE JUSTICIA A LOS CIUDADANOS</t>
        </is>
      </c>
      <c r="G217" t="inlineStr">
        <is>
          <t>2024546600041</t>
        </is>
      </c>
      <c r="H217" t="inlineStr">
        <is>
          <t>APOYO PARA LA PROMOCIÓN DEL ACCESO A LA JUSTICIA PDM UNIDOS SOMOS MÁS EN EL MUNICIPIO DE   SALAZAR</t>
        </is>
      </c>
      <c r="I217" t="inlineStr">
        <is>
          <t>00</t>
        </is>
      </c>
      <c r="J217" t="inlineStr">
        <is>
          <t>SIN PRODUCTO DANE</t>
        </is>
      </c>
      <c r="K217" t="inlineStr">
        <is>
          <t>00</t>
        </is>
      </c>
      <c r="L217" t="inlineStr">
        <is>
          <t>SIN ATRIBUTO</t>
        </is>
      </c>
      <c r="N217" t="inlineStr">
        <is>
          <t>2.3.1.01.01.001.08.02.12.02</t>
        </is>
      </c>
      <c r="O217" t="inlineStr">
        <is>
          <t>Prima de vacaciones - CORREGIDOR</t>
        </is>
      </c>
      <c r="P217" t="inlineStr">
        <is>
          <t>410</t>
        </is>
      </c>
      <c r="Q217" t="inlineStr">
        <is>
          <t>SGP PROPOSITO GENERAL FORZOSA INVERSION LIBRE INVERSIÓN SALDOS NO EJECUTADOS NI INCORPORADOS VIGENCIAS ANTERIORES Y REIN</t>
        </is>
      </c>
      <c r="R217" t="n">
        <v>0</v>
      </c>
      <c r="S217" t="n">
        <v>2455553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2455553</v>
      </c>
      <c r="Z217" t="n">
        <v>0</v>
      </c>
      <c r="AA217" t="n">
        <v>0</v>
      </c>
      <c r="AB217" t="n">
        <v>0</v>
      </c>
      <c r="AC217" t="n">
        <v>0</v>
      </c>
      <c r="AD217" t="n">
        <v>2455553</v>
      </c>
      <c r="AE217" t="n">
        <v>0</v>
      </c>
    </row>
    <row r="218">
      <c r="A218" t="inlineStr">
        <is>
          <t>1 - ADMINISTRACIÓN CENTRAL</t>
        </is>
      </c>
      <c r="B218" t="inlineStr">
        <is>
          <t>17 - AGRICULTURA Y DESARROLLO RURAL</t>
        </is>
      </c>
      <c r="C218" t="inlineStr">
        <is>
          <t>1100</t>
        </is>
      </c>
      <c r="D218" t="inlineStr">
        <is>
          <t>1702</t>
        </is>
      </c>
      <c r="E218" t="inlineStr">
        <is>
          <t>1702010</t>
        </is>
      </c>
      <c r="F218" t="inlineStr">
        <is>
          <t>SERVICIO DE ASISTENCIA TÉCNICA AGROPECUARIA DIRIGIDA A PEQUEÑOS PRODUCTORES</t>
        </is>
      </c>
      <c r="G218" t="inlineStr">
        <is>
          <t>2024546600043</t>
        </is>
      </c>
      <c r="H218" t="inlineStr">
        <is>
          <t>APOYO PARA LA INCLUSIÓN PRODUCTIVA DE PEQUEÑOS PRODUCTORES RURALES PDM UNIDOS SOMOS MÁS EN EL MUNICIPIO DE  SALAZAR</t>
        </is>
      </c>
      <c r="I218" t="inlineStr">
        <is>
          <t>00</t>
        </is>
      </c>
      <c r="J218" t="inlineStr">
        <is>
          <t>SIN PRODUCTO DANE</t>
        </is>
      </c>
      <c r="K218" t="inlineStr">
        <is>
          <t>00</t>
        </is>
      </c>
      <c r="L218" t="inlineStr">
        <is>
          <t>SIN ATRIBUTO</t>
        </is>
      </c>
      <c r="N218" t="inlineStr">
        <is>
          <t>2.3.1.01.01.001.08.02.17.01</t>
        </is>
      </c>
      <c r="O218" t="inlineStr">
        <is>
          <t>Prima de vacaciones - UMATA</t>
        </is>
      </c>
      <c r="P218" t="inlineStr">
        <is>
          <t>420</t>
        </is>
      </c>
      <c r="Q218" t="inlineStr">
        <is>
          <t>SGP PROPOSITO GENERAL FORZOSA INVERSION LIBRE INVERSIÓN SGP ONCE DOCEAVAS VIGENCIA ACTUAL MAS ULTIMA DOCEAVA VIGENCIA AN</t>
        </is>
      </c>
      <c r="R218" t="n">
        <v>7012057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7012057</v>
      </c>
      <c r="Z218" t="n">
        <v>2618339</v>
      </c>
      <c r="AA218" t="n">
        <v>2618339</v>
      </c>
      <c r="AB218" t="n">
        <v>2618339</v>
      </c>
      <c r="AC218" t="n">
        <v>2618339</v>
      </c>
      <c r="AD218" t="n">
        <v>4393718</v>
      </c>
      <c r="AE218" t="n">
        <v>37.34</v>
      </c>
    </row>
    <row r="219">
      <c r="A219" t="inlineStr">
        <is>
          <t>1 - ADMINISTRACIÓN CENTRAL</t>
        </is>
      </c>
      <c r="B219" t="inlineStr">
        <is>
          <t>45 - GOBIERNO TERRITORIAL</t>
        </is>
      </c>
      <c r="C219" t="inlineStr">
        <is>
          <t>1000</t>
        </is>
      </c>
      <c r="D219" t="inlineStr">
        <is>
          <t>4501</t>
        </is>
      </c>
      <c r="E219" t="inlineStr">
        <is>
          <t>4501082</t>
        </is>
      </c>
      <c r="F219" t="inlineStr">
        <is>
          <t>SERVICIO DE APOYO PARA LA ATENCIÓN ESPECIALIZADA E INTERDISCIPLINARIA EN LAS COMISARIAS DE FAMILIA</t>
        </is>
      </c>
      <c r="G219" t="inlineStr">
        <is>
          <t>2024546600072</t>
        </is>
      </c>
      <c r="H219" t="inlineStr">
        <is>
          <t>FORTALECIMIENTO DE LA CONVIVENCIA Y LA SEGURIDAD CIUDADANA PDM UNIDOS SOMOS MÁS EN EL MUNICIPIO DE  SALAZAR</t>
        </is>
      </c>
      <c r="I219" t="inlineStr">
        <is>
          <t>00</t>
        </is>
      </c>
      <c r="J219" t="inlineStr">
        <is>
          <t>SIN PRODUCTO DANE</t>
        </is>
      </c>
      <c r="K219" t="inlineStr">
        <is>
          <t>00</t>
        </is>
      </c>
      <c r="L219" t="inlineStr">
        <is>
          <t>SIN ATRIBUTO</t>
        </is>
      </c>
      <c r="N219" t="inlineStr">
        <is>
          <t>2.3.1.01.01.001.08.02.45.01</t>
        </is>
      </c>
      <c r="O219" t="inlineStr">
        <is>
          <t>Prima de vacaciones - COMISARIA DE FAMILIA</t>
        </is>
      </c>
      <c r="P219" t="inlineStr">
        <is>
          <t>360</t>
        </is>
      </c>
      <c r="Q219" t="inlineStr">
        <is>
          <t>SGP PROPOSITO GENERAL 42 POR CIENTO RECURSOS LIBRE DESTINACION SGP PROPOSITO GENERAL MPIOS DE CATEGORIA 4 5 Y 6 SGP ONCE</t>
        </is>
      </c>
      <c r="R219" t="n">
        <v>8085106</v>
      </c>
      <c r="S219" t="n">
        <v>0</v>
      </c>
      <c r="T219" t="n">
        <v>8085106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</row>
    <row r="220">
      <c r="A220" t="inlineStr">
        <is>
          <t>1 - ADMINISTRACIÓN CENTRAL</t>
        </is>
      </c>
      <c r="B220" t="inlineStr">
        <is>
          <t>45 - GOBIERNO TERRITORIAL</t>
        </is>
      </c>
      <c r="C220" t="inlineStr">
        <is>
          <t>1000</t>
        </is>
      </c>
      <c r="D220" t="inlineStr">
        <is>
          <t>4501</t>
        </is>
      </c>
      <c r="E220" t="inlineStr">
        <is>
          <t>4501082</t>
        </is>
      </c>
      <c r="F220" t="inlineStr">
        <is>
          <t>SERVICIO DE APOYO PARA LA ATENCIÓN ESPECIALIZADA E INTERDISCIPLINARIA EN LAS COMISARIAS DE FAMILIA</t>
        </is>
      </c>
      <c r="G220" t="inlineStr">
        <is>
          <t>2024546600072</t>
        </is>
      </c>
      <c r="H220" t="inlineStr">
        <is>
          <t>FORTALECIMIENTO DE LA CONVIVENCIA Y LA SEGURIDAD CIUDADANA PDM UNIDOS SOMOS MÁS EN EL MUNICIPIO DE  SALAZAR</t>
        </is>
      </c>
      <c r="I220" t="inlineStr">
        <is>
          <t>00</t>
        </is>
      </c>
      <c r="J220" t="inlineStr">
        <is>
          <t>SIN PRODUCTO DANE</t>
        </is>
      </c>
      <c r="K220" t="inlineStr">
        <is>
          <t>00</t>
        </is>
      </c>
      <c r="L220" t="inlineStr">
        <is>
          <t>SIN ATRIBUTO</t>
        </is>
      </c>
      <c r="N220" t="inlineStr">
        <is>
          <t>2.3.1.01.01.001.08.02.45.02</t>
        </is>
      </c>
      <c r="O220" t="inlineStr">
        <is>
          <t>Prima de vacaciones - COMISARIA DE FAMILIA</t>
        </is>
      </c>
      <c r="P220" t="inlineStr">
        <is>
          <t>360.1</t>
        </is>
      </c>
      <c r="Q220" t="inlineStr">
        <is>
          <t>SGP LIBRE DESTINACION BALANCE</t>
        </is>
      </c>
      <c r="R220" t="n">
        <v>0</v>
      </c>
      <c r="S220" t="n">
        <v>8085106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8085106</v>
      </c>
      <c r="Z220" t="n">
        <v>1671874</v>
      </c>
      <c r="AA220" t="n">
        <v>1671874</v>
      </c>
      <c r="AB220" t="n">
        <v>1671874</v>
      </c>
      <c r="AC220" t="n">
        <v>1671874</v>
      </c>
      <c r="AD220" t="n">
        <v>6413232</v>
      </c>
      <c r="AE220" t="n">
        <v>20.68</v>
      </c>
    </row>
    <row r="221">
      <c r="A221" t="inlineStr">
        <is>
          <t>1 - ADMINISTRACIÓN CENTRAL</t>
        </is>
      </c>
      <c r="B221" t="inlineStr">
        <is>
          <t>00 - SIN SECTOR</t>
        </is>
      </c>
      <c r="C221" t="inlineStr">
        <is>
          <t>00</t>
        </is>
      </c>
      <c r="D221" t="inlineStr">
        <is>
          <t>0000</t>
        </is>
      </c>
      <c r="E221" t="inlineStr">
        <is>
          <t>000000</t>
        </is>
      </c>
      <c r="F221" t="inlineStr">
        <is>
          <t>SIN PRODUCTO</t>
        </is>
      </c>
      <c r="G221" t="inlineStr">
        <is>
          <t>00</t>
        </is>
      </c>
      <c r="H221" t="inlineStr">
        <is>
          <t>00</t>
        </is>
      </c>
      <c r="I221" t="inlineStr">
        <is>
          <t>00</t>
        </is>
      </c>
      <c r="J221" t="inlineStr">
        <is>
          <t>SIN PRODUCTO DANE</t>
        </is>
      </c>
      <c r="K221" t="inlineStr">
        <is>
          <t>00</t>
        </is>
      </c>
      <c r="L221" t="inlineStr">
        <is>
          <t>SIN ATRIBUTO</t>
        </is>
      </c>
      <c r="N221" t="inlineStr">
        <is>
          <t>2.3.1.01.02</t>
        </is>
      </c>
      <c r="O221" t="inlineStr">
        <is>
          <t>CONTRIBUCIONES INHERENTES A LA NOMINA</t>
        </is>
      </c>
      <c r="P221" t="inlineStr">
        <is>
          <t>00</t>
        </is>
      </c>
      <c r="Q221" t="inlineStr">
        <is>
          <t>RECURSOS</t>
        </is>
      </c>
      <c r="R221" t="n">
        <v>173465226</v>
      </c>
      <c r="S221" t="n">
        <v>98349257</v>
      </c>
      <c r="T221" t="n">
        <v>98349257</v>
      </c>
      <c r="U221" t="n">
        <v>0</v>
      </c>
      <c r="V221" t="n">
        <v>0</v>
      </c>
      <c r="W221" t="n">
        <v>0</v>
      </c>
      <c r="X221" t="n">
        <v>0</v>
      </c>
      <c r="Y221" t="n">
        <v>173465226</v>
      </c>
      <c r="Z221" t="n">
        <v>81484081</v>
      </c>
      <c r="AA221" t="n">
        <v>81484081</v>
      </c>
      <c r="AB221" t="n">
        <v>81484081</v>
      </c>
      <c r="AC221" t="n">
        <v>81484081</v>
      </c>
      <c r="AD221" t="n">
        <v>91981145</v>
      </c>
      <c r="AE221" t="n">
        <v>46.97</v>
      </c>
    </row>
    <row r="222">
      <c r="A222" t="inlineStr">
        <is>
          <t>1 - ADMINISTRACIÓN CENTRAL</t>
        </is>
      </c>
      <c r="B222" t="inlineStr">
        <is>
          <t>00 - SIN SECTOR</t>
        </is>
      </c>
      <c r="C222" t="inlineStr">
        <is>
          <t>00</t>
        </is>
      </c>
      <c r="D222" t="inlineStr">
        <is>
          <t>0000</t>
        </is>
      </c>
      <c r="E222" t="inlineStr">
        <is>
          <t>000000</t>
        </is>
      </c>
      <c r="F222" t="inlineStr">
        <is>
          <t>SIN PRODUCTO</t>
        </is>
      </c>
      <c r="G222" t="inlineStr">
        <is>
          <t>00</t>
        </is>
      </c>
      <c r="H222" t="inlineStr">
        <is>
          <t>00</t>
        </is>
      </c>
      <c r="I222" t="inlineStr">
        <is>
          <t>00</t>
        </is>
      </c>
      <c r="J222" t="inlineStr">
        <is>
          <t>SIN PRODUCTO DANE</t>
        </is>
      </c>
      <c r="K222" t="inlineStr">
        <is>
          <t>00</t>
        </is>
      </c>
      <c r="L222" t="inlineStr">
        <is>
          <t>SIN ATRIBUTO</t>
        </is>
      </c>
      <c r="N222" t="inlineStr">
        <is>
          <t>2.3.1.01.02.001</t>
        </is>
      </c>
      <c r="O222" t="inlineStr">
        <is>
          <t>APORTES A LA SEGURIDAD SOCIAL EN PENSIONES</t>
        </is>
      </c>
      <c r="P222" t="inlineStr">
        <is>
          <t>00</t>
        </is>
      </c>
      <c r="Q222" t="inlineStr">
        <is>
          <t>RECURSOS</t>
        </is>
      </c>
      <c r="R222" t="n">
        <v>48529752</v>
      </c>
      <c r="S222" t="n">
        <v>27547720</v>
      </c>
      <c r="T222" t="n">
        <v>27547720</v>
      </c>
      <c r="U222" t="n">
        <v>0</v>
      </c>
      <c r="V222" t="n">
        <v>0</v>
      </c>
      <c r="W222" t="n">
        <v>0</v>
      </c>
      <c r="X222" t="n">
        <v>0</v>
      </c>
      <c r="Y222" t="n">
        <v>48529752</v>
      </c>
      <c r="Z222" t="n">
        <v>18783500</v>
      </c>
      <c r="AA222" t="n">
        <v>18783500</v>
      </c>
      <c r="AB222" t="n">
        <v>18783500</v>
      </c>
      <c r="AC222" t="n">
        <v>18783500</v>
      </c>
      <c r="AD222" t="n">
        <v>29746252</v>
      </c>
      <c r="AE222" t="n">
        <v>38.71</v>
      </c>
    </row>
    <row r="223">
      <c r="A223" t="inlineStr">
        <is>
          <t>1 - ADMINISTRACIÓN CENTRAL</t>
        </is>
      </c>
      <c r="B223" t="inlineStr">
        <is>
          <t>12 - JUSTICIA Y DEL DERECHO</t>
        </is>
      </c>
      <c r="C223" t="inlineStr">
        <is>
          <t>0800</t>
        </is>
      </c>
      <c r="D223" t="inlineStr">
        <is>
          <t>1202</t>
        </is>
      </c>
      <c r="E223" t="inlineStr">
        <is>
          <t>1202002</t>
        </is>
      </c>
      <c r="F223" t="inlineStr">
        <is>
          <t>SERVICIO DE JUSTICIA A LOS CIUDADANOS</t>
        </is>
      </c>
      <c r="G223" t="inlineStr">
        <is>
          <t>2024546600041</t>
        </is>
      </c>
      <c r="H223" t="inlineStr">
        <is>
          <t>APOYO PARA LA PROMOCIÓN DEL ACCESO A LA JUSTICIA PDM UNIDOS SOMOS MÁS EN EL MUNICIPIO DE   SALAZAR</t>
        </is>
      </c>
      <c r="I223" t="inlineStr">
        <is>
          <t>00</t>
        </is>
      </c>
      <c r="J223" t="inlineStr">
        <is>
          <t>SIN PRODUCTO DANE</t>
        </is>
      </c>
      <c r="K223" t="inlineStr">
        <is>
          <t>00</t>
        </is>
      </c>
      <c r="L223" t="inlineStr">
        <is>
          <t>SIN ATRIBUTO</t>
        </is>
      </c>
      <c r="N223" t="inlineStr">
        <is>
          <t>2.3.1.01.02.001.12.01</t>
        </is>
      </c>
      <c r="O223" t="inlineStr">
        <is>
          <t>Aportes a la seguridad social en pensiones - CORREGIDOR</t>
        </is>
      </c>
      <c r="P223" t="inlineStr">
        <is>
          <t>360</t>
        </is>
      </c>
      <c r="Q223" t="inlineStr">
        <is>
          <t>SGP PROPOSITO GENERAL 42 POR CIENTO RECURSOS LIBRE DESTINACION SGP PROPOSITO GENERAL MPIOS DE CATEGORIA 4 5 Y 6 SGP ONCE</t>
        </is>
      </c>
      <c r="R223" t="n">
        <v>6789116</v>
      </c>
      <c r="S223" t="n">
        <v>0</v>
      </c>
      <c r="T223" t="n">
        <v>6317516</v>
      </c>
      <c r="U223" t="n">
        <v>0</v>
      </c>
      <c r="V223" t="n">
        <v>0</v>
      </c>
      <c r="W223" t="n">
        <v>0</v>
      </c>
      <c r="X223" t="n">
        <v>0</v>
      </c>
      <c r="Y223" t="n">
        <v>471600</v>
      </c>
      <c r="Z223" t="n">
        <v>471600</v>
      </c>
      <c r="AA223" t="n">
        <v>471600</v>
      </c>
      <c r="AB223" t="n">
        <v>471600</v>
      </c>
      <c r="AC223" t="n">
        <v>471600</v>
      </c>
      <c r="AD223" t="n">
        <v>0</v>
      </c>
      <c r="AE223" t="n">
        <v>100</v>
      </c>
    </row>
    <row r="224">
      <c r="A224" t="inlineStr">
        <is>
          <t>1 - ADMINISTRACIÓN CENTRAL</t>
        </is>
      </c>
      <c r="B224" t="inlineStr">
        <is>
          <t>12 - JUSTICIA Y DEL DERECHO</t>
        </is>
      </c>
      <c r="C224" t="inlineStr">
        <is>
          <t>0800</t>
        </is>
      </c>
      <c r="D224" t="inlineStr">
        <is>
          <t>1202</t>
        </is>
      </c>
      <c r="E224" t="inlineStr">
        <is>
          <t>1202002</t>
        </is>
      </c>
      <c r="F224" t="inlineStr">
        <is>
          <t>SERVICIO DE JUSTICIA A LOS CIUDADANOS</t>
        </is>
      </c>
      <c r="G224" t="inlineStr">
        <is>
          <t>2024546600041</t>
        </is>
      </c>
      <c r="H224" t="inlineStr">
        <is>
          <t>APOYO PARA LA PROMOCIÓN DEL ACCESO A LA JUSTICIA PDM UNIDOS SOMOS MÁS EN EL MUNICIPIO DE   SALAZAR</t>
        </is>
      </c>
      <c r="I224" t="inlineStr">
        <is>
          <t>00</t>
        </is>
      </c>
      <c r="J224" t="inlineStr">
        <is>
          <t>SIN PRODUCTO DANE</t>
        </is>
      </c>
      <c r="K224" t="inlineStr">
        <is>
          <t>00</t>
        </is>
      </c>
      <c r="L224" t="inlineStr">
        <is>
          <t>SIN ATRIBUTO</t>
        </is>
      </c>
      <c r="N224" t="inlineStr">
        <is>
          <t>2.3.1.01.02.001.12.02</t>
        </is>
      </c>
      <c r="O224" t="inlineStr">
        <is>
          <t>Aportes a la seguridad social en pensiones - CORREGIDOR</t>
        </is>
      </c>
      <c r="P224" t="inlineStr">
        <is>
          <t>410</t>
        </is>
      </c>
      <c r="Q224" t="inlineStr">
        <is>
          <t>SGP PROPOSITO GENERAL FORZOSA INVERSION LIBRE INVERSIÓN SALDOS NO EJECUTADOS NI INCORPORADOS VIGENCIAS ANTERIORES Y REIN</t>
        </is>
      </c>
      <c r="R224" t="n">
        <v>0</v>
      </c>
      <c r="S224" t="n">
        <v>6317516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6317516</v>
      </c>
      <c r="Z224" t="n">
        <v>2346800</v>
      </c>
      <c r="AA224" t="n">
        <v>2346800</v>
      </c>
      <c r="AB224" t="n">
        <v>2346800</v>
      </c>
      <c r="AC224" t="n">
        <v>2346800</v>
      </c>
      <c r="AD224" t="n">
        <v>3970716</v>
      </c>
      <c r="AE224" t="n">
        <v>37.15</v>
      </c>
    </row>
    <row r="225">
      <c r="A225" t="inlineStr">
        <is>
          <t>1 - ADMINISTRACIÓN CENTRAL</t>
        </is>
      </c>
      <c r="B225" t="inlineStr">
        <is>
          <t>17 - AGRICULTURA Y DESARROLLO RURAL</t>
        </is>
      </c>
      <c r="C225" t="inlineStr">
        <is>
          <t>1100</t>
        </is>
      </c>
      <c r="D225" t="inlineStr">
        <is>
          <t>1702</t>
        </is>
      </c>
      <c r="E225" t="inlineStr">
        <is>
          <t>1702010</t>
        </is>
      </c>
      <c r="F225" t="inlineStr">
        <is>
          <t>SERVICIO DE ASISTENCIA TÉCNICA AGROPECUARIA DIRIGIDA A PEQUEÑOS PRODUCTORES</t>
        </is>
      </c>
      <c r="G225" t="inlineStr">
        <is>
          <t>2024546600043</t>
        </is>
      </c>
      <c r="H225" t="inlineStr">
        <is>
          <t>APOYO PARA LA INCLUSIÓN PRODUCTIVA DE PEQUEÑOS PRODUCTORES RURALES PDM UNIDOS SOMOS MÁS EN EL MUNICIPIO DE  SALAZAR</t>
        </is>
      </c>
      <c r="I225" t="inlineStr">
        <is>
          <t>00</t>
        </is>
      </c>
      <c r="J225" t="inlineStr">
        <is>
          <t>SIN PRODUCTO DANE</t>
        </is>
      </c>
      <c r="K225" t="inlineStr">
        <is>
          <t>00</t>
        </is>
      </c>
      <c r="L225" t="inlineStr">
        <is>
          <t>SIN ATRIBUTO</t>
        </is>
      </c>
      <c r="N225" t="inlineStr">
        <is>
          <t>2.3.1.01.02.001.17.01</t>
        </is>
      </c>
      <c r="O225" t="inlineStr">
        <is>
          <t>Aportes a la seguridad social en pensiones - UMATA</t>
        </is>
      </c>
      <c r="P225" t="inlineStr">
        <is>
          <t>420</t>
        </is>
      </c>
      <c r="Q225" t="inlineStr">
        <is>
          <t>SGP PROPOSITO GENERAL FORZOSA INVERSION LIBRE INVERSIÓN SGP ONCE DOCEAVAS VIGENCIA ACTUAL MAS ULTIMA DOCEAVA VIGENCIA AN</t>
        </is>
      </c>
      <c r="R225" t="n">
        <v>19386932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19386932</v>
      </c>
      <c r="Z225" t="n">
        <v>7408000</v>
      </c>
      <c r="AA225" t="n">
        <v>7408000</v>
      </c>
      <c r="AB225" t="n">
        <v>7408000</v>
      </c>
      <c r="AC225" t="n">
        <v>7408000</v>
      </c>
      <c r="AD225" t="n">
        <v>11978932</v>
      </c>
      <c r="AE225" t="n">
        <v>38.21</v>
      </c>
    </row>
    <row r="226">
      <c r="A226" t="inlineStr">
        <is>
          <t>1 - ADMINISTRACIÓN CENTRAL</t>
        </is>
      </c>
      <c r="B226" t="inlineStr">
        <is>
          <t>45 - GOBIERNO TERRITORIAL</t>
        </is>
      </c>
      <c r="C226" t="inlineStr">
        <is>
          <t>1000</t>
        </is>
      </c>
      <c r="D226" t="inlineStr">
        <is>
          <t>4501</t>
        </is>
      </c>
      <c r="E226" t="inlineStr">
        <is>
          <t>4501082</t>
        </is>
      </c>
      <c r="F226" t="inlineStr">
        <is>
          <t>SERVICIO DE APOYO PARA LA ATENCIÓN ESPECIALIZADA E INTERDISCIPLINARIA EN LAS COMISARIAS DE FAMILIA</t>
        </is>
      </c>
      <c r="G226" t="inlineStr">
        <is>
          <t>2024546600072</t>
        </is>
      </c>
      <c r="H226" t="inlineStr">
        <is>
          <t>FORTALECIMIENTO DE LA CONVIVENCIA Y LA SEGURIDAD CIUDADANA PDM UNIDOS SOMOS MÁS EN EL MUNICIPIO DE  SALAZAR</t>
        </is>
      </c>
      <c r="I226" t="inlineStr">
        <is>
          <t>00</t>
        </is>
      </c>
      <c r="J226" t="inlineStr">
        <is>
          <t>SIN PRODUCTO DANE</t>
        </is>
      </c>
      <c r="K226" t="inlineStr">
        <is>
          <t>00</t>
        </is>
      </c>
      <c r="L226" t="inlineStr">
        <is>
          <t>SIN ATRIBUTO</t>
        </is>
      </c>
      <c r="N226" t="inlineStr">
        <is>
          <t>2.3.1.01.02.001.45.01</t>
        </is>
      </c>
      <c r="O226" t="inlineStr">
        <is>
          <t>Aportes a la seguridad social en pensiones - COMISARIA DE FAMILIA</t>
        </is>
      </c>
      <c r="P226" t="inlineStr">
        <is>
          <t>360</t>
        </is>
      </c>
      <c r="Q226" t="inlineStr">
        <is>
          <t>SGP PROPOSITO GENERAL 42 POR CIENTO RECURSOS LIBRE DESTINACION SGP PROPOSITO GENERAL MPIOS DE CATEGORIA 4 5 Y 6 SGP ONCE</t>
        </is>
      </c>
      <c r="R226" t="n">
        <v>22353704</v>
      </c>
      <c r="S226" t="n">
        <v>0</v>
      </c>
      <c r="T226" t="n">
        <v>21230204</v>
      </c>
      <c r="U226" t="n">
        <v>0</v>
      </c>
      <c r="V226" t="n">
        <v>0</v>
      </c>
      <c r="W226" t="n">
        <v>0</v>
      </c>
      <c r="X226" t="n">
        <v>0</v>
      </c>
      <c r="Y226" t="n">
        <v>1123500</v>
      </c>
      <c r="Z226" t="n">
        <v>1123500</v>
      </c>
      <c r="AA226" t="n">
        <v>1123500</v>
      </c>
      <c r="AB226" t="n">
        <v>1123500</v>
      </c>
      <c r="AC226" t="n">
        <v>1123500</v>
      </c>
      <c r="AD226" t="n">
        <v>0</v>
      </c>
      <c r="AE226" t="n">
        <v>100</v>
      </c>
    </row>
    <row r="227">
      <c r="A227" t="inlineStr">
        <is>
          <t>1 - ADMINISTRACIÓN CENTRAL</t>
        </is>
      </c>
      <c r="B227" t="inlineStr">
        <is>
          <t>45 - GOBIERNO TERRITORIAL</t>
        </is>
      </c>
      <c r="C227" t="inlineStr">
        <is>
          <t>1000</t>
        </is>
      </c>
      <c r="D227" t="inlineStr">
        <is>
          <t>4501</t>
        </is>
      </c>
      <c r="E227" t="inlineStr">
        <is>
          <t>4501082</t>
        </is>
      </c>
      <c r="F227" t="inlineStr">
        <is>
          <t>SERVICIO DE APOYO PARA LA ATENCIÓN ESPECIALIZADA E INTERDISCIPLINARIA EN LAS COMISARIAS DE FAMILIA</t>
        </is>
      </c>
      <c r="G227" t="inlineStr">
        <is>
          <t>2024546600072</t>
        </is>
      </c>
      <c r="H227" t="inlineStr">
        <is>
          <t>FORTALECIMIENTO DE LA CONVIVENCIA Y LA SEGURIDAD CIUDADANA PDM UNIDOS SOMOS MÁS EN EL MUNICIPIO DE  SALAZAR</t>
        </is>
      </c>
      <c r="I227" t="inlineStr">
        <is>
          <t>00</t>
        </is>
      </c>
      <c r="J227" t="inlineStr">
        <is>
          <t>SIN PRODUCTO DANE</t>
        </is>
      </c>
      <c r="K227" t="inlineStr">
        <is>
          <t>00</t>
        </is>
      </c>
      <c r="L227" t="inlineStr">
        <is>
          <t>SIN ATRIBUTO</t>
        </is>
      </c>
      <c r="N227" t="inlineStr">
        <is>
          <t>2.3.1.01.02.001.45.02</t>
        </is>
      </c>
      <c r="O227" t="inlineStr">
        <is>
          <t>Aportes a la seguridad social en pensiones - COMISARIA DE FAMILIA</t>
        </is>
      </c>
      <c r="P227" t="inlineStr">
        <is>
          <t>360.1</t>
        </is>
      </c>
      <c r="Q227" t="inlineStr">
        <is>
          <t>SGP LIBRE DESTINACION BALANCE</t>
        </is>
      </c>
      <c r="R227" t="n">
        <v>0</v>
      </c>
      <c r="S227" t="n">
        <v>21230204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21230204</v>
      </c>
      <c r="Z227" t="n">
        <v>7433600</v>
      </c>
      <c r="AA227" t="n">
        <v>7433600</v>
      </c>
      <c r="AB227" t="n">
        <v>7433600</v>
      </c>
      <c r="AC227" t="n">
        <v>7433600</v>
      </c>
      <c r="AD227" t="n">
        <v>13796604</v>
      </c>
      <c r="AE227" t="n">
        <v>35.01</v>
      </c>
    </row>
    <row r="228">
      <c r="A228" t="inlineStr">
        <is>
          <t>1 - ADMINISTRACIÓN CENTRAL</t>
        </is>
      </c>
      <c r="B228" t="inlineStr">
        <is>
          <t>00 - SIN SECTOR</t>
        </is>
      </c>
      <c r="C228" t="inlineStr">
        <is>
          <t>00</t>
        </is>
      </c>
      <c r="D228" t="inlineStr">
        <is>
          <t>0000</t>
        </is>
      </c>
      <c r="E228" t="inlineStr">
        <is>
          <t>000000</t>
        </is>
      </c>
      <c r="F228" t="inlineStr">
        <is>
          <t>SIN PRODUCTO</t>
        </is>
      </c>
      <c r="G228" t="inlineStr">
        <is>
          <t>00</t>
        </is>
      </c>
      <c r="H228" t="inlineStr">
        <is>
          <t>00</t>
        </is>
      </c>
      <c r="I228" t="inlineStr">
        <is>
          <t>00</t>
        </is>
      </c>
      <c r="J228" t="inlineStr">
        <is>
          <t>SIN PRODUCTO DANE</t>
        </is>
      </c>
      <c r="K228" t="inlineStr">
        <is>
          <t>00</t>
        </is>
      </c>
      <c r="L228" t="inlineStr">
        <is>
          <t>SIN ATRIBUTO</t>
        </is>
      </c>
      <c r="N228" t="inlineStr">
        <is>
          <t>2.3.1.01.02.002</t>
        </is>
      </c>
      <c r="O228" t="inlineStr">
        <is>
          <t>APORTES A LA SEGURIDAD SOCIAL EN SALUD</t>
        </is>
      </c>
      <c r="P228" t="inlineStr">
        <is>
          <t>00</t>
        </is>
      </c>
      <c r="Q228" t="inlineStr">
        <is>
          <t>RECURSOS</t>
        </is>
      </c>
      <c r="R228" t="n">
        <v>34375246</v>
      </c>
      <c r="S228" t="n">
        <v>19513134</v>
      </c>
      <c r="T228" t="n">
        <v>19513134</v>
      </c>
      <c r="U228" t="n">
        <v>0</v>
      </c>
      <c r="V228" t="n">
        <v>0</v>
      </c>
      <c r="W228" t="n">
        <v>0</v>
      </c>
      <c r="X228" t="n">
        <v>0</v>
      </c>
      <c r="Y228" t="n">
        <v>34375246</v>
      </c>
      <c r="Z228" t="n">
        <v>13304600</v>
      </c>
      <c r="AA228" t="n">
        <v>13304600</v>
      </c>
      <c r="AB228" t="n">
        <v>13304600</v>
      </c>
      <c r="AC228" t="n">
        <v>13304600</v>
      </c>
      <c r="AD228" t="n">
        <v>21070646</v>
      </c>
      <c r="AE228" t="n">
        <v>38.7</v>
      </c>
    </row>
    <row r="229">
      <c r="A229" t="inlineStr">
        <is>
          <t>1 - ADMINISTRACIÓN CENTRAL</t>
        </is>
      </c>
      <c r="B229" t="inlineStr">
        <is>
          <t>12 - JUSTICIA Y DEL DERECHO</t>
        </is>
      </c>
      <c r="C229" t="inlineStr">
        <is>
          <t>0800</t>
        </is>
      </c>
      <c r="D229" t="inlineStr">
        <is>
          <t>1202</t>
        </is>
      </c>
      <c r="E229" t="inlineStr">
        <is>
          <t>1202002</t>
        </is>
      </c>
      <c r="F229" t="inlineStr">
        <is>
          <t>SERVICIO DE JUSTICIA A LOS CIUDADANOS</t>
        </is>
      </c>
      <c r="G229" t="inlineStr">
        <is>
          <t>2024546600041</t>
        </is>
      </c>
      <c r="H229" t="inlineStr">
        <is>
          <t>APOYO PARA LA PROMOCIÓN DEL ACCESO A LA JUSTICIA PDM UNIDOS SOMOS MÁS EN EL MUNICIPIO DE   SALAZAR</t>
        </is>
      </c>
      <c r="I229" t="inlineStr">
        <is>
          <t>00</t>
        </is>
      </c>
      <c r="J229" t="inlineStr">
        <is>
          <t>SIN PRODUCTO DANE</t>
        </is>
      </c>
      <c r="K229" t="inlineStr">
        <is>
          <t>00</t>
        </is>
      </c>
      <c r="L229" t="inlineStr">
        <is>
          <t>SIN ATRIBUTO</t>
        </is>
      </c>
      <c r="N229" t="inlineStr">
        <is>
          <t>2.3.1.01.02.002.12.01</t>
        </is>
      </c>
      <c r="O229" t="inlineStr">
        <is>
          <t>Aportes a la seguridad social en salud - CORREGIDOR</t>
        </is>
      </c>
      <c r="P229" t="inlineStr">
        <is>
          <t>360</t>
        </is>
      </c>
      <c r="Q229" t="inlineStr">
        <is>
          <t>SGP PROPOSITO GENERAL 42 POR CIENTO RECURSOS LIBRE DESTINACION SGP PROPOSITO GENERAL MPIOS DE CATEGORIA 4 5 Y 6 SGP ONCE</t>
        </is>
      </c>
      <c r="R229" t="n">
        <v>4808957</v>
      </c>
      <c r="S229" t="n">
        <v>0</v>
      </c>
      <c r="T229" t="n">
        <v>4474957</v>
      </c>
      <c r="U229" t="n">
        <v>0</v>
      </c>
      <c r="V229" t="n">
        <v>0</v>
      </c>
      <c r="W229" t="n">
        <v>0</v>
      </c>
      <c r="X229" t="n">
        <v>0</v>
      </c>
      <c r="Y229" t="n">
        <v>334000</v>
      </c>
      <c r="Z229" t="n">
        <v>334000</v>
      </c>
      <c r="AA229" t="n">
        <v>334000</v>
      </c>
      <c r="AB229" t="n">
        <v>334000</v>
      </c>
      <c r="AC229" t="n">
        <v>334000</v>
      </c>
      <c r="AD229" t="n">
        <v>0</v>
      </c>
      <c r="AE229" t="n">
        <v>100</v>
      </c>
    </row>
    <row r="230">
      <c r="A230" t="inlineStr">
        <is>
          <t>1 - ADMINISTRACIÓN CENTRAL</t>
        </is>
      </c>
      <c r="B230" t="inlineStr">
        <is>
          <t>12 - JUSTICIA Y DEL DERECHO</t>
        </is>
      </c>
      <c r="C230" t="inlineStr">
        <is>
          <t>0800</t>
        </is>
      </c>
      <c r="D230" t="inlineStr">
        <is>
          <t>1202</t>
        </is>
      </c>
      <c r="E230" t="inlineStr">
        <is>
          <t>1202002</t>
        </is>
      </c>
      <c r="F230" t="inlineStr">
        <is>
          <t>SERVICIO DE JUSTICIA A LOS CIUDADANOS</t>
        </is>
      </c>
      <c r="G230" t="inlineStr">
        <is>
          <t>2024546600041</t>
        </is>
      </c>
      <c r="H230" t="inlineStr">
        <is>
          <t>APOYO PARA LA PROMOCIÓN DEL ACCESO A LA JUSTICIA PDM UNIDOS SOMOS MÁS EN EL MUNICIPIO DE   SALAZAR</t>
        </is>
      </c>
      <c r="I230" t="inlineStr">
        <is>
          <t>00</t>
        </is>
      </c>
      <c r="J230" t="inlineStr">
        <is>
          <t>SIN PRODUCTO DANE</t>
        </is>
      </c>
      <c r="K230" t="inlineStr">
        <is>
          <t>00</t>
        </is>
      </c>
      <c r="L230" t="inlineStr">
        <is>
          <t>SIN ATRIBUTO</t>
        </is>
      </c>
      <c r="N230" t="inlineStr">
        <is>
          <t>2.3.1.01.02.002.12.02</t>
        </is>
      </c>
      <c r="O230" t="inlineStr">
        <is>
          <t>Aportes a la seguridad social en salud - CORREGIDOR</t>
        </is>
      </c>
      <c r="P230" t="inlineStr">
        <is>
          <t>410</t>
        </is>
      </c>
      <c r="Q230" t="inlineStr">
        <is>
          <t>SGP PROPOSITO GENERAL FORZOSA INVERSION LIBRE INVERSIÓN SALDOS NO EJECUTADOS NI INCORPORADOS VIGENCIAS ANTERIORES Y REIN</t>
        </is>
      </c>
      <c r="R230" t="n">
        <v>0</v>
      </c>
      <c r="S230" t="n">
        <v>4474957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4474957</v>
      </c>
      <c r="Z230" t="n">
        <v>1662400</v>
      </c>
      <c r="AA230" t="n">
        <v>1662400</v>
      </c>
      <c r="AB230" t="n">
        <v>1662400</v>
      </c>
      <c r="AC230" t="n">
        <v>1662400</v>
      </c>
      <c r="AD230" t="n">
        <v>2812557</v>
      </c>
      <c r="AE230" t="n">
        <v>37.15</v>
      </c>
    </row>
    <row r="231">
      <c r="A231" t="inlineStr">
        <is>
          <t>1 - ADMINISTRACIÓN CENTRAL</t>
        </is>
      </c>
      <c r="B231" t="inlineStr">
        <is>
          <t>17 - AGRICULTURA Y DESARROLLO RURAL</t>
        </is>
      </c>
      <c r="C231" t="inlineStr">
        <is>
          <t>1100</t>
        </is>
      </c>
      <c r="D231" t="inlineStr">
        <is>
          <t>1702</t>
        </is>
      </c>
      <c r="E231" t="inlineStr">
        <is>
          <t>1702010</t>
        </is>
      </c>
      <c r="F231" t="inlineStr">
        <is>
          <t>SERVICIO DE ASISTENCIA TÉCNICA AGROPECUARIA DIRIGIDA A PEQUEÑOS PRODUCTORES</t>
        </is>
      </c>
      <c r="G231" t="inlineStr">
        <is>
          <t>2024546600043</t>
        </is>
      </c>
      <c r="H231" t="inlineStr">
        <is>
          <t>APOYO PARA LA INCLUSIÓN PRODUCTIVA DE PEQUEÑOS PRODUCTORES RURALES PDM UNIDOS SOMOS MÁS EN EL MUNICIPIO DE  SALAZAR</t>
        </is>
      </c>
      <c r="I231" t="inlineStr">
        <is>
          <t>00</t>
        </is>
      </c>
      <c r="J231" t="inlineStr">
        <is>
          <t>SIN PRODUCTO DANE</t>
        </is>
      </c>
      <c r="K231" t="inlineStr">
        <is>
          <t>00</t>
        </is>
      </c>
      <c r="L231" t="inlineStr">
        <is>
          <t>SIN ATRIBUTO</t>
        </is>
      </c>
      <c r="N231" t="inlineStr">
        <is>
          <t>2.3.1.01.02.002.17.01</t>
        </is>
      </c>
      <c r="O231" t="inlineStr">
        <is>
          <t>Aportes a la seguridad social en salud - UMATA</t>
        </is>
      </c>
      <c r="P231" t="inlineStr">
        <is>
          <t>420</t>
        </is>
      </c>
      <c r="Q231" t="inlineStr">
        <is>
          <t>SGP PROPOSITO GENERAL FORZOSA INVERSION LIBRE INVERSIÓN SGP ONCE DOCEAVAS VIGENCIA ACTUAL MAS ULTIMA DOCEAVA VIGENCIA AN</t>
        </is>
      </c>
      <c r="R231" t="n">
        <v>13732412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13732412</v>
      </c>
      <c r="Z231" t="n">
        <v>5247200</v>
      </c>
      <c r="AA231" t="n">
        <v>5247200</v>
      </c>
      <c r="AB231" t="n">
        <v>5247200</v>
      </c>
      <c r="AC231" t="n">
        <v>5247200</v>
      </c>
      <c r="AD231" t="n">
        <v>8485212</v>
      </c>
      <c r="AE231" t="n">
        <v>38.21</v>
      </c>
    </row>
    <row r="232">
      <c r="A232" t="inlineStr">
        <is>
          <t>1 - ADMINISTRACIÓN CENTRAL</t>
        </is>
      </c>
      <c r="B232" t="inlineStr">
        <is>
          <t>45 - GOBIERNO TERRITORIAL</t>
        </is>
      </c>
      <c r="C232" t="inlineStr">
        <is>
          <t>1000</t>
        </is>
      </c>
      <c r="D232" t="inlineStr">
        <is>
          <t>4501</t>
        </is>
      </c>
      <c r="E232" t="inlineStr">
        <is>
          <t>4501082</t>
        </is>
      </c>
      <c r="F232" t="inlineStr">
        <is>
          <t>SERVICIO DE APOYO PARA LA ATENCIÓN ESPECIALIZADA E INTERDISCIPLINARIA EN LAS COMISARIAS DE FAMILIA</t>
        </is>
      </c>
      <c r="G232" t="inlineStr">
        <is>
          <t>2024546600072</t>
        </is>
      </c>
      <c r="H232" t="inlineStr">
        <is>
          <t>FORTALECIMIENTO DE LA CONVIVENCIA Y LA SEGURIDAD CIUDADANA PDM UNIDOS SOMOS MÁS EN EL MUNICIPIO DE  SALAZAR</t>
        </is>
      </c>
      <c r="I232" t="inlineStr">
        <is>
          <t>00</t>
        </is>
      </c>
      <c r="J232" t="inlineStr">
        <is>
          <t>SIN PRODUCTO DANE</t>
        </is>
      </c>
      <c r="K232" t="inlineStr">
        <is>
          <t>00</t>
        </is>
      </c>
      <c r="L232" t="inlineStr">
        <is>
          <t>SIN ATRIBUTO</t>
        </is>
      </c>
      <c r="N232" t="inlineStr">
        <is>
          <t>2.3.1.01.02.002.45.01</t>
        </is>
      </c>
      <c r="O232" t="inlineStr">
        <is>
          <t>Aportes a la seguridad social en salud - COMISARIA DE FAMILIA</t>
        </is>
      </c>
      <c r="P232" t="inlineStr">
        <is>
          <t>360</t>
        </is>
      </c>
      <c r="Q232" t="inlineStr">
        <is>
          <t>SGP PROPOSITO GENERAL 42 POR CIENTO RECURSOS LIBRE DESTINACION SGP PROPOSITO GENERAL MPIOS DE CATEGORIA 4 5 Y 6 SGP ONCE</t>
        </is>
      </c>
      <c r="R232" t="n">
        <v>15833877</v>
      </c>
      <c r="S232" t="n">
        <v>0</v>
      </c>
      <c r="T232" t="n">
        <v>15038177</v>
      </c>
      <c r="U232" t="n">
        <v>0</v>
      </c>
      <c r="V232" t="n">
        <v>0</v>
      </c>
      <c r="W232" t="n">
        <v>0</v>
      </c>
      <c r="X232" t="n">
        <v>0</v>
      </c>
      <c r="Y232" t="n">
        <v>795700</v>
      </c>
      <c r="Z232" t="n">
        <v>795700</v>
      </c>
      <c r="AA232" t="n">
        <v>795700</v>
      </c>
      <c r="AB232" t="n">
        <v>795700</v>
      </c>
      <c r="AC232" t="n">
        <v>795700</v>
      </c>
      <c r="AD232" t="n">
        <v>0</v>
      </c>
      <c r="AE232" t="n">
        <v>100</v>
      </c>
    </row>
    <row r="233">
      <c r="A233" t="inlineStr">
        <is>
          <t>1 - ADMINISTRACIÓN CENTRAL</t>
        </is>
      </c>
      <c r="B233" t="inlineStr">
        <is>
          <t>45 - GOBIERNO TERRITORIAL</t>
        </is>
      </c>
      <c r="C233" t="inlineStr">
        <is>
          <t>1000</t>
        </is>
      </c>
      <c r="D233" t="inlineStr">
        <is>
          <t>4501</t>
        </is>
      </c>
      <c r="E233" t="inlineStr">
        <is>
          <t>4501082</t>
        </is>
      </c>
      <c r="F233" t="inlineStr">
        <is>
          <t>SERVICIO DE APOYO PARA LA ATENCIÓN ESPECIALIZADA E INTERDISCIPLINARIA EN LAS COMISARIAS DE FAMILIA</t>
        </is>
      </c>
      <c r="G233" t="inlineStr">
        <is>
          <t>2024546600072</t>
        </is>
      </c>
      <c r="H233" t="inlineStr">
        <is>
          <t>FORTALECIMIENTO DE LA CONVIVENCIA Y LA SEGURIDAD CIUDADANA PDM UNIDOS SOMOS MÁS EN EL MUNICIPIO DE  SALAZAR</t>
        </is>
      </c>
      <c r="I233" t="inlineStr">
        <is>
          <t>00</t>
        </is>
      </c>
      <c r="J233" t="inlineStr">
        <is>
          <t>SIN PRODUCTO DANE</t>
        </is>
      </c>
      <c r="K233" t="inlineStr">
        <is>
          <t>00</t>
        </is>
      </c>
      <c r="L233" t="inlineStr">
        <is>
          <t>SIN ATRIBUTO</t>
        </is>
      </c>
      <c r="N233" t="inlineStr">
        <is>
          <t>2.3.1.01.02.002.45.02</t>
        </is>
      </c>
      <c r="O233" t="inlineStr">
        <is>
          <t>Aportes a la seguridad social en salud - COMISARIA DE FAMILIA</t>
        </is>
      </c>
      <c r="P233" t="inlineStr">
        <is>
          <t>360.1</t>
        </is>
      </c>
      <c r="Q233" t="inlineStr">
        <is>
          <t>SGP LIBRE DESTINACION BALANCE</t>
        </is>
      </c>
      <c r="R233" t="n">
        <v>0</v>
      </c>
      <c r="S233" t="n">
        <v>15038177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15038177</v>
      </c>
      <c r="Z233" t="n">
        <v>5265300</v>
      </c>
      <c r="AA233" t="n">
        <v>5265300</v>
      </c>
      <c r="AB233" t="n">
        <v>5265300</v>
      </c>
      <c r="AC233" t="n">
        <v>5265300</v>
      </c>
      <c r="AD233" t="n">
        <v>9772877</v>
      </c>
      <c r="AE233" t="n">
        <v>35.01</v>
      </c>
    </row>
    <row r="234">
      <c r="A234" t="inlineStr">
        <is>
          <t>1 - ADMINISTRACIÓN CENTRAL</t>
        </is>
      </c>
      <c r="B234" t="inlineStr">
        <is>
          <t>00 - SIN SECTOR</t>
        </is>
      </c>
      <c r="C234" t="inlineStr">
        <is>
          <t>00</t>
        </is>
      </c>
      <c r="D234" t="inlineStr">
        <is>
          <t>0000</t>
        </is>
      </c>
      <c r="E234" t="inlineStr">
        <is>
          <t>000000</t>
        </is>
      </c>
      <c r="F234" t="inlineStr">
        <is>
          <t>SIN PRODUCTO</t>
        </is>
      </c>
      <c r="G234" t="inlineStr">
        <is>
          <t>00</t>
        </is>
      </c>
      <c r="H234" t="inlineStr">
        <is>
          <t>00</t>
        </is>
      </c>
      <c r="I234" t="inlineStr">
        <is>
          <t>00</t>
        </is>
      </c>
      <c r="J234" t="inlineStr">
        <is>
          <t>SIN PRODUCTO DANE</t>
        </is>
      </c>
      <c r="K234" t="inlineStr">
        <is>
          <t>00</t>
        </is>
      </c>
      <c r="L234" t="inlineStr">
        <is>
          <t>SIN ATRIBUTO</t>
        </is>
      </c>
      <c r="N234" t="inlineStr">
        <is>
          <t>2.3.1.01.02.003</t>
        </is>
      </c>
      <c r="O234" t="inlineStr">
        <is>
          <t xml:space="preserve">APORTES DE CESANTIAS </t>
        </is>
      </c>
      <c r="P234" t="inlineStr">
        <is>
          <t>00</t>
        </is>
      </c>
      <c r="Q234" t="inlineStr">
        <is>
          <t>RECURSOS</t>
        </is>
      </c>
      <c r="R234" t="n">
        <v>44369362</v>
      </c>
      <c r="S234" t="n">
        <v>24882930</v>
      </c>
      <c r="T234" t="n">
        <v>24882930</v>
      </c>
      <c r="U234" t="n">
        <v>0</v>
      </c>
      <c r="V234" t="n">
        <v>0</v>
      </c>
      <c r="W234" t="n">
        <v>0</v>
      </c>
      <c r="X234" t="n">
        <v>0</v>
      </c>
      <c r="Y234" t="n">
        <v>44369362</v>
      </c>
      <c r="Z234" t="n">
        <v>34658981</v>
      </c>
      <c r="AA234" t="n">
        <v>34658981</v>
      </c>
      <c r="AB234" t="n">
        <v>34658981</v>
      </c>
      <c r="AC234" t="n">
        <v>34658981</v>
      </c>
      <c r="AD234" t="n">
        <v>9710381</v>
      </c>
      <c r="AE234" t="n">
        <v>78.11</v>
      </c>
    </row>
    <row r="235">
      <c r="A235" t="inlineStr">
        <is>
          <t>1 - ADMINISTRACIÓN CENTRAL</t>
        </is>
      </c>
      <c r="B235" t="inlineStr">
        <is>
          <t>12 - JUSTICIA Y DEL DERECHO</t>
        </is>
      </c>
      <c r="C235" t="inlineStr">
        <is>
          <t>0800</t>
        </is>
      </c>
      <c r="D235" t="inlineStr">
        <is>
          <t>1202</t>
        </is>
      </c>
      <c r="E235" t="inlineStr">
        <is>
          <t>1202002</t>
        </is>
      </c>
      <c r="F235" t="inlineStr">
        <is>
          <t>SERVICIO DE JUSTICIA A LOS CIUDADANOS</t>
        </is>
      </c>
      <c r="G235" t="inlineStr">
        <is>
          <t>2024546600041</t>
        </is>
      </c>
      <c r="H235" t="inlineStr">
        <is>
          <t>APOYO PARA LA PROMOCIÓN DEL ACCESO A LA JUSTICIA PDM UNIDOS SOMOS MÁS EN EL MUNICIPIO DE   SALAZAR</t>
        </is>
      </c>
      <c r="I235" t="inlineStr">
        <is>
          <t>00</t>
        </is>
      </c>
      <c r="J235" t="inlineStr">
        <is>
          <t>SIN PRODUCTO DANE</t>
        </is>
      </c>
      <c r="K235" t="inlineStr">
        <is>
          <t>00</t>
        </is>
      </c>
      <c r="L235" t="inlineStr">
        <is>
          <t>SIN ATRIBUTO</t>
        </is>
      </c>
      <c r="N235" t="inlineStr">
        <is>
          <t>2.3.1.01.02.003.12.01</t>
        </is>
      </c>
      <c r="O235" t="inlineStr">
        <is>
          <t>Aportes de cesantias  - CORREGIDOR</t>
        </is>
      </c>
      <c r="P235" t="inlineStr">
        <is>
          <t>360</t>
        </is>
      </c>
      <c r="Q235" t="inlineStr">
        <is>
          <t>SGP PROPOSITO GENERAL 42 POR CIENTO RECURSOS LIBRE DESTINACION SGP PROPOSITO GENERAL MPIOS DE CATEGORIA 4 5 Y 6 SGP ONCE</t>
        </is>
      </c>
      <c r="R235" t="n">
        <v>5542048</v>
      </c>
      <c r="S235" t="n">
        <v>0</v>
      </c>
      <c r="T235" t="n">
        <v>5542048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</row>
    <row r="236">
      <c r="A236" t="inlineStr">
        <is>
          <t>1 - ADMINISTRACIÓN CENTRAL</t>
        </is>
      </c>
      <c r="B236" t="inlineStr">
        <is>
          <t>12 - JUSTICIA Y DEL DERECHO</t>
        </is>
      </c>
      <c r="C236" t="inlineStr">
        <is>
          <t>0800</t>
        </is>
      </c>
      <c r="D236" t="inlineStr">
        <is>
          <t>1202</t>
        </is>
      </c>
      <c r="E236" t="inlineStr">
        <is>
          <t>1202002</t>
        </is>
      </c>
      <c r="F236" t="inlineStr">
        <is>
          <t>SERVICIO DE JUSTICIA A LOS CIUDADANOS</t>
        </is>
      </c>
      <c r="G236" t="inlineStr">
        <is>
          <t>2024546600041</t>
        </is>
      </c>
      <c r="H236" t="inlineStr">
        <is>
          <t>APOYO PARA LA PROMOCIÓN DEL ACCESO A LA JUSTICIA PDM UNIDOS SOMOS MÁS EN EL MUNICIPIO DE   SALAZAR</t>
        </is>
      </c>
      <c r="I236" t="inlineStr">
        <is>
          <t>00</t>
        </is>
      </c>
      <c r="J236" t="inlineStr">
        <is>
          <t>SIN PRODUCTO DANE</t>
        </is>
      </c>
      <c r="K236" t="inlineStr">
        <is>
          <t>00</t>
        </is>
      </c>
      <c r="L236" t="inlineStr">
        <is>
          <t>SIN ATRIBUTO</t>
        </is>
      </c>
      <c r="N236" t="inlineStr">
        <is>
          <t>2.3.1.01.02.003.12.02</t>
        </is>
      </c>
      <c r="O236" t="inlineStr">
        <is>
          <t>Aportes Intereses de cesantias  - CORREGIDOR</t>
        </is>
      </c>
      <c r="P236" t="inlineStr">
        <is>
          <t>360</t>
        </is>
      </c>
      <c r="Q236" t="inlineStr">
        <is>
          <t>SGP PROPOSITO GENERAL 42 POR CIENTO RECURSOS LIBRE DESTINACION SGP PROPOSITO GENERAL MPIOS DE CATEGORIA 4 5 Y 6 SGP ONCE</t>
        </is>
      </c>
      <c r="R236" t="n">
        <v>665045</v>
      </c>
      <c r="S236" t="n">
        <v>0</v>
      </c>
      <c r="T236" t="n">
        <v>19273</v>
      </c>
      <c r="U236" t="n">
        <v>0</v>
      </c>
      <c r="V236" t="n">
        <v>0</v>
      </c>
      <c r="W236" t="n">
        <v>0</v>
      </c>
      <c r="X236" t="n">
        <v>0</v>
      </c>
      <c r="Y236" t="n">
        <v>645772</v>
      </c>
      <c r="Z236" t="n">
        <v>645772</v>
      </c>
      <c r="AA236" t="n">
        <v>645772</v>
      </c>
      <c r="AB236" t="n">
        <v>645772</v>
      </c>
      <c r="AC236" t="n">
        <v>645772</v>
      </c>
      <c r="AD236" t="n">
        <v>0</v>
      </c>
      <c r="AE236" t="n">
        <v>100</v>
      </c>
    </row>
    <row r="237">
      <c r="A237" t="inlineStr">
        <is>
          <t>1 - ADMINISTRACIÓN CENTRAL</t>
        </is>
      </c>
      <c r="B237" t="inlineStr">
        <is>
          <t>12 - JUSTICIA Y DEL DERECHO</t>
        </is>
      </c>
      <c r="C237" t="inlineStr">
        <is>
          <t>0800</t>
        </is>
      </c>
      <c r="D237" t="inlineStr">
        <is>
          <t>1202</t>
        </is>
      </c>
      <c r="E237" t="inlineStr">
        <is>
          <t>1202002</t>
        </is>
      </c>
      <c r="F237" t="inlineStr">
        <is>
          <t>SERVICIO DE JUSTICIA A LOS CIUDADANOS</t>
        </is>
      </c>
      <c r="G237" t="inlineStr">
        <is>
          <t>2024546600041</t>
        </is>
      </c>
      <c r="H237" t="inlineStr">
        <is>
          <t>APOYO PARA LA PROMOCIÓN DEL ACCESO A LA JUSTICIA PDM UNIDOS SOMOS MÁS EN EL MUNICIPIO DE   SALAZAR</t>
        </is>
      </c>
      <c r="I237" t="inlineStr">
        <is>
          <t>00</t>
        </is>
      </c>
      <c r="J237" t="inlineStr">
        <is>
          <t>SIN PRODUCTO DANE</t>
        </is>
      </c>
      <c r="K237" t="inlineStr">
        <is>
          <t>00</t>
        </is>
      </c>
      <c r="L237" t="inlineStr">
        <is>
          <t>SIN ATRIBUTO</t>
        </is>
      </c>
      <c r="N237" t="inlineStr">
        <is>
          <t>2.3.1.01.02.003.12.03</t>
        </is>
      </c>
      <c r="O237" t="inlineStr">
        <is>
          <t>Aportes de cesantias  - CORREGIDOR</t>
        </is>
      </c>
      <c r="P237" t="inlineStr">
        <is>
          <t>410</t>
        </is>
      </c>
      <c r="Q237" t="inlineStr">
        <is>
          <t>SGP PROPOSITO GENERAL FORZOSA INVERSION LIBRE INVERSIÓN SALDOS NO EJECUTADOS NI INCORPORADOS VIGENCIAS ANTERIORES Y REIN</t>
        </is>
      </c>
      <c r="R237" t="n">
        <v>0</v>
      </c>
      <c r="S237" t="n">
        <v>5542048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5542048</v>
      </c>
      <c r="Z237" t="n">
        <v>5381434</v>
      </c>
      <c r="AA237" t="n">
        <v>5381434</v>
      </c>
      <c r="AB237" t="n">
        <v>5381434</v>
      </c>
      <c r="AC237" t="n">
        <v>5381434</v>
      </c>
      <c r="AD237" t="n">
        <v>160614</v>
      </c>
      <c r="AE237" t="n">
        <v>97.09999999999999</v>
      </c>
    </row>
    <row r="238">
      <c r="A238" t="inlineStr">
        <is>
          <t>1 - ADMINISTRACIÓN CENTRAL</t>
        </is>
      </c>
      <c r="B238" t="inlineStr">
        <is>
          <t>12 - JUSTICIA Y DEL DERECHO</t>
        </is>
      </c>
      <c r="C238" t="inlineStr">
        <is>
          <t>0800</t>
        </is>
      </c>
      <c r="D238" t="inlineStr">
        <is>
          <t>1202</t>
        </is>
      </c>
      <c r="E238" t="inlineStr">
        <is>
          <t>1202002</t>
        </is>
      </c>
      <c r="F238" t="inlineStr">
        <is>
          <t>SERVICIO DE JUSTICIA A LOS CIUDADANOS</t>
        </is>
      </c>
      <c r="G238" t="inlineStr">
        <is>
          <t>2024546600041</t>
        </is>
      </c>
      <c r="H238" t="inlineStr">
        <is>
          <t>APOYO PARA LA PROMOCIÓN DEL ACCESO A LA JUSTICIA PDM UNIDOS SOMOS MÁS EN EL MUNICIPIO DE   SALAZAR</t>
        </is>
      </c>
      <c r="I238" t="inlineStr">
        <is>
          <t>00</t>
        </is>
      </c>
      <c r="J238" t="inlineStr">
        <is>
          <t>SIN PRODUCTO DANE</t>
        </is>
      </c>
      <c r="K238" t="inlineStr">
        <is>
          <t>00</t>
        </is>
      </c>
      <c r="L238" t="inlineStr">
        <is>
          <t>SIN ATRIBUTO</t>
        </is>
      </c>
      <c r="N238" t="inlineStr">
        <is>
          <t>2.3.1.01.02.003.12.04</t>
        </is>
      </c>
      <c r="O238" t="inlineStr">
        <is>
          <t>Aportes Intereses de cesantias  - CORREGIDOR</t>
        </is>
      </c>
      <c r="P238" t="inlineStr">
        <is>
          <t>410</t>
        </is>
      </c>
      <c r="Q238" t="inlineStr">
        <is>
          <t>SGP PROPOSITO GENERAL FORZOSA INVERSION LIBRE INVERSIÓN SALDOS NO EJECUTADOS NI INCORPORADOS VIGENCIAS ANTERIORES Y REIN</t>
        </is>
      </c>
      <c r="R238" t="n">
        <v>0</v>
      </c>
      <c r="S238" t="n">
        <v>19273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19273</v>
      </c>
      <c r="Z238" t="n">
        <v>0</v>
      </c>
      <c r="AA238" t="n">
        <v>0</v>
      </c>
      <c r="AB238" t="n">
        <v>0</v>
      </c>
      <c r="AC238" t="n">
        <v>0</v>
      </c>
      <c r="AD238" t="n">
        <v>19273</v>
      </c>
      <c r="AE238" t="n">
        <v>0</v>
      </c>
    </row>
    <row r="239">
      <c r="A239" t="inlineStr">
        <is>
          <t>1 - ADMINISTRACIÓN CENTRAL</t>
        </is>
      </c>
      <c r="B239" t="inlineStr">
        <is>
          <t>17 - AGRICULTURA Y DESARROLLO RURAL</t>
        </is>
      </c>
      <c r="C239" t="inlineStr">
        <is>
          <t>1100</t>
        </is>
      </c>
      <c r="D239" t="inlineStr">
        <is>
          <t>1702</t>
        </is>
      </c>
      <c r="E239" t="inlineStr">
        <is>
          <t>1702010</t>
        </is>
      </c>
      <c r="F239" t="inlineStr">
        <is>
          <t>SERVICIO DE ASISTENCIA TÉCNICA AGROPECUARIA DIRIGIDA A PEQUEÑOS PRODUCTORES</t>
        </is>
      </c>
      <c r="G239" t="inlineStr">
        <is>
          <t>2024546600043</t>
        </is>
      </c>
      <c r="H239" t="inlineStr">
        <is>
          <t>APOYO PARA LA INCLUSIÓN PRODUCTIVA DE PEQUEÑOS PRODUCTORES RURALES PDM UNIDOS SOMOS MÁS EN EL MUNICIPIO DE  SALAZAR</t>
        </is>
      </c>
      <c r="I239" t="inlineStr">
        <is>
          <t>00</t>
        </is>
      </c>
      <c r="J239" t="inlineStr">
        <is>
          <t>SIN PRODUCTO DANE</t>
        </is>
      </c>
      <c r="K239" t="inlineStr">
        <is>
          <t>00</t>
        </is>
      </c>
      <c r="L239" t="inlineStr">
        <is>
          <t>SIN ATRIBUTO</t>
        </is>
      </c>
      <c r="N239" t="inlineStr">
        <is>
          <t>2.3.1.01.02.003.17.01</t>
        </is>
      </c>
      <c r="O239" t="inlineStr">
        <is>
          <t>Aportes de cesantias  - UMATA</t>
        </is>
      </c>
      <c r="P239" t="inlineStr">
        <is>
          <t>420</t>
        </is>
      </c>
      <c r="Q239" t="inlineStr">
        <is>
          <t>SGP PROPOSITO GENERAL FORZOSA INVERSION LIBRE INVERSIÓN SGP ONCE DOCEAVAS VIGENCIA ACTUAL MAS ULTIMA DOCEAVA VIGENCIA AN</t>
        </is>
      </c>
      <c r="R239" t="n">
        <v>15825818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15825818</v>
      </c>
      <c r="Z239" t="n">
        <v>15197945</v>
      </c>
      <c r="AA239" t="n">
        <v>15197945</v>
      </c>
      <c r="AB239" t="n">
        <v>15197945</v>
      </c>
      <c r="AC239" t="n">
        <v>15197945</v>
      </c>
      <c r="AD239" t="n">
        <v>627873</v>
      </c>
      <c r="AE239" t="n">
        <v>96.03</v>
      </c>
    </row>
    <row r="240">
      <c r="A240" t="inlineStr">
        <is>
          <t>1 - ADMINISTRACIÓN CENTRAL</t>
        </is>
      </c>
      <c r="B240" t="inlineStr">
        <is>
          <t>17 - AGRICULTURA Y DESARROLLO RURAL</t>
        </is>
      </c>
      <c r="C240" t="inlineStr">
        <is>
          <t>1100</t>
        </is>
      </c>
      <c r="D240" t="inlineStr">
        <is>
          <t>1702</t>
        </is>
      </c>
      <c r="E240" t="inlineStr">
        <is>
          <t>1702010</t>
        </is>
      </c>
      <c r="F240" t="inlineStr">
        <is>
          <t>SERVICIO DE ASISTENCIA TÉCNICA AGROPECUARIA DIRIGIDA A PEQUEÑOS PRODUCTORES</t>
        </is>
      </c>
      <c r="G240" t="inlineStr">
        <is>
          <t>2024546600043</t>
        </is>
      </c>
      <c r="H240" t="inlineStr">
        <is>
          <t>APOYO PARA LA INCLUSIÓN PRODUCTIVA DE PEQUEÑOS PRODUCTORES RURALES PDM UNIDOS SOMOS MÁS EN EL MUNICIPIO DE  SALAZAR</t>
        </is>
      </c>
      <c r="I240" t="inlineStr">
        <is>
          <t>00</t>
        </is>
      </c>
      <c r="J240" t="inlineStr">
        <is>
          <t>SIN PRODUCTO DANE</t>
        </is>
      </c>
      <c r="K240" t="inlineStr">
        <is>
          <t>00</t>
        </is>
      </c>
      <c r="L240" t="inlineStr">
        <is>
          <t>SIN ATRIBUTO</t>
        </is>
      </c>
      <c r="N240" t="inlineStr">
        <is>
          <t>2.3.1.01.02.003.17.02</t>
        </is>
      </c>
      <c r="O240" t="inlineStr">
        <is>
          <t>Aportes Intereses de cesantias  - UMATA</t>
        </is>
      </c>
      <c r="P240" t="inlineStr">
        <is>
          <t>420</t>
        </is>
      </c>
      <c r="Q240" t="inlineStr">
        <is>
          <t>SGP PROPOSITO GENERAL FORZOSA INVERSION LIBRE INVERSIÓN SGP ONCE DOCEAVAS VIGENCIA ACTUAL MAS ULTIMA DOCEAVA VIGENCIA AN</t>
        </is>
      </c>
      <c r="R240" t="n">
        <v>1899100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1899100</v>
      </c>
      <c r="Z240" t="n">
        <v>1823753</v>
      </c>
      <c r="AA240" t="n">
        <v>1823753</v>
      </c>
      <c r="AB240" t="n">
        <v>1823753</v>
      </c>
      <c r="AC240" t="n">
        <v>1823753</v>
      </c>
      <c r="AD240" t="n">
        <v>75347</v>
      </c>
      <c r="AE240" t="n">
        <v>96.03</v>
      </c>
    </row>
    <row r="241">
      <c r="A241" t="inlineStr">
        <is>
          <t>1 - ADMINISTRACIÓN CENTRAL</t>
        </is>
      </c>
      <c r="B241" t="inlineStr">
        <is>
          <t>45 - GOBIERNO TERRITORIAL</t>
        </is>
      </c>
      <c r="C241" t="inlineStr">
        <is>
          <t>1000</t>
        </is>
      </c>
      <c r="D241" t="inlineStr">
        <is>
          <t>4501</t>
        </is>
      </c>
      <c r="E241" t="inlineStr">
        <is>
          <t>4501082</t>
        </is>
      </c>
      <c r="F241" t="inlineStr">
        <is>
          <t>SERVICIO DE APOYO PARA LA ATENCIÓN ESPECIALIZADA E INTERDISCIPLINARIA EN LAS COMISARIAS DE FAMILIA</t>
        </is>
      </c>
      <c r="G241" t="inlineStr">
        <is>
          <t>2024546600072</t>
        </is>
      </c>
      <c r="H241" t="inlineStr">
        <is>
          <t>FORTALECIMIENTO DE LA CONVIVENCIA Y LA SEGURIDAD CIUDADANA PDM UNIDOS SOMOS MÁS EN EL MUNICIPIO DE  SALAZAR</t>
        </is>
      </c>
      <c r="I241" t="inlineStr">
        <is>
          <t>00</t>
        </is>
      </c>
      <c r="J241" t="inlineStr">
        <is>
          <t>SIN PRODUCTO DANE</t>
        </is>
      </c>
      <c r="K241" t="inlineStr">
        <is>
          <t>00</t>
        </is>
      </c>
      <c r="L241" t="inlineStr">
        <is>
          <t>SIN ATRIBUTO</t>
        </is>
      </c>
      <c r="N241" t="inlineStr">
        <is>
          <t>2.3.1.01.02.003.45.01</t>
        </is>
      </c>
      <c r="O241" t="inlineStr">
        <is>
          <t>Aportes de cesantias  - COMISARIA DE FAMILIA</t>
        </is>
      </c>
      <c r="P241" t="inlineStr">
        <is>
          <t>360</t>
        </is>
      </c>
      <c r="Q241" t="inlineStr">
        <is>
          <t>SGP PROPOSITO GENERAL 42 POR CIENTO RECURSOS LIBRE DESTINACION SGP PROPOSITO GENERAL MPIOS DE CATEGORIA 4 5 Y 6 SGP ONCE</t>
        </is>
      </c>
      <c r="R241" t="n">
        <v>18247635</v>
      </c>
      <c r="S241" t="n">
        <v>0</v>
      </c>
      <c r="T241" t="n">
        <v>18247635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</row>
    <row r="242">
      <c r="A242" t="inlineStr">
        <is>
          <t>1 - ADMINISTRACIÓN CENTRAL</t>
        </is>
      </c>
      <c r="B242" t="inlineStr">
        <is>
          <t>45 - GOBIERNO TERRITORIAL</t>
        </is>
      </c>
      <c r="C242" t="inlineStr">
        <is>
          <t>1000</t>
        </is>
      </c>
      <c r="D242" t="inlineStr">
        <is>
          <t>4501</t>
        </is>
      </c>
      <c r="E242" t="inlineStr">
        <is>
          <t>4501082</t>
        </is>
      </c>
      <c r="F242" t="inlineStr">
        <is>
          <t>SERVICIO DE APOYO PARA LA ATENCIÓN ESPECIALIZADA E INTERDISCIPLINARIA EN LAS COMISARIAS DE FAMILIA</t>
        </is>
      </c>
      <c r="G242" t="inlineStr">
        <is>
          <t>2024546600072</t>
        </is>
      </c>
      <c r="H242" t="inlineStr">
        <is>
          <t>FORTALECIMIENTO DE LA CONVIVENCIA Y LA SEGURIDAD CIUDADANA PDM UNIDOS SOMOS MÁS EN EL MUNICIPIO DE  SALAZAR</t>
        </is>
      </c>
      <c r="I242" t="inlineStr">
        <is>
          <t>00</t>
        </is>
      </c>
      <c r="J242" t="inlineStr">
        <is>
          <t>SIN PRODUCTO DANE</t>
        </is>
      </c>
      <c r="K242" t="inlineStr">
        <is>
          <t>00</t>
        </is>
      </c>
      <c r="L242" t="inlineStr">
        <is>
          <t>SIN ATRIBUTO</t>
        </is>
      </c>
      <c r="N242" t="inlineStr">
        <is>
          <t>2.3.1.01.02.003.45.02</t>
        </is>
      </c>
      <c r="O242" t="inlineStr">
        <is>
          <t>Aportes de intereses de cesantias  - COMISARIA DE FAMILIA</t>
        </is>
      </c>
      <c r="P242" t="inlineStr">
        <is>
          <t>360</t>
        </is>
      </c>
      <c r="Q242" t="inlineStr">
        <is>
          <t>SGP PROPOSITO GENERAL 42 POR CIENTO RECURSOS LIBRE DESTINACION SGP PROPOSITO GENERAL MPIOS DE CATEGORIA 4 5 Y 6 SGP ONCE</t>
        </is>
      </c>
      <c r="R242" t="n">
        <v>2189716</v>
      </c>
      <c r="S242" t="n">
        <v>0</v>
      </c>
      <c r="T242" t="n">
        <v>1073974</v>
      </c>
      <c r="U242" t="n">
        <v>0</v>
      </c>
      <c r="V242" t="n">
        <v>0</v>
      </c>
      <c r="W242" t="n">
        <v>0</v>
      </c>
      <c r="X242" t="n">
        <v>0</v>
      </c>
      <c r="Y242" t="n">
        <v>1115742</v>
      </c>
      <c r="Z242" t="n">
        <v>1115742</v>
      </c>
      <c r="AA242" t="n">
        <v>1115742</v>
      </c>
      <c r="AB242" t="n">
        <v>1115742</v>
      </c>
      <c r="AC242" t="n">
        <v>1115742</v>
      </c>
      <c r="AD242" t="n">
        <v>0</v>
      </c>
      <c r="AE242" t="n">
        <v>100</v>
      </c>
    </row>
    <row r="243">
      <c r="A243" t="inlineStr">
        <is>
          <t>1 - ADMINISTRACIÓN CENTRAL</t>
        </is>
      </c>
      <c r="B243" t="inlineStr">
        <is>
          <t>45 - GOBIERNO TERRITORIAL</t>
        </is>
      </c>
      <c r="C243" t="inlineStr">
        <is>
          <t>1000</t>
        </is>
      </c>
      <c r="D243" t="inlineStr">
        <is>
          <t>4501</t>
        </is>
      </c>
      <c r="E243" t="inlineStr">
        <is>
          <t>4501082</t>
        </is>
      </c>
      <c r="F243" t="inlineStr">
        <is>
          <t>SERVICIO DE APOYO PARA LA ATENCIÓN ESPECIALIZADA E INTERDISCIPLINARIA EN LAS COMISARIAS DE FAMILIA</t>
        </is>
      </c>
      <c r="G243" t="inlineStr">
        <is>
          <t>2024546600072</t>
        </is>
      </c>
      <c r="H243" t="inlineStr">
        <is>
          <t>FORTALECIMIENTO DE LA CONVIVENCIA Y LA SEGURIDAD CIUDADANA PDM UNIDOS SOMOS MÁS EN EL MUNICIPIO DE  SALAZAR</t>
        </is>
      </c>
      <c r="I243" t="inlineStr">
        <is>
          <t>00</t>
        </is>
      </c>
      <c r="J243" t="inlineStr">
        <is>
          <t>SIN PRODUCTO DANE</t>
        </is>
      </c>
      <c r="K243" t="inlineStr">
        <is>
          <t>00</t>
        </is>
      </c>
      <c r="L243" t="inlineStr">
        <is>
          <t>SIN ATRIBUTO</t>
        </is>
      </c>
      <c r="N243" t="inlineStr">
        <is>
          <t>2.3.1.01.02.003.45.03</t>
        </is>
      </c>
      <c r="O243" t="inlineStr">
        <is>
          <t>Aportes de cesantias  - COMISARIA DE FAMILIA</t>
        </is>
      </c>
      <c r="P243" t="inlineStr">
        <is>
          <t>360.1</t>
        </is>
      </c>
      <c r="Q243" t="inlineStr">
        <is>
          <t>SGP LIBRE DESTINACION BALANCE</t>
        </is>
      </c>
      <c r="R243" t="n">
        <v>0</v>
      </c>
      <c r="S243" t="n">
        <v>18247635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18247635</v>
      </c>
      <c r="Z243" t="n">
        <v>10465665</v>
      </c>
      <c r="AA243" t="n">
        <v>10465665</v>
      </c>
      <c r="AB243" t="n">
        <v>10465665</v>
      </c>
      <c r="AC243" t="n">
        <v>10465665</v>
      </c>
      <c r="AD243" t="n">
        <v>7781970</v>
      </c>
      <c r="AE243" t="n">
        <v>57.35</v>
      </c>
    </row>
    <row r="244">
      <c r="A244" t="inlineStr">
        <is>
          <t>1 - ADMINISTRACIÓN CENTRAL</t>
        </is>
      </c>
      <c r="B244" t="inlineStr">
        <is>
          <t>45 - GOBIERNO TERRITORIAL</t>
        </is>
      </c>
      <c r="C244" t="inlineStr">
        <is>
          <t>1000</t>
        </is>
      </c>
      <c r="D244" t="inlineStr">
        <is>
          <t>4501</t>
        </is>
      </c>
      <c r="E244" t="inlineStr">
        <is>
          <t>4501082</t>
        </is>
      </c>
      <c r="F244" t="inlineStr">
        <is>
          <t>SERVICIO DE APOYO PARA LA ATENCIÓN ESPECIALIZADA E INTERDISCIPLINARIA EN LAS COMISARIAS DE FAMILIA</t>
        </is>
      </c>
      <c r="G244" t="inlineStr">
        <is>
          <t>2024546600072</t>
        </is>
      </c>
      <c r="H244" t="inlineStr">
        <is>
          <t>FORTALECIMIENTO DE LA CONVIVENCIA Y LA SEGURIDAD CIUDADANA PDM UNIDOS SOMOS MÁS EN EL MUNICIPIO DE  SALAZAR</t>
        </is>
      </c>
      <c r="I244" t="inlineStr">
        <is>
          <t>00</t>
        </is>
      </c>
      <c r="J244" t="inlineStr">
        <is>
          <t>SIN PRODUCTO DANE</t>
        </is>
      </c>
      <c r="K244" t="inlineStr">
        <is>
          <t>00</t>
        </is>
      </c>
      <c r="L244" t="inlineStr">
        <is>
          <t>SIN ATRIBUTO</t>
        </is>
      </c>
      <c r="N244" t="inlineStr">
        <is>
          <t>2.3.1.01.02.003.45.04</t>
        </is>
      </c>
      <c r="O244" t="inlineStr">
        <is>
          <t>Aportes de intereses de cesantias  - COMISARIA DE FAMILIA</t>
        </is>
      </c>
      <c r="P244" t="inlineStr">
        <is>
          <t>153.1</t>
        </is>
      </c>
      <c r="Q244" t="inlineStr">
        <is>
          <t>RB ESTAMPILLA PARA LA JUSTICIA FAMILIAR</t>
        </is>
      </c>
      <c r="R244" t="n">
        <v>0</v>
      </c>
      <c r="S244" t="n">
        <v>1073974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1073974</v>
      </c>
      <c r="Z244" t="n">
        <v>28670</v>
      </c>
      <c r="AA244" t="n">
        <v>28670</v>
      </c>
      <c r="AB244" t="n">
        <v>28670</v>
      </c>
      <c r="AC244" t="n">
        <v>28670</v>
      </c>
      <c r="AD244" t="n">
        <v>1045304</v>
      </c>
      <c r="AE244" t="n">
        <v>2.67</v>
      </c>
    </row>
    <row r="245">
      <c r="A245" t="inlineStr">
        <is>
          <t>1 - ADMINISTRACIÓN CENTRAL</t>
        </is>
      </c>
      <c r="B245" t="inlineStr">
        <is>
          <t>00 - SIN SECTOR</t>
        </is>
      </c>
      <c r="C245" t="inlineStr">
        <is>
          <t>00</t>
        </is>
      </c>
      <c r="D245" t="inlineStr">
        <is>
          <t>0000</t>
        </is>
      </c>
      <c r="E245" t="inlineStr">
        <is>
          <t>000000</t>
        </is>
      </c>
      <c r="F245" t="inlineStr">
        <is>
          <t>SIN PRODUCTO</t>
        </is>
      </c>
      <c r="G245" t="inlineStr">
        <is>
          <t>00</t>
        </is>
      </c>
      <c r="H245" t="inlineStr">
        <is>
          <t>00</t>
        </is>
      </c>
      <c r="I245" t="inlineStr">
        <is>
          <t>00</t>
        </is>
      </c>
      <c r="J245" t="inlineStr">
        <is>
          <t>SIN PRODUCTO DANE</t>
        </is>
      </c>
      <c r="K245" t="inlineStr">
        <is>
          <t>00</t>
        </is>
      </c>
      <c r="L245" t="inlineStr">
        <is>
          <t>SIN ATRIBUTO</t>
        </is>
      </c>
      <c r="N245" t="inlineStr">
        <is>
          <t>2.3.1.01.02.004</t>
        </is>
      </c>
      <c r="O245" t="inlineStr">
        <is>
          <t>APORTES A CAJAS DE COMPENSACION FAMILIAR</t>
        </is>
      </c>
      <c r="P245" t="inlineStr">
        <is>
          <t>00</t>
        </is>
      </c>
      <c r="Q245" t="inlineStr">
        <is>
          <t>RECURSOS</t>
        </is>
      </c>
      <c r="R245" t="n">
        <v>19537096</v>
      </c>
      <c r="S245" t="n">
        <v>11177070</v>
      </c>
      <c r="T245" t="n">
        <v>11177070</v>
      </c>
      <c r="U245" t="n">
        <v>0</v>
      </c>
      <c r="V245" t="n">
        <v>0</v>
      </c>
      <c r="W245" t="n">
        <v>0</v>
      </c>
      <c r="X245" t="n">
        <v>0</v>
      </c>
      <c r="Y245" t="n">
        <v>19537096</v>
      </c>
      <c r="Z245" t="n">
        <v>6216800</v>
      </c>
      <c r="AA245" t="n">
        <v>6216800</v>
      </c>
      <c r="AB245" t="n">
        <v>6216800</v>
      </c>
      <c r="AC245" t="n">
        <v>6216800</v>
      </c>
      <c r="AD245" t="n">
        <v>13320296</v>
      </c>
      <c r="AE245" t="n">
        <v>31.82</v>
      </c>
    </row>
    <row r="246">
      <c r="A246" t="inlineStr">
        <is>
          <t>1 - ADMINISTRACIÓN CENTRAL</t>
        </is>
      </c>
      <c r="B246" t="inlineStr">
        <is>
          <t>12 - JUSTICIA Y DEL DERECHO</t>
        </is>
      </c>
      <c r="C246" t="inlineStr">
        <is>
          <t>0800</t>
        </is>
      </c>
      <c r="D246" t="inlineStr">
        <is>
          <t>1202</t>
        </is>
      </c>
      <c r="E246" t="inlineStr">
        <is>
          <t>1202002</t>
        </is>
      </c>
      <c r="F246" t="inlineStr">
        <is>
          <t>SERVICIO DE JUSTICIA A LOS CIUDADANOS</t>
        </is>
      </c>
      <c r="G246" t="inlineStr">
        <is>
          <t>2024546600041</t>
        </is>
      </c>
      <c r="H246" t="inlineStr">
        <is>
          <t>APOYO PARA LA PROMOCIÓN DEL ACCESO A LA JUSTICIA PDM UNIDOS SOMOS MÁS EN EL MUNICIPIO DE   SALAZAR</t>
        </is>
      </c>
      <c r="I246" t="inlineStr">
        <is>
          <t>00</t>
        </is>
      </c>
      <c r="J246" t="inlineStr">
        <is>
          <t>SIN PRODUCTO DANE</t>
        </is>
      </c>
      <c r="K246" t="inlineStr">
        <is>
          <t>00</t>
        </is>
      </c>
      <c r="L246" t="inlineStr">
        <is>
          <t>SIN ATRIBUTO</t>
        </is>
      </c>
      <c r="N246" t="inlineStr">
        <is>
          <t>2.3.1.01.02.004.12.01</t>
        </is>
      </c>
      <c r="O246" t="inlineStr">
        <is>
          <t>Aportes a cajas de compensacion familiar - CORREGIDOR</t>
        </is>
      </c>
      <c r="P246" t="inlineStr">
        <is>
          <t>360</t>
        </is>
      </c>
      <c r="Q246" t="inlineStr">
        <is>
          <t>SGP PROPOSITO GENERAL 42 POR CIENTO RECURSOS LIBRE DESTINACION SGP PROPOSITO GENERAL MPIOS DE CATEGORIA 4 5 Y 6 SGP ONCE</t>
        </is>
      </c>
      <c r="R246" t="n">
        <v>2702621</v>
      </c>
      <c r="S246" t="n">
        <v>0</v>
      </c>
      <c r="T246" t="n">
        <v>2445021</v>
      </c>
      <c r="U246" t="n">
        <v>0</v>
      </c>
      <c r="V246" t="n">
        <v>0</v>
      </c>
      <c r="W246" t="n">
        <v>0</v>
      </c>
      <c r="X246" t="n">
        <v>0</v>
      </c>
      <c r="Y246" t="n">
        <v>257600</v>
      </c>
      <c r="Z246" t="n">
        <v>257600</v>
      </c>
      <c r="AA246" t="n">
        <v>257600</v>
      </c>
      <c r="AB246" t="n">
        <v>257600</v>
      </c>
      <c r="AC246" t="n">
        <v>257600</v>
      </c>
      <c r="AD246" t="n">
        <v>0</v>
      </c>
      <c r="AE246" t="n">
        <v>100</v>
      </c>
    </row>
    <row r="247">
      <c r="A247" t="inlineStr">
        <is>
          <t>1 - ADMINISTRACIÓN CENTRAL</t>
        </is>
      </c>
      <c r="B247" t="inlineStr">
        <is>
          <t>12 - JUSTICIA Y DEL DERECHO</t>
        </is>
      </c>
      <c r="C247" t="inlineStr">
        <is>
          <t>0800</t>
        </is>
      </c>
      <c r="D247" t="inlineStr">
        <is>
          <t>1202</t>
        </is>
      </c>
      <c r="E247" t="inlineStr">
        <is>
          <t>1202002</t>
        </is>
      </c>
      <c r="F247" t="inlineStr">
        <is>
          <t>SERVICIO DE JUSTICIA A LOS CIUDADANOS</t>
        </is>
      </c>
      <c r="G247" t="inlineStr">
        <is>
          <t>2024546600041</t>
        </is>
      </c>
      <c r="H247" t="inlineStr">
        <is>
          <t>APOYO PARA LA PROMOCIÓN DEL ACCESO A LA JUSTICIA PDM UNIDOS SOMOS MÁS EN EL MUNICIPIO DE   SALAZAR</t>
        </is>
      </c>
      <c r="I247" t="inlineStr">
        <is>
          <t>00</t>
        </is>
      </c>
      <c r="J247" t="inlineStr">
        <is>
          <t>SIN PRODUCTO DANE</t>
        </is>
      </c>
      <c r="K247" t="inlineStr">
        <is>
          <t>00</t>
        </is>
      </c>
      <c r="L247" t="inlineStr">
        <is>
          <t>SIN ATRIBUTO</t>
        </is>
      </c>
      <c r="N247" t="inlineStr">
        <is>
          <t>2.3.1.01.02.004.12.02</t>
        </is>
      </c>
      <c r="O247" t="inlineStr">
        <is>
          <t>Aportes a cajas de compensacion familiar - CORREGIDOR</t>
        </is>
      </c>
      <c r="P247" t="inlineStr">
        <is>
          <t>410</t>
        </is>
      </c>
      <c r="Q247" t="inlineStr">
        <is>
          <t>SGP PROPOSITO GENERAL FORZOSA INVERSION LIBRE INVERSIÓN SALDOS NO EJECUTADOS NI INCORPORADOS VIGENCIAS ANTERIORES Y REIN</t>
        </is>
      </c>
      <c r="R247" t="n">
        <v>0</v>
      </c>
      <c r="S247" t="n">
        <v>2445021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2445021</v>
      </c>
      <c r="Z247" t="n">
        <v>815000</v>
      </c>
      <c r="AA247" t="n">
        <v>815000</v>
      </c>
      <c r="AB247" t="n">
        <v>815000</v>
      </c>
      <c r="AC247" t="n">
        <v>815000</v>
      </c>
      <c r="AD247" t="n">
        <v>1630021</v>
      </c>
      <c r="AE247" t="n">
        <v>33.33</v>
      </c>
    </row>
    <row r="248">
      <c r="A248" t="inlineStr">
        <is>
          <t>1 - ADMINISTRACIÓN CENTRAL</t>
        </is>
      </c>
      <c r="B248" t="inlineStr">
        <is>
          <t>17 - AGRICULTURA Y DESARROLLO RURAL</t>
        </is>
      </c>
      <c r="C248" t="inlineStr">
        <is>
          <t>1100</t>
        </is>
      </c>
      <c r="D248" t="inlineStr">
        <is>
          <t>1702</t>
        </is>
      </c>
      <c r="E248" t="inlineStr">
        <is>
          <t>1702010</t>
        </is>
      </c>
      <c r="F248" t="inlineStr">
        <is>
          <t>SERVICIO DE ASISTENCIA TÉCNICA AGROPECUARIA DIRIGIDA A PEQUEÑOS PRODUCTORES</t>
        </is>
      </c>
      <c r="G248" t="inlineStr">
        <is>
          <t>2024546600043</t>
        </is>
      </c>
      <c r="H248" t="inlineStr">
        <is>
          <t>APOYO PARA LA INCLUSIÓN PRODUCTIVA DE PEQUEÑOS PRODUCTORES RURALES PDM UNIDOS SOMOS MÁS EN EL MUNICIPIO DE  SALAZAR</t>
        </is>
      </c>
      <c r="I248" t="inlineStr">
        <is>
          <t>00</t>
        </is>
      </c>
      <c r="J248" t="inlineStr">
        <is>
          <t>SIN PRODUCTO DANE</t>
        </is>
      </c>
      <c r="K248" t="inlineStr">
        <is>
          <t>00</t>
        </is>
      </c>
      <c r="L248" t="inlineStr">
        <is>
          <t>SIN ATRIBUTO</t>
        </is>
      </c>
      <c r="N248" t="inlineStr">
        <is>
          <t>2.3.1.01.02.004.17.01</t>
        </is>
      </c>
      <c r="O248" t="inlineStr">
        <is>
          <t>Aportes a cajas de compensacion familiar - UMATA</t>
        </is>
      </c>
      <c r="P248" t="inlineStr">
        <is>
          <t>420</t>
        </is>
      </c>
      <c r="Q248" t="inlineStr">
        <is>
          <t>SGP PROPOSITO GENERAL FORZOSA INVERSION LIBRE INVERSIÓN SGP ONCE DOCEAVAS VIGENCIA ACTUAL MAS ULTIMA DOCEAVA VIGENCIA AN</t>
        </is>
      </c>
      <c r="R248" t="n">
        <v>7804526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7804526</v>
      </c>
      <c r="Z248" t="n">
        <v>2469000</v>
      </c>
      <c r="AA248" t="n">
        <v>2469000</v>
      </c>
      <c r="AB248" t="n">
        <v>2469000</v>
      </c>
      <c r="AC248" t="n">
        <v>2469000</v>
      </c>
      <c r="AD248" t="n">
        <v>5335526</v>
      </c>
      <c r="AE248" t="n">
        <v>31.64</v>
      </c>
    </row>
    <row r="249">
      <c r="A249" t="inlineStr">
        <is>
          <t>1 - ADMINISTRACIÓN CENTRAL</t>
        </is>
      </c>
      <c r="B249" t="inlineStr">
        <is>
          <t>45 - GOBIERNO TERRITORIAL</t>
        </is>
      </c>
      <c r="C249" t="inlineStr">
        <is>
          <t>1000</t>
        </is>
      </c>
      <c r="D249" t="inlineStr">
        <is>
          <t>4501</t>
        </is>
      </c>
      <c r="E249" t="inlineStr">
        <is>
          <t>4501082</t>
        </is>
      </c>
      <c r="F249" t="inlineStr">
        <is>
          <t>SERVICIO DE APOYO PARA LA ATENCIÓN ESPECIALIZADA E INTERDISCIPLINARIA EN LAS COMISARIAS DE FAMILIA</t>
        </is>
      </c>
      <c r="G249" t="inlineStr">
        <is>
          <t>2024546600072</t>
        </is>
      </c>
      <c r="H249" t="inlineStr">
        <is>
          <t>FORTALECIMIENTO DE LA CONVIVENCIA Y LA SEGURIDAD CIUDADANA PDM UNIDOS SOMOS MÁS EN EL MUNICIPIO DE  SALAZAR</t>
        </is>
      </c>
      <c r="I249" t="inlineStr">
        <is>
          <t>00</t>
        </is>
      </c>
      <c r="J249" t="inlineStr">
        <is>
          <t>SIN PRODUCTO DANE</t>
        </is>
      </c>
      <c r="K249" t="inlineStr">
        <is>
          <t>00</t>
        </is>
      </c>
      <c r="L249" t="inlineStr">
        <is>
          <t>SIN ATRIBUTO</t>
        </is>
      </c>
      <c r="N249" t="inlineStr">
        <is>
          <t>2.3.1.01.02.004.45.01</t>
        </is>
      </c>
      <c r="O249" t="inlineStr">
        <is>
          <t>Aportes a cajas de compensacion familiar - COMISARIA DE FAMILIA</t>
        </is>
      </c>
      <c r="P249" t="inlineStr">
        <is>
          <t>360</t>
        </is>
      </c>
      <c r="Q249" t="inlineStr">
        <is>
          <t>SGP PROPOSITO GENERAL 42 POR CIENTO RECURSOS LIBRE DESTINACION SGP PROPOSITO GENERAL MPIOS DE CATEGORIA 4 5 Y 6 SGP ONCE</t>
        </is>
      </c>
      <c r="R249" t="n">
        <v>9029949</v>
      </c>
      <c r="S249" t="n">
        <v>0</v>
      </c>
      <c r="T249" t="n">
        <v>8732049</v>
      </c>
      <c r="U249" t="n">
        <v>0</v>
      </c>
      <c r="V249" t="n">
        <v>0</v>
      </c>
      <c r="W249" t="n">
        <v>0</v>
      </c>
      <c r="X249" t="n">
        <v>0</v>
      </c>
      <c r="Y249" t="n">
        <v>297900</v>
      </c>
      <c r="Z249" t="n">
        <v>297900</v>
      </c>
      <c r="AA249" t="n">
        <v>297900</v>
      </c>
      <c r="AB249" t="n">
        <v>297900</v>
      </c>
      <c r="AC249" t="n">
        <v>297900</v>
      </c>
      <c r="AD249" t="n">
        <v>0</v>
      </c>
      <c r="AE249" t="n">
        <v>100</v>
      </c>
    </row>
    <row r="250">
      <c r="A250" t="inlineStr">
        <is>
          <t>1 - ADMINISTRACIÓN CENTRAL</t>
        </is>
      </c>
      <c r="B250" t="inlineStr">
        <is>
          <t>45 - GOBIERNO TERRITORIAL</t>
        </is>
      </c>
      <c r="C250" t="inlineStr">
        <is>
          <t>1000</t>
        </is>
      </c>
      <c r="D250" t="inlineStr">
        <is>
          <t>4501</t>
        </is>
      </c>
      <c r="E250" t="inlineStr">
        <is>
          <t>4501082</t>
        </is>
      </c>
      <c r="F250" t="inlineStr">
        <is>
          <t>SERVICIO DE APOYO PARA LA ATENCIÓN ESPECIALIZADA E INTERDISCIPLINARIA EN LAS COMISARIAS DE FAMILIA</t>
        </is>
      </c>
      <c r="G250" t="inlineStr">
        <is>
          <t>2024546600072</t>
        </is>
      </c>
      <c r="H250" t="inlineStr">
        <is>
          <t>FORTALECIMIENTO DE LA CONVIVENCIA Y LA SEGURIDAD CIUDADANA PDM UNIDOS SOMOS MÁS EN EL MUNICIPIO DE  SALAZAR</t>
        </is>
      </c>
      <c r="I250" t="inlineStr">
        <is>
          <t>00</t>
        </is>
      </c>
      <c r="J250" t="inlineStr">
        <is>
          <t>SIN PRODUCTO DANE</t>
        </is>
      </c>
      <c r="K250" t="inlineStr">
        <is>
          <t>00</t>
        </is>
      </c>
      <c r="L250" t="inlineStr">
        <is>
          <t>SIN ATRIBUTO</t>
        </is>
      </c>
      <c r="N250" t="inlineStr">
        <is>
          <t>2.3.1.01.02.004.45.02</t>
        </is>
      </c>
      <c r="O250" t="inlineStr">
        <is>
          <t>Aportes a cajas de compensacion familiar - COMISARIA DE FAMILIA</t>
        </is>
      </c>
      <c r="P250" t="inlineStr">
        <is>
          <t>360.1</t>
        </is>
      </c>
      <c r="Q250" t="inlineStr">
        <is>
          <t>SGP LIBRE DESTINACION BALANCE</t>
        </is>
      </c>
      <c r="R250" t="n">
        <v>0</v>
      </c>
      <c r="S250" t="n">
        <v>8732049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8732049</v>
      </c>
      <c r="Z250" t="n">
        <v>2377300</v>
      </c>
      <c r="AA250" t="n">
        <v>2377300</v>
      </c>
      <c r="AB250" t="n">
        <v>2377300</v>
      </c>
      <c r="AC250" t="n">
        <v>2377300</v>
      </c>
      <c r="AD250" t="n">
        <v>6354749</v>
      </c>
      <c r="AE250" t="n">
        <v>27.22</v>
      </c>
    </row>
    <row r="251">
      <c r="A251" t="inlineStr">
        <is>
          <t>1 - ADMINISTRACIÓN CENTRAL</t>
        </is>
      </c>
      <c r="B251" t="inlineStr">
        <is>
          <t>00 - SIN SECTOR</t>
        </is>
      </c>
      <c r="C251" t="inlineStr">
        <is>
          <t>00</t>
        </is>
      </c>
      <c r="D251" t="inlineStr">
        <is>
          <t>0000</t>
        </is>
      </c>
      <c r="E251" t="inlineStr">
        <is>
          <t>000000</t>
        </is>
      </c>
      <c r="F251" t="inlineStr">
        <is>
          <t>SIN PRODUCTO</t>
        </is>
      </c>
      <c r="G251" t="inlineStr">
        <is>
          <t>00</t>
        </is>
      </c>
      <c r="H251" t="inlineStr">
        <is>
          <t>00</t>
        </is>
      </c>
      <c r="I251" t="inlineStr">
        <is>
          <t>00</t>
        </is>
      </c>
      <c r="J251" t="inlineStr">
        <is>
          <t>SIN PRODUCTO DANE</t>
        </is>
      </c>
      <c r="K251" t="inlineStr">
        <is>
          <t>00</t>
        </is>
      </c>
      <c r="L251" t="inlineStr">
        <is>
          <t>SIN ATRIBUTO</t>
        </is>
      </c>
      <c r="N251" t="inlineStr">
        <is>
          <t>2.3.1.01.02.005</t>
        </is>
      </c>
      <c r="O251" t="inlineStr">
        <is>
          <t>APORTES GENERALES AL SISTEMA DE RIESGOS LABORALES</t>
        </is>
      </c>
      <c r="P251" t="inlineStr">
        <is>
          <t>00</t>
        </is>
      </c>
      <c r="Q251" t="inlineStr">
        <is>
          <t>RECURSOS</t>
        </is>
      </c>
      <c r="R251" t="n">
        <v>2232376</v>
      </c>
      <c r="S251" t="n">
        <v>1281774</v>
      </c>
      <c r="T251" t="n">
        <v>1281774</v>
      </c>
      <c r="U251" t="n">
        <v>0</v>
      </c>
      <c r="V251" t="n">
        <v>0</v>
      </c>
      <c r="W251" t="n">
        <v>0</v>
      </c>
      <c r="X251" t="n">
        <v>0</v>
      </c>
      <c r="Y251" t="n">
        <v>2232376</v>
      </c>
      <c r="Z251" t="n">
        <v>741900</v>
      </c>
      <c r="AA251" t="n">
        <v>741900</v>
      </c>
      <c r="AB251" t="n">
        <v>741900</v>
      </c>
      <c r="AC251" t="n">
        <v>741900</v>
      </c>
      <c r="AD251" t="n">
        <v>1490476</v>
      </c>
      <c r="AE251" t="n">
        <v>33.23</v>
      </c>
    </row>
    <row r="252">
      <c r="A252" t="inlineStr">
        <is>
          <t>1 - ADMINISTRACIÓN CENTRAL</t>
        </is>
      </c>
      <c r="B252" t="inlineStr">
        <is>
          <t>12 - JUSTICIA Y DEL DERECHO</t>
        </is>
      </c>
      <c r="C252" t="inlineStr">
        <is>
          <t>0800</t>
        </is>
      </c>
      <c r="D252" t="inlineStr">
        <is>
          <t>1202</t>
        </is>
      </c>
      <c r="E252" t="inlineStr">
        <is>
          <t>1202002</t>
        </is>
      </c>
      <c r="F252" t="inlineStr">
        <is>
          <t>SERVICIO DE JUSTICIA A LOS CIUDADANOS</t>
        </is>
      </c>
      <c r="G252" t="inlineStr">
        <is>
          <t>2024546600041</t>
        </is>
      </c>
      <c r="H252" t="inlineStr">
        <is>
          <t>APOYO PARA LA PROMOCIÓN DEL ACCESO A LA JUSTICIA PDM UNIDOS SOMOS MÁS EN EL MUNICIPIO DE   SALAZAR</t>
        </is>
      </c>
      <c r="I252" t="inlineStr">
        <is>
          <t>00</t>
        </is>
      </c>
      <c r="J252" t="inlineStr">
        <is>
          <t>SIN PRODUCTO DANE</t>
        </is>
      </c>
      <c r="K252" t="inlineStr">
        <is>
          <t>00</t>
        </is>
      </c>
      <c r="L252" t="inlineStr">
        <is>
          <t>SIN ATRIBUTO</t>
        </is>
      </c>
      <c r="N252" t="inlineStr">
        <is>
          <t>2.3.1.01.02.005.12.01</t>
        </is>
      </c>
      <c r="O252" t="inlineStr">
        <is>
          <t>Aportes generales al sistema de riesgos laborales - CORREGIDOR</t>
        </is>
      </c>
      <c r="P252" t="inlineStr">
        <is>
          <t>360</t>
        </is>
      </c>
      <c r="Q252" t="inlineStr">
        <is>
          <t>SGP PROPOSITO GENERAL 42 POR CIENTO RECURSOS LIBRE DESTINACION SGP PROPOSITO GENERAL MPIOS DE CATEGORIA 4 5 Y 6 SGP ONCE</t>
        </is>
      </c>
      <c r="R252" t="n">
        <v>312301</v>
      </c>
      <c r="S252" t="n">
        <v>0</v>
      </c>
      <c r="T252" t="n">
        <v>291601</v>
      </c>
      <c r="U252" t="n">
        <v>0</v>
      </c>
      <c r="V252" t="n">
        <v>0</v>
      </c>
      <c r="W252" t="n">
        <v>0</v>
      </c>
      <c r="X252" t="n">
        <v>0</v>
      </c>
      <c r="Y252" t="n">
        <v>20700</v>
      </c>
      <c r="Z252" t="n">
        <v>20700</v>
      </c>
      <c r="AA252" t="n">
        <v>20700</v>
      </c>
      <c r="AB252" t="n">
        <v>20700</v>
      </c>
      <c r="AC252" t="n">
        <v>20700</v>
      </c>
      <c r="AD252" t="n">
        <v>0</v>
      </c>
      <c r="AE252" t="n">
        <v>100</v>
      </c>
    </row>
    <row r="253">
      <c r="A253" t="inlineStr">
        <is>
          <t>1 - ADMINISTRACIÓN CENTRAL</t>
        </is>
      </c>
      <c r="B253" t="inlineStr">
        <is>
          <t>12 - JUSTICIA Y DEL DERECHO</t>
        </is>
      </c>
      <c r="C253" t="inlineStr">
        <is>
          <t>0800</t>
        </is>
      </c>
      <c r="D253" t="inlineStr">
        <is>
          <t>1202</t>
        </is>
      </c>
      <c r="E253" t="inlineStr">
        <is>
          <t>1202002</t>
        </is>
      </c>
      <c r="F253" t="inlineStr">
        <is>
          <t>SERVICIO DE JUSTICIA A LOS CIUDADANOS</t>
        </is>
      </c>
      <c r="G253" t="inlineStr">
        <is>
          <t>2024546600041</t>
        </is>
      </c>
      <c r="H253" t="inlineStr">
        <is>
          <t>APOYO PARA LA PROMOCIÓN DEL ACCESO A LA JUSTICIA PDM UNIDOS SOMOS MÁS EN EL MUNICIPIO DE   SALAZAR</t>
        </is>
      </c>
      <c r="I253" t="inlineStr">
        <is>
          <t>00</t>
        </is>
      </c>
      <c r="J253" t="inlineStr">
        <is>
          <t>SIN PRODUCTO DANE</t>
        </is>
      </c>
      <c r="K253" t="inlineStr">
        <is>
          <t>00</t>
        </is>
      </c>
      <c r="L253" t="inlineStr">
        <is>
          <t>SIN ATRIBUTO</t>
        </is>
      </c>
      <c r="N253" t="inlineStr">
        <is>
          <t>2.3.1.01.02.005.12.02</t>
        </is>
      </c>
      <c r="O253" t="inlineStr">
        <is>
          <t>Aportes generales al sistema de riesgos laborales - CORREGIDOR</t>
        </is>
      </c>
      <c r="P253" t="inlineStr">
        <is>
          <t>410</t>
        </is>
      </c>
      <c r="Q253" t="inlineStr">
        <is>
          <t>SGP PROPOSITO GENERAL FORZOSA INVERSION LIBRE INVERSIÓN SALDOS NO EJECUTADOS NI INCORPORADOS VIGENCIAS ANTERIORES Y REIN</t>
        </is>
      </c>
      <c r="R253" t="n">
        <v>0</v>
      </c>
      <c r="S253" t="n">
        <v>291601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291601</v>
      </c>
      <c r="Z253" t="n">
        <v>102800</v>
      </c>
      <c r="AA253" t="n">
        <v>102800</v>
      </c>
      <c r="AB253" t="n">
        <v>102800</v>
      </c>
      <c r="AC253" t="n">
        <v>102800</v>
      </c>
      <c r="AD253" t="n">
        <v>188801</v>
      </c>
      <c r="AE253" t="n">
        <v>35.25</v>
      </c>
    </row>
    <row r="254">
      <c r="A254" t="inlineStr">
        <is>
          <t>1 - ADMINISTRACIÓN CENTRAL</t>
        </is>
      </c>
      <c r="B254" t="inlineStr">
        <is>
          <t>17 - AGRICULTURA Y DESARROLLO RURAL</t>
        </is>
      </c>
      <c r="C254" t="inlineStr">
        <is>
          <t>1100</t>
        </is>
      </c>
      <c r="D254" t="inlineStr">
        <is>
          <t>1702</t>
        </is>
      </c>
      <c r="E254" t="inlineStr">
        <is>
          <t>1702010</t>
        </is>
      </c>
      <c r="F254" t="inlineStr">
        <is>
          <t>SERVICIO DE ASISTENCIA TÉCNICA AGROPECUARIA DIRIGIDA A PEQUEÑOS PRODUCTORES</t>
        </is>
      </c>
      <c r="G254" t="inlineStr">
        <is>
          <t>2024546600043</t>
        </is>
      </c>
      <c r="H254" t="inlineStr">
        <is>
          <t>APOYO PARA LA INCLUSIÓN PRODUCTIVA DE PEQUEÑOS PRODUCTORES RURALES PDM UNIDOS SOMOS MÁS EN EL MUNICIPIO DE  SALAZAR</t>
        </is>
      </c>
      <c r="I254" t="inlineStr">
        <is>
          <t>00</t>
        </is>
      </c>
      <c r="J254" t="inlineStr">
        <is>
          <t>SIN PRODUCTO DANE</t>
        </is>
      </c>
      <c r="K254" t="inlineStr">
        <is>
          <t>00</t>
        </is>
      </c>
      <c r="L254" t="inlineStr">
        <is>
          <t>SIN ATRIBUTO</t>
        </is>
      </c>
      <c r="N254" t="inlineStr">
        <is>
          <t>2.3.1.01.02.005.17.01</t>
        </is>
      </c>
      <c r="O254" t="inlineStr">
        <is>
          <t>Aportes generales al sistema de riesgos laborales - UMATA</t>
        </is>
      </c>
      <c r="P254" t="inlineStr">
        <is>
          <t>420</t>
        </is>
      </c>
      <c r="Q254" t="inlineStr">
        <is>
          <t>SGP PROPOSITO GENERAL FORZOSA INVERSION LIBRE INVERSIÓN SGP ONCE DOCEAVAS VIGENCIA ACTUAL MAS ULTIMA DOCEAVA VIGENCIA AN</t>
        </is>
      </c>
      <c r="R254" t="n">
        <v>891802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891802</v>
      </c>
      <c r="Z254" t="n">
        <v>298500</v>
      </c>
      <c r="AA254" t="n">
        <v>298500</v>
      </c>
      <c r="AB254" t="n">
        <v>298500</v>
      </c>
      <c r="AC254" t="n">
        <v>298500</v>
      </c>
      <c r="AD254" t="n">
        <v>593302</v>
      </c>
      <c r="AE254" t="n">
        <v>33.47</v>
      </c>
    </row>
    <row r="255">
      <c r="A255" t="inlineStr">
        <is>
          <t>1 - ADMINISTRACIÓN CENTRAL</t>
        </is>
      </c>
      <c r="B255" t="inlineStr">
        <is>
          <t>45 - GOBIERNO TERRITORIAL</t>
        </is>
      </c>
      <c r="C255" t="inlineStr">
        <is>
          <t>1000</t>
        </is>
      </c>
      <c r="D255" t="inlineStr">
        <is>
          <t>4501</t>
        </is>
      </c>
      <c r="E255" t="inlineStr">
        <is>
          <t>4501082</t>
        </is>
      </c>
      <c r="F255" t="inlineStr">
        <is>
          <t>SERVICIO DE APOYO PARA LA ATENCIÓN ESPECIALIZADA E INTERDISCIPLINARIA EN LAS COMISARIAS DE FAMILIA</t>
        </is>
      </c>
      <c r="G255" t="inlineStr">
        <is>
          <t>2024546600072</t>
        </is>
      </c>
      <c r="H255" t="inlineStr">
        <is>
          <t>FORTALECIMIENTO DE LA CONVIVENCIA Y LA SEGURIDAD CIUDADANA PDM UNIDOS SOMOS MÁS EN EL MUNICIPIO DE  SALAZAR</t>
        </is>
      </c>
      <c r="I255" t="inlineStr">
        <is>
          <t>00</t>
        </is>
      </c>
      <c r="J255" t="inlineStr">
        <is>
          <t>SIN PRODUCTO DANE</t>
        </is>
      </c>
      <c r="K255" t="inlineStr">
        <is>
          <t>00</t>
        </is>
      </c>
      <c r="L255" t="inlineStr">
        <is>
          <t>SIN ATRIBUTO</t>
        </is>
      </c>
      <c r="N255" t="inlineStr">
        <is>
          <t>2.3.1.01.02.005.45.01</t>
        </is>
      </c>
      <c r="O255" t="inlineStr">
        <is>
          <t>Aportes generales al sistema de riesgos laborales - COMISARIA DE FAMILIA</t>
        </is>
      </c>
      <c r="P255" t="inlineStr">
        <is>
          <t>360</t>
        </is>
      </c>
      <c r="Q255" t="inlineStr">
        <is>
          <t>SGP PROPOSITO GENERAL 42 POR CIENTO RECURSOS LIBRE DESTINACION SGP PROPOSITO GENERAL MPIOS DE CATEGORIA 4 5 Y 6 SGP ONCE</t>
        </is>
      </c>
      <c r="R255" t="n">
        <v>1028273</v>
      </c>
      <c r="S255" t="n">
        <v>0</v>
      </c>
      <c r="T255" t="n">
        <v>990173</v>
      </c>
      <c r="U255" t="n">
        <v>0</v>
      </c>
      <c r="V255" t="n">
        <v>0</v>
      </c>
      <c r="W255" t="n">
        <v>0</v>
      </c>
      <c r="X255" t="n">
        <v>0</v>
      </c>
      <c r="Y255" t="n">
        <v>38100</v>
      </c>
      <c r="Z255" t="n">
        <v>38100</v>
      </c>
      <c r="AA255" t="n">
        <v>38100</v>
      </c>
      <c r="AB255" t="n">
        <v>38100</v>
      </c>
      <c r="AC255" t="n">
        <v>38100</v>
      </c>
      <c r="AD255" t="n">
        <v>0</v>
      </c>
      <c r="AE255" t="n">
        <v>100</v>
      </c>
    </row>
    <row r="256">
      <c r="A256" t="inlineStr">
        <is>
          <t>1 - ADMINISTRACIÓN CENTRAL</t>
        </is>
      </c>
      <c r="B256" t="inlineStr">
        <is>
          <t>45 - GOBIERNO TERRITORIAL</t>
        </is>
      </c>
      <c r="C256" t="inlineStr">
        <is>
          <t>1000</t>
        </is>
      </c>
      <c r="D256" t="inlineStr">
        <is>
          <t>4501</t>
        </is>
      </c>
      <c r="E256" t="inlineStr">
        <is>
          <t>4501082</t>
        </is>
      </c>
      <c r="F256" t="inlineStr">
        <is>
          <t>SERVICIO DE APOYO PARA LA ATENCIÓN ESPECIALIZADA E INTERDISCIPLINARIA EN LAS COMISARIAS DE FAMILIA</t>
        </is>
      </c>
      <c r="G256" t="inlineStr">
        <is>
          <t>2024546600072</t>
        </is>
      </c>
      <c r="H256" t="inlineStr">
        <is>
          <t>FORTALECIMIENTO DE LA CONVIVENCIA Y LA SEGURIDAD CIUDADANA PDM UNIDOS SOMOS MÁS EN EL MUNICIPIO DE  SALAZAR</t>
        </is>
      </c>
      <c r="I256" t="inlineStr">
        <is>
          <t>00</t>
        </is>
      </c>
      <c r="J256" t="inlineStr">
        <is>
          <t>SIN PRODUCTO DANE</t>
        </is>
      </c>
      <c r="K256" t="inlineStr">
        <is>
          <t>00</t>
        </is>
      </c>
      <c r="L256" t="inlineStr">
        <is>
          <t>SIN ATRIBUTO</t>
        </is>
      </c>
      <c r="N256" t="inlineStr">
        <is>
          <t>2.3.1.01.02.005.45.02</t>
        </is>
      </c>
      <c r="O256" t="inlineStr">
        <is>
          <t>Aportes generales al sistema de riesgos laborales - COMISARIA DE FAMILIA</t>
        </is>
      </c>
      <c r="P256" t="inlineStr">
        <is>
          <t>153.1</t>
        </is>
      </c>
      <c r="Q256" t="inlineStr">
        <is>
          <t>RB ESTAMPILLA PARA LA JUSTICIA FAMILIAR</t>
        </is>
      </c>
      <c r="R256" t="n">
        <v>0</v>
      </c>
      <c r="S256" t="n">
        <v>990173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990173</v>
      </c>
      <c r="Z256" t="n">
        <v>281800</v>
      </c>
      <c r="AA256" t="n">
        <v>281800</v>
      </c>
      <c r="AB256" t="n">
        <v>281800</v>
      </c>
      <c r="AC256" t="n">
        <v>281800</v>
      </c>
      <c r="AD256" t="n">
        <v>708373</v>
      </c>
      <c r="AE256" t="n">
        <v>28.46</v>
      </c>
    </row>
    <row r="257">
      <c r="A257" t="inlineStr">
        <is>
          <t>1 - ADMINISTRACIÓN CENTRAL</t>
        </is>
      </c>
      <c r="B257" t="inlineStr">
        <is>
          <t>00 - SIN SECTOR</t>
        </is>
      </c>
      <c r="C257" t="inlineStr">
        <is>
          <t>00</t>
        </is>
      </c>
      <c r="D257" t="inlineStr">
        <is>
          <t>0000</t>
        </is>
      </c>
      <c r="E257" t="inlineStr">
        <is>
          <t>000000</t>
        </is>
      </c>
      <c r="F257" t="inlineStr">
        <is>
          <t>SIN PRODUCTO</t>
        </is>
      </c>
      <c r="G257" t="inlineStr">
        <is>
          <t>00</t>
        </is>
      </c>
      <c r="H257" t="inlineStr">
        <is>
          <t>00</t>
        </is>
      </c>
      <c r="I257" t="inlineStr">
        <is>
          <t>00</t>
        </is>
      </c>
      <c r="J257" t="inlineStr">
        <is>
          <t>SIN PRODUCTO DANE</t>
        </is>
      </c>
      <c r="K257" t="inlineStr">
        <is>
          <t>00</t>
        </is>
      </c>
      <c r="L257" t="inlineStr">
        <is>
          <t>SIN ATRIBUTO</t>
        </is>
      </c>
      <c r="N257" t="inlineStr">
        <is>
          <t>2.3.1.01.02.006</t>
        </is>
      </c>
      <c r="O257" t="inlineStr">
        <is>
          <t>APORTES AL ICBF</t>
        </is>
      </c>
      <c r="P257" t="inlineStr">
        <is>
          <t>00</t>
        </is>
      </c>
      <c r="Q257" t="inlineStr">
        <is>
          <t>RECURSOS</t>
        </is>
      </c>
      <c r="R257" t="n">
        <v>14652824</v>
      </c>
      <c r="S257" t="n">
        <v>8358831</v>
      </c>
      <c r="T257" t="n">
        <v>8358831</v>
      </c>
      <c r="U257" t="n">
        <v>0</v>
      </c>
      <c r="V257" t="n">
        <v>0</v>
      </c>
      <c r="W257" t="n">
        <v>0</v>
      </c>
      <c r="X257" t="n">
        <v>0</v>
      </c>
      <c r="Y257" t="n">
        <v>14652824</v>
      </c>
      <c r="Z257" t="n">
        <v>4663100</v>
      </c>
      <c r="AA257" t="n">
        <v>4663100</v>
      </c>
      <c r="AB257" t="n">
        <v>4663100</v>
      </c>
      <c r="AC257" t="n">
        <v>4663100</v>
      </c>
      <c r="AD257" t="n">
        <v>9989724</v>
      </c>
      <c r="AE257" t="n">
        <v>31.82</v>
      </c>
    </row>
    <row r="258">
      <c r="A258" t="inlineStr">
        <is>
          <t>1 - ADMINISTRACIÓN CENTRAL</t>
        </is>
      </c>
      <c r="B258" t="inlineStr">
        <is>
          <t>12 - JUSTICIA Y DEL DERECHO</t>
        </is>
      </c>
      <c r="C258" t="inlineStr">
        <is>
          <t>0800</t>
        </is>
      </c>
      <c r="D258" t="inlineStr">
        <is>
          <t>1202</t>
        </is>
      </c>
      <c r="E258" t="inlineStr">
        <is>
          <t>1202002</t>
        </is>
      </c>
      <c r="F258" t="inlineStr">
        <is>
          <t>SERVICIO DE JUSTICIA A LOS CIUDADANOS</t>
        </is>
      </c>
      <c r="G258" t="inlineStr">
        <is>
          <t>2024546600041</t>
        </is>
      </c>
      <c r="H258" t="inlineStr">
        <is>
          <t>APOYO PARA LA PROMOCIÓN DEL ACCESO A LA JUSTICIA PDM UNIDOS SOMOS MÁS EN EL MUNICIPIO DE   SALAZAR</t>
        </is>
      </c>
      <c r="I258" t="inlineStr">
        <is>
          <t>00</t>
        </is>
      </c>
      <c r="J258" t="inlineStr">
        <is>
          <t>SIN PRODUCTO DANE</t>
        </is>
      </c>
      <c r="K258" t="inlineStr">
        <is>
          <t>00</t>
        </is>
      </c>
      <c r="L258" t="inlineStr">
        <is>
          <t>SIN ATRIBUTO</t>
        </is>
      </c>
      <c r="N258" t="inlineStr">
        <is>
          <t>2.3.1.01.02.006.12.01</t>
        </is>
      </c>
      <c r="O258" t="inlineStr">
        <is>
          <t>Aportes al icbf - CORREGIDOR</t>
        </is>
      </c>
      <c r="P258" t="inlineStr">
        <is>
          <t>360</t>
        </is>
      </c>
      <c r="Q258" t="inlineStr">
        <is>
          <t>SGP PROPOSITO GENERAL 42 POR CIENTO RECURSOS LIBRE DESTINACION SGP PROPOSITO GENERAL MPIOS DE CATEGORIA 4 5 Y 6 SGP ONCE</t>
        </is>
      </c>
      <c r="R258" t="n">
        <v>2026967</v>
      </c>
      <c r="S258" t="n">
        <v>0</v>
      </c>
      <c r="T258" t="n">
        <v>1809867</v>
      </c>
      <c r="U258" t="n">
        <v>0</v>
      </c>
      <c r="V258" t="n">
        <v>0</v>
      </c>
      <c r="W258" t="n">
        <v>0</v>
      </c>
      <c r="X258" t="n">
        <v>0</v>
      </c>
      <c r="Y258" t="n">
        <v>217100</v>
      </c>
      <c r="Z258" t="n">
        <v>193300</v>
      </c>
      <c r="AA258" t="n">
        <v>193300</v>
      </c>
      <c r="AB258" t="n">
        <v>193300</v>
      </c>
      <c r="AC258" t="n">
        <v>193300</v>
      </c>
      <c r="AD258" t="n">
        <v>23800</v>
      </c>
      <c r="AE258" t="n">
        <v>89.04000000000001</v>
      </c>
    </row>
    <row r="259">
      <c r="A259" t="inlineStr">
        <is>
          <t>1 - ADMINISTRACIÓN CENTRAL</t>
        </is>
      </c>
      <c r="B259" t="inlineStr">
        <is>
          <t>12 - JUSTICIA Y DEL DERECHO</t>
        </is>
      </c>
      <c r="C259" t="inlineStr">
        <is>
          <t>0800</t>
        </is>
      </c>
      <c r="D259" t="inlineStr">
        <is>
          <t>1202</t>
        </is>
      </c>
      <c r="E259" t="inlineStr">
        <is>
          <t>1202002</t>
        </is>
      </c>
      <c r="F259" t="inlineStr">
        <is>
          <t>SERVICIO DE JUSTICIA A LOS CIUDADANOS</t>
        </is>
      </c>
      <c r="G259" t="inlineStr">
        <is>
          <t>2024546600041</t>
        </is>
      </c>
      <c r="H259" t="inlineStr">
        <is>
          <t>APOYO PARA LA PROMOCIÓN DEL ACCESO A LA JUSTICIA PDM UNIDOS SOMOS MÁS EN EL MUNICIPIO DE   SALAZAR</t>
        </is>
      </c>
      <c r="I259" t="inlineStr">
        <is>
          <t>00</t>
        </is>
      </c>
      <c r="J259" t="inlineStr">
        <is>
          <t>SIN PRODUCTO DANE</t>
        </is>
      </c>
      <c r="K259" t="inlineStr">
        <is>
          <t>00</t>
        </is>
      </c>
      <c r="L259" t="inlineStr">
        <is>
          <t>SIN ATRIBUTO</t>
        </is>
      </c>
      <c r="N259" t="inlineStr">
        <is>
          <t>2.3.1.01.02.006.12.02</t>
        </is>
      </c>
      <c r="O259" t="inlineStr">
        <is>
          <t>Aportes al icbf - CORREGIDOR</t>
        </is>
      </c>
      <c r="P259" t="inlineStr">
        <is>
          <t>410</t>
        </is>
      </c>
      <c r="Q259" t="inlineStr">
        <is>
          <t>SGP PROPOSITO GENERAL FORZOSA INVERSION LIBRE INVERSIÓN SALDOS NO EJECUTADOS NI INCORPORADOS VIGENCIAS ANTERIORES Y REIN</t>
        </is>
      </c>
      <c r="R259" t="n">
        <v>0</v>
      </c>
      <c r="S259" t="n">
        <v>1809867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1809867</v>
      </c>
      <c r="Z259" t="n">
        <v>611100</v>
      </c>
      <c r="AA259" t="n">
        <v>611100</v>
      </c>
      <c r="AB259" t="n">
        <v>611100</v>
      </c>
      <c r="AC259" t="n">
        <v>611100</v>
      </c>
      <c r="AD259" t="n">
        <v>1198767</v>
      </c>
      <c r="AE259" t="n">
        <v>33.76</v>
      </c>
    </row>
    <row r="260">
      <c r="A260" t="inlineStr">
        <is>
          <t>1 - ADMINISTRACIÓN CENTRAL</t>
        </is>
      </c>
      <c r="B260" t="inlineStr">
        <is>
          <t>17 - AGRICULTURA Y DESARROLLO RURAL</t>
        </is>
      </c>
      <c r="C260" t="inlineStr">
        <is>
          <t>1100</t>
        </is>
      </c>
      <c r="D260" t="inlineStr">
        <is>
          <t>1702</t>
        </is>
      </c>
      <c r="E260" t="inlineStr">
        <is>
          <t>1702010</t>
        </is>
      </c>
      <c r="F260" t="inlineStr">
        <is>
          <t>SERVICIO DE ASISTENCIA TÉCNICA AGROPECUARIA DIRIGIDA A PEQUEÑOS PRODUCTORES</t>
        </is>
      </c>
      <c r="G260" t="inlineStr">
        <is>
          <t>2024546600043</t>
        </is>
      </c>
      <c r="H260" t="inlineStr">
        <is>
          <t>APOYO PARA LA INCLUSIÓN PRODUCTIVA DE PEQUEÑOS PRODUCTORES RURALES PDM UNIDOS SOMOS MÁS EN EL MUNICIPIO DE  SALAZAR</t>
        </is>
      </c>
      <c r="I260" t="inlineStr">
        <is>
          <t>00</t>
        </is>
      </c>
      <c r="J260" t="inlineStr">
        <is>
          <t>SIN PRODUCTO DANE</t>
        </is>
      </c>
      <c r="K260" t="inlineStr">
        <is>
          <t>00</t>
        </is>
      </c>
      <c r="L260" t="inlineStr">
        <is>
          <t>SIN ATRIBUTO</t>
        </is>
      </c>
      <c r="N260" t="inlineStr">
        <is>
          <t>2.3.1.01.02.006.17.01</t>
        </is>
      </c>
      <c r="O260" t="inlineStr">
        <is>
          <t>Aportes al icbf - UMATA</t>
        </is>
      </c>
      <c r="P260" t="inlineStr">
        <is>
          <t>420</t>
        </is>
      </c>
      <c r="Q260" t="inlineStr">
        <is>
          <t>SGP PROPOSITO GENERAL FORZOSA INVERSION LIBRE INVERSIÓN SGP ONCE DOCEAVAS VIGENCIA ACTUAL MAS ULTIMA DOCEAVA VIGENCIA AN</t>
        </is>
      </c>
      <c r="R260" t="n">
        <v>5853393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5853393</v>
      </c>
      <c r="Z260" t="n">
        <v>1852300</v>
      </c>
      <c r="AA260" t="n">
        <v>1852300</v>
      </c>
      <c r="AB260" t="n">
        <v>1852300</v>
      </c>
      <c r="AC260" t="n">
        <v>1852300</v>
      </c>
      <c r="AD260" t="n">
        <v>4001093</v>
      </c>
      <c r="AE260" t="n">
        <v>31.64</v>
      </c>
    </row>
    <row r="261">
      <c r="A261" t="inlineStr">
        <is>
          <t>1 - ADMINISTRACIÓN CENTRAL</t>
        </is>
      </c>
      <c r="B261" t="inlineStr">
        <is>
          <t>45 - GOBIERNO TERRITORIAL</t>
        </is>
      </c>
      <c r="C261" t="inlineStr">
        <is>
          <t>1000</t>
        </is>
      </c>
      <c r="D261" t="inlineStr">
        <is>
          <t>4501</t>
        </is>
      </c>
      <c r="E261" t="inlineStr">
        <is>
          <t>4501082</t>
        </is>
      </c>
      <c r="F261" t="inlineStr">
        <is>
          <t>SERVICIO DE APOYO PARA LA ATENCIÓN ESPECIALIZADA E INTERDISCIPLINARIA EN LAS COMISARIAS DE FAMILIA</t>
        </is>
      </c>
      <c r="G261" t="inlineStr">
        <is>
          <t>2024546600072</t>
        </is>
      </c>
      <c r="H261" t="inlineStr">
        <is>
          <t>FORTALECIMIENTO DE LA CONVIVENCIA Y LA SEGURIDAD CIUDADANA PDM UNIDOS SOMOS MÁS EN EL MUNICIPIO DE  SALAZAR</t>
        </is>
      </c>
      <c r="I261" t="inlineStr">
        <is>
          <t>00</t>
        </is>
      </c>
      <c r="J261" t="inlineStr">
        <is>
          <t>SIN PRODUCTO DANE</t>
        </is>
      </c>
      <c r="K261" t="inlineStr">
        <is>
          <t>00</t>
        </is>
      </c>
      <c r="L261" t="inlineStr">
        <is>
          <t>SIN ATRIBUTO</t>
        </is>
      </c>
      <c r="N261" t="inlineStr">
        <is>
          <t>2.3.1.01.02.006.45.01</t>
        </is>
      </c>
      <c r="O261" t="inlineStr">
        <is>
          <t>Aportes al icbf - COMISARIA DE FAMILIA</t>
        </is>
      </c>
      <c r="P261" t="inlineStr">
        <is>
          <t>360</t>
        </is>
      </c>
      <c r="Q261" t="inlineStr">
        <is>
          <t>SGP PROPOSITO GENERAL 42 POR CIENTO RECURSOS LIBRE DESTINACION SGP PROPOSITO GENERAL MPIOS DE CATEGORIA 4 5 Y 6 SGP ONCE</t>
        </is>
      </c>
      <c r="R261" t="n">
        <v>6772464</v>
      </c>
      <c r="S261" t="n">
        <v>0</v>
      </c>
      <c r="T261" t="n">
        <v>6548964</v>
      </c>
      <c r="U261" t="n">
        <v>0</v>
      </c>
      <c r="V261" t="n">
        <v>0</v>
      </c>
      <c r="W261" t="n">
        <v>0</v>
      </c>
      <c r="X261" t="n">
        <v>0</v>
      </c>
      <c r="Y261" t="n">
        <v>223500</v>
      </c>
      <c r="Z261" t="n">
        <v>223500</v>
      </c>
      <c r="AA261" t="n">
        <v>223500</v>
      </c>
      <c r="AB261" t="n">
        <v>223500</v>
      </c>
      <c r="AC261" t="n">
        <v>223500</v>
      </c>
      <c r="AD261" t="n">
        <v>0</v>
      </c>
      <c r="AE261" t="n">
        <v>100</v>
      </c>
    </row>
    <row r="262">
      <c r="A262" t="inlineStr">
        <is>
          <t>1 - ADMINISTRACIÓN CENTRAL</t>
        </is>
      </c>
      <c r="B262" t="inlineStr">
        <is>
          <t>45 - GOBIERNO TERRITORIAL</t>
        </is>
      </c>
      <c r="C262" t="inlineStr">
        <is>
          <t>1000</t>
        </is>
      </c>
      <c r="D262" t="inlineStr">
        <is>
          <t>4501</t>
        </is>
      </c>
      <c r="E262" t="inlineStr">
        <is>
          <t>4501082</t>
        </is>
      </c>
      <c r="F262" t="inlineStr">
        <is>
          <t>SERVICIO DE APOYO PARA LA ATENCIÓN ESPECIALIZADA E INTERDISCIPLINARIA EN LAS COMISARIAS DE FAMILIA</t>
        </is>
      </c>
      <c r="G262" t="inlineStr">
        <is>
          <t>2024546600072</t>
        </is>
      </c>
      <c r="H262" t="inlineStr">
        <is>
          <t>FORTALECIMIENTO DE LA CONVIVENCIA Y LA SEGURIDAD CIUDADANA PDM UNIDOS SOMOS MÁS EN EL MUNICIPIO DE  SALAZAR</t>
        </is>
      </c>
      <c r="I262" t="inlineStr">
        <is>
          <t>00</t>
        </is>
      </c>
      <c r="J262" t="inlineStr">
        <is>
          <t>SIN PRODUCTO DANE</t>
        </is>
      </c>
      <c r="K262" t="inlineStr">
        <is>
          <t>00</t>
        </is>
      </c>
      <c r="L262" t="inlineStr">
        <is>
          <t>SIN ATRIBUTO</t>
        </is>
      </c>
      <c r="N262" t="inlineStr">
        <is>
          <t>2.3.1.01.02.006.45.02</t>
        </is>
      </c>
      <c r="O262" t="inlineStr">
        <is>
          <t>Aportes al icbf - COMISARIA DE FAMILIA</t>
        </is>
      </c>
      <c r="P262" t="inlineStr">
        <is>
          <t>153.1</t>
        </is>
      </c>
      <c r="Q262" t="inlineStr">
        <is>
          <t>RB ESTAMPILLA PARA LA JUSTICIA FAMILIAR</t>
        </is>
      </c>
      <c r="R262" t="n">
        <v>0</v>
      </c>
      <c r="S262" t="n">
        <v>6548964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6548964</v>
      </c>
      <c r="Z262" t="n">
        <v>1782900</v>
      </c>
      <c r="AA262" t="n">
        <v>1782900</v>
      </c>
      <c r="AB262" t="n">
        <v>1782900</v>
      </c>
      <c r="AC262" t="n">
        <v>1782900</v>
      </c>
      <c r="AD262" t="n">
        <v>4766064</v>
      </c>
      <c r="AE262" t="n">
        <v>27.22</v>
      </c>
    </row>
    <row r="263">
      <c r="A263" t="inlineStr">
        <is>
          <t>1 - ADMINISTRACIÓN CENTRAL</t>
        </is>
      </c>
      <c r="B263" t="inlineStr">
        <is>
          <t>00 - SIN SECTOR</t>
        </is>
      </c>
      <c r="C263" t="inlineStr">
        <is>
          <t>00</t>
        </is>
      </c>
      <c r="D263" t="inlineStr">
        <is>
          <t>0000</t>
        </is>
      </c>
      <c r="E263" t="inlineStr">
        <is>
          <t>000000</t>
        </is>
      </c>
      <c r="F263" t="inlineStr">
        <is>
          <t>SIN PRODUCTO</t>
        </is>
      </c>
      <c r="G263" t="inlineStr">
        <is>
          <t>00</t>
        </is>
      </c>
      <c r="H263" t="inlineStr">
        <is>
          <t>00</t>
        </is>
      </c>
      <c r="I263" t="inlineStr">
        <is>
          <t>00</t>
        </is>
      </c>
      <c r="J263" t="inlineStr">
        <is>
          <t>SIN PRODUCTO DANE</t>
        </is>
      </c>
      <c r="K263" t="inlineStr">
        <is>
          <t>00</t>
        </is>
      </c>
      <c r="L263" t="inlineStr">
        <is>
          <t>SIN ATRIBUTO</t>
        </is>
      </c>
      <c r="N263" t="inlineStr">
        <is>
          <t>2.3.1.01.02.007</t>
        </is>
      </c>
      <c r="O263" t="inlineStr">
        <is>
          <t>APORTES AL SENA</t>
        </is>
      </c>
      <c r="P263" t="inlineStr">
        <is>
          <t>00</t>
        </is>
      </c>
      <c r="Q263" t="inlineStr">
        <is>
          <t>RECURSOS</t>
        </is>
      </c>
      <c r="R263" t="n">
        <v>2442145</v>
      </c>
      <c r="S263" t="n">
        <v>1396876</v>
      </c>
      <c r="T263" t="n">
        <v>1396876</v>
      </c>
      <c r="U263" t="n">
        <v>0</v>
      </c>
      <c r="V263" t="n">
        <v>0</v>
      </c>
      <c r="W263" t="n">
        <v>0</v>
      </c>
      <c r="X263" t="n">
        <v>0</v>
      </c>
      <c r="Y263" t="n">
        <v>2442145</v>
      </c>
      <c r="Z263" t="n">
        <v>779600</v>
      </c>
      <c r="AA263" t="n">
        <v>779600</v>
      </c>
      <c r="AB263" t="n">
        <v>779600</v>
      </c>
      <c r="AC263" t="n">
        <v>779600</v>
      </c>
      <c r="AD263" t="n">
        <v>1662545</v>
      </c>
      <c r="AE263" t="n">
        <v>31.92</v>
      </c>
    </row>
    <row r="264">
      <c r="A264" t="inlineStr">
        <is>
          <t>1 - ADMINISTRACIÓN CENTRAL</t>
        </is>
      </c>
      <c r="B264" t="inlineStr">
        <is>
          <t>12 - JUSTICIA Y DEL DERECHO</t>
        </is>
      </c>
      <c r="C264" t="inlineStr">
        <is>
          <t>0800</t>
        </is>
      </c>
      <c r="D264" t="inlineStr">
        <is>
          <t>1202</t>
        </is>
      </c>
      <c r="E264" t="inlineStr">
        <is>
          <t>1202002</t>
        </is>
      </c>
      <c r="F264" t="inlineStr">
        <is>
          <t>SERVICIO DE JUSTICIA A LOS CIUDADANOS</t>
        </is>
      </c>
      <c r="G264" t="inlineStr">
        <is>
          <t>2024546600041</t>
        </is>
      </c>
      <c r="H264" t="inlineStr">
        <is>
          <t>APOYO PARA LA PROMOCIÓN DEL ACCESO A LA JUSTICIA PDM UNIDOS SOMOS MÁS EN EL MUNICIPIO DE   SALAZAR</t>
        </is>
      </c>
      <c r="I264" t="inlineStr">
        <is>
          <t>00</t>
        </is>
      </c>
      <c r="J264" t="inlineStr">
        <is>
          <t>SIN PRODUCTO DANE</t>
        </is>
      </c>
      <c r="K264" t="inlineStr">
        <is>
          <t>00</t>
        </is>
      </c>
      <c r="L264" t="inlineStr">
        <is>
          <t>SIN ATRIBUTO</t>
        </is>
      </c>
      <c r="N264" t="inlineStr">
        <is>
          <t>2.3.1.01.02.007.12.01</t>
        </is>
      </c>
      <c r="O264" t="inlineStr">
        <is>
          <t>Aportes al sena - CORREGIDOR</t>
        </is>
      </c>
      <c r="P264" t="inlineStr">
        <is>
          <t>360</t>
        </is>
      </c>
      <c r="Q264" t="inlineStr">
        <is>
          <t>SGP PROPOSITO GENERAL 42 POR CIENTO RECURSOS LIBRE DESTINACION SGP PROPOSITO GENERAL MPIOS DE CATEGORIA 4 5 Y 6 SGP ONCE</t>
        </is>
      </c>
      <c r="R264" t="n">
        <v>337829</v>
      </c>
      <c r="S264" t="n">
        <v>0</v>
      </c>
      <c r="T264" t="n">
        <v>305529</v>
      </c>
      <c r="U264" t="n">
        <v>0</v>
      </c>
      <c r="V264" t="n">
        <v>0</v>
      </c>
      <c r="W264" t="n">
        <v>0</v>
      </c>
      <c r="X264" t="n">
        <v>0</v>
      </c>
      <c r="Y264" t="n">
        <v>32300</v>
      </c>
      <c r="Z264" t="n">
        <v>32300</v>
      </c>
      <c r="AA264" t="n">
        <v>32300</v>
      </c>
      <c r="AB264" t="n">
        <v>32300</v>
      </c>
      <c r="AC264" t="n">
        <v>32300</v>
      </c>
      <c r="AD264" t="n">
        <v>0</v>
      </c>
      <c r="AE264" t="n">
        <v>100</v>
      </c>
    </row>
    <row r="265">
      <c r="A265" t="inlineStr">
        <is>
          <t>1 - ADMINISTRACIÓN CENTRAL</t>
        </is>
      </c>
      <c r="B265" t="inlineStr">
        <is>
          <t>12 - JUSTICIA Y DEL DERECHO</t>
        </is>
      </c>
      <c r="C265" t="inlineStr">
        <is>
          <t>0800</t>
        </is>
      </c>
      <c r="D265" t="inlineStr">
        <is>
          <t>1202</t>
        </is>
      </c>
      <c r="E265" t="inlineStr">
        <is>
          <t>1202002</t>
        </is>
      </c>
      <c r="F265" t="inlineStr">
        <is>
          <t>SERVICIO DE JUSTICIA A LOS CIUDADANOS</t>
        </is>
      </c>
      <c r="G265" t="inlineStr">
        <is>
          <t>2024546600041</t>
        </is>
      </c>
      <c r="H265" t="inlineStr">
        <is>
          <t>APOYO PARA LA PROMOCIÓN DEL ACCESO A LA JUSTICIA PDM UNIDOS SOMOS MÁS EN EL MUNICIPIO DE   SALAZAR</t>
        </is>
      </c>
      <c r="I265" t="inlineStr">
        <is>
          <t>00</t>
        </is>
      </c>
      <c r="J265" t="inlineStr">
        <is>
          <t>SIN PRODUCTO DANE</t>
        </is>
      </c>
      <c r="K265" t="inlineStr">
        <is>
          <t>00</t>
        </is>
      </c>
      <c r="L265" t="inlineStr">
        <is>
          <t>SIN ATRIBUTO</t>
        </is>
      </c>
      <c r="N265" t="inlineStr">
        <is>
          <t>2.3.1.01.02.007.12.02</t>
        </is>
      </c>
      <c r="O265" t="inlineStr">
        <is>
          <t>Aportes al sena - CORREGIDOR</t>
        </is>
      </c>
      <c r="P265" t="inlineStr">
        <is>
          <t>410</t>
        </is>
      </c>
      <c r="Q265" t="inlineStr">
        <is>
          <t>SGP PROPOSITO GENERAL FORZOSA INVERSION LIBRE INVERSIÓN SALDOS NO EJECUTADOS NI INCORPORADOS VIGENCIAS ANTERIORES Y REIN</t>
        </is>
      </c>
      <c r="R265" t="n">
        <v>0</v>
      </c>
      <c r="S265" t="n">
        <v>305529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305529</v>
      </c>
      <c r="Z265" t="n">
        <v>102200</v>
      </c>
      <c r="AA265" t="n">
        <v>102200</v>
      </c>
      <c r="AB265" t="n">
        <v>102200</v>
      </c>
      <c r="AC265" t="n">
        <v>102200</v>
      </c>
      <c r="AD265" t="n">
        <v>203329</v>
      </c>
      <c r="AE265" t="n">
        <v>33.45</v>
      </c>
    </row>
    <row r="266">
      <c r="A266" t="inlineStr">
        <is>
          <t>1 - ADMINISTRACIÓN CENTRAL</t>
        </is>
      </c>
      <c r="B266" t="inlineStr">
        <is>
          <t>17 - AGRICULTURA Y DESARROLLO RURAL</t>
        </is>
      </c>
      <c r="C266" t="inlineStr">
        <is>
          <t>1100</t>
        </is>
      </c>
      <c r="D266" t="inlineStr">
        <is>
          <t>1702</t>
        </is>
      </c>
      <c r="E266" t="inlineStr">
        <is>
          <t>1702010</t>
        </is>
      </c>
      <c r="F266" t="inlineStr">
        <is>
          <t>SERVICIO DE ASISTENCIA TÉCNICA AGROPECUARIA DIRIGIDA A PEQUEÑOS PRODUCTORES</t>
        </is>
      </c>
      <c r="G266" t="inlineStr">
        <is>
          <t>2024546600043</t>
        </is>
      </c>
      <c r="H266" t="inlineStr">
        <is>
          <t>APOYO PARA LA INCLUSIÓN PRODUCTIVA DE PEQUEÑOS PRODUCTORES RURALES PDM UNIDOS SOMOS MÁS EN EL MUNICIPIO DE  SALAZAR</t>
        </is>
      </c>
      <c r="I266" t="inlineStr">
        <is>
          <t>00</t>
        </is>
      </c>
      <c r="J266" t="inlineStr">
        <is>
          <t>SIN PRODUCTO DANE</t>
        </is>
      </c>
      <c r="K266" t="inlineStr">
        <is>
          <t>00</t>
        </is>
      </c>
      <c r="L266" t="inlineStr">
        <is>
          <t>SIN ATRIBUTO</t>
        </is>
      </c>
      <c r="N266" t="inlineStr">
        <is>
          <t>2.3.1.01.02.007.17.01</t>
        </is>
      </c>
      <c r="O266" t="inlineStr">
        <is>
          <t>Aportes al sena - UMATA</t>
        </is>
      </c>
      <c r="P266" t="inlineStr">
        <is>
          <t>420</t>
        </is>
      </c>
      <c r="Q266" t="inlineStr">
        <is>
          <t>SGP PROPOSITO GENERAL FORZOSA INVERSION LIBRE INVERSIÓN SGP ONCE DOCEAVAS VIGENCIA ACTUAL MAS ULTIMA DOCEAVA VIGENCIA AN</t>
        </is>
      </c>
      <c r="R266" t="n">
        <v>975569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975569</v>
      </c>
      <c r="Z266" t="n">
        <v>309900</v>
      </c>
      <c r="AA266" t="n">
        <v>309900</v>
      </c>
      <c r="AB266" t="n">
        <v>309900</v>
      </c>
      <c r="AC266" t="n">
        <v>309900</v>
      </c>
      <c r="AD266" t="n">
        <v>665669</v>
      </c>
      <c r="AE266" t="n">
        <v>31.77</v>
      </c>
    </row>
    <row r="267">
      <c r="A267" t="inlineStr">
        <is>
          <t>1 - ADMINISTRACIÓN CENTRAL</t>
        </is>
      </c>
      <c r="B267" t="inlineStr">
        <is>
          <t>45 - GOBIERNO TERRITORIAL</t>
        </is>
      </c>
      <c r="C267" t="inlineStr">
        <is>
          <t>1000</t>
        </is>
      </c>
      <c r="D267" t="inlineStr">
        <is>
          <t>4501</t>
        </is>
      </c>
      <c r="E267" t="inlineStr">
        <is>
          <t>4501082</t>
        </is>
      </c>
      <c r="F267" t="inlineStr">
        <is>
          <t>SERVICIO DE APOYO PARA LA ATENCIÓN ESPECIALIZADA E INTERDISCIPLINARIA EN LAS COMISARIAS DE FAMILIA</t>
        </is>
      </c>
      <c r="G267" t="inlineStr">
        <is>
          <t>2024546600072</t>
        </is>
      </c>
      <c r="H267" t="inlineStr">
        <is>
          <t>FORTALECIMIENTO DE LA CONVIVENCIA Y LA SEGURIDAD CIUDADANA PDM UNIDOS SOMOS MÁS EN EL MUNICIPIO DE  SALAZAR</t>
        </is>
      </c>
      <c r="I267" t="inlineStr">
        <is>
          <t>00</t>
        </is>
      </c>
      <c r="J267" t="inlineStr">
        <is>
          <t>SIN PRODUCTO DANE</t>
        </is>
      </c>
      <c r="K267" t="inlineStr">
        <is>
          <t>00</t>
        </is>
      </c>
      <c r="L267" t="inlineStr">
        <is>
          <t>SIN ATRIBUTO</t>
        </is>
      </c>
      <c r="N267" t="inlineStr">
        <is>
          <t>2.3.1.01.02.007.45.01</t>
        </is>
      </c>
      <c r="O267" t="inlineStr">
        <is>
          <t>Aportes al sena - COMISARIA DE FAMILIA</t>
        </is>
      </c>
      <c r="P267" t="inlineStr">
        <is>
          <t>360</t>
        </is>
      </c>
      <c r="Q267" t="inlineStr">
        <is>
          <t>SGP PROPOSITO GENERAL 42 POR CIENTO RECURSOS LIBRE DESTINACION SGP PROPOSITO GENERAL MPIOS DE CATEGORIA 4 5 Y 6 SGP ONCE</t>
        </is>
      </c>
      <c r="R267" t="n">
        <v>1128747</v>
      </c>
      <c r="S267" t="n">
        <v>0</v>
      </c>
      <c r="T267" t="n">
        <v>1091347</v>
      </c>
      <c r="U267" t="n">
        <v>0</v>
      </c>
      <c r="V267" t="n">
        <v>0</v>
      </c>
      <c r="W267" t="n">
        <v>0</v>
      </c>
      <c r="X267" t="n">
        <v>0</v>
      </c>
      <c r="Y267" t="n">
        <v>37400</v>
      </c>
      <c r="Z267" t="n">
        <v>37400</v>
      </c>
      <c r="AA267" t="n">
        <v>37400</v>
      </c>
      <c r="AB267" t="n">
        <v>37400</v>
      </c>
      <c r="AC267" t="n">
        <v>37400</v>
      </c>
      <c r="AD267" t="n">
        <v>0</v>
      </c>
      <c r="AE267" t="n">
        <v>100</v>
      </c>
    </row>
    <row r="268">
      <c r="A268" t="inlineStr">
        <is>
          <t>1 - ADMINISTRACIÓN CENTRAL</t>
        </is>
      </c>
      <c r="B268" t="inlineStr">
        <is>
          <t>45 - GOBIERNO TERRITORIAL</t>
        </is>
      </c>
      <c r="C268" t="inlineStr">
        <is>
          <t>1000</t>
        </is>
      </c>
      <c r="D268" t="inlineStr">
        <is>
          <t>4501</t>
        </is>
      </c>
      <c r="E268" t="inlineStr">
        <is>
          <t>4501082</t>
        </is>
      </c>
      <c r="F268" t="inlineStr">
        <is>
          <t>SERVICIO DE APOYO PARA LA ATENCIÓN ESPECIALIZADA E INTERDISCIPLINARIA EN LAS COMISARIAS DE FAMILIA</t>
        </is>
      </c>
      <c r="G268" t="inlineStr">
        <is>
          <t>2024546600072</t>
        </is>
      </c>
      <c r="H268" t="inlineStr">
        <is>
          <t>FORTALECIMIENTO DE LA CONVIVENCIA Y LA SEGURIDAD CIUDADANA PDM UNIDOS SOMOS MÁS EN EL MUNICIPIO DE  SALAZAR</t>
        </is>
      </c>
      <c r="I268" t="inlineStr">
        <is>
          <t>00</t>
        </is>
      </c>
      <c r="J268" t="inlineStr">
        <is>
          <t>SIN PRODUCTO DANE</t>
        </is>
      </c>
      <c r="K268" t="inlineStr">
        <is>
          <t>00</t>
        </is>
      </c>
      <c r="L268" t="inlineStr">
        <is>
          <t>SIN ATRIBUTO</t>
        </is>
      </c>
      <c r="N268" t="inlineStr">
        <is>
          <t>2.3.1.01.02.007.45.02</t>
        </is>
      </c>
      <c r="O268" t="inlineStr">
        <is>
          <t>Aportes al sena - COMISARIA DE FAMILIA</t>
        </is>
      </c>
      <c r="P268" t="inlineStr">
        <is>
          <t>153.1</t>
        </is>
      </c>
      <c r="Q268" t="inlineStr">
        <is>
          <t>RB ESTAMPILLA PARA LA JUSTICIA FAMILIAR</t>
        </is>
      </c>
      <c r="R268" t="n">
        <v>0</v>
      </c>
      <c r="S268" t="n">
        <v>1091347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1091347</v>
      </c>
      <c r="Z268" t="n">
        <v>297800</v>
      </c>
      <c r="AA268" t="n">
        <v>297800</v>
      </c>
      <c r="AB268" t="n">
        <v>297800</v>
      </c>
      <c r="AC268" t="n">
        <v>297800</v>
      </c>
      <c r="AD268" t="n">
        <v>793547</v>
      </c>
      <c r="AE268" t="n">
        <v>27.29</v>
      </c>
    </row>
    <row r="269">
      <c r="A269" t="inlineStr">
        <is>
          <t>1 - ADMINISTRACIÓN CENTRAL</t>
        </is>
      </c>
      <c r="B269" t="inlineStr">
        <is>
          <t>00 - SIN SECTOR</t>
        </is>
      </c>
      <c r="C269" t="inlineStr">
        <is>
          <t>00</t>
        </is>
      </c>
      <c r="D269" t="inlineStr">
        <is>
          <t>0000</t>
        </is>
      </c>
      <c r="E269" t="inlineStr">
        <is>
          <t>000000</t>
        </is>
      </c>
      <c r="F269" t="inlineStr">
        <is>
          <t>SIN PRODUCTO</t>
        </is>
      </c>
      <c r="G269" t="inlineStr">
        <is>
          <t>00</t>
        </is>
      </c>
      <c r="H269" t="inlineStr">
        <is>
          <t>00</t>
        </is>
      </c>
      <c r="I269" t="inlineStr">
        <is>
          <t>00</t>
        </is>
      </c>
      <c r="J269" t="inlineStr">
        <is>
          <t>SIN PRODUCTO DANE</t>
        </is>
      </c>
      <c r="K269" t="inlineStr">
        <is>
          <t>00</t>
        </is>
      </c>
      <c r="L269" t="inlineStr">
        <is>
          <t>SIN ATRIBUTO</t>
        </is>
      </c>
      <c r="N269" t="inlineStr">
        <is>
          <t>2.3.1.01.02.008</t>
        </is>
      </c>
      <c r="O269" t="inlineStr">
        <is>
          <t>APORTES A LA ESAP</t>
        </is>
      </c>
      <c r="P269" t="inlineStr">
        <is>
          <t>00</t>
        </is>
      </c>
      <c r="Q269" t="inlineStr">
        <is>
          <t>RECURSOS</t>
        </is>
      </c>
      <c r="R269" t="n">
        <v>2442145</v>
      </c>
      <c r="S269" t="n">
        <v>1396876</v>
      </c>
      <c r="T269" t="n">
        <v>1396876</v>
      </c>
      <c r="U269" t="n">
        <v>0</v>
      </c>
      <c r="V269" t="n">
        <v>0</v>
      </c>
      <c r="W269" t="n">
        <v>0</v>
      </c>
      <c r="X269" t="n">
        <v>0</v>
      </c>
      <c r="Y269" t="n">
        <v>2442145</v>
      </c>
      <c r="Z269" t="n">
        <v>779600</v>
      </c>
      <c r="AA269" t="n">
        <v>779600</v>
      </c>
      <c r="AB269" t="n">
        <v>779600</v>
      </c>
      <c r="AC269" t="n">
        <v>779600</v>
      </c>
      <c r="AD269" t="n">
        <v>1662545</v>
      </c>
      <c r="AE269" t="n">
        <v>31.92</v>
      </c>
    </row>
    <row r="270">
      <c r="A270" t="inlineStr">
        <is>
          <t>1 - ADMINISTRACIÓN CENTRAL</t>
        </is>
      </c>
      <c r="B270" t="inlineStr">
        <is>
          <t>12 - JUSTICIA Y DEL DERECHO</t>
        </is>
      </c>
      <c r="C270" t="inlineStr">
        <is>
          <t>0800</t>
        </is>
      </c>
      <c r="D270" t="inlineStr">
        <is>
          <t>1202</t>
        </is>
      </c>
      <c r="E270" t="inlineStr">
        <is>
          <t>1202002</t>
        </is>
      </c>
      <c r="F270" t="inlineStr">
        <is>
          <t>SERVICIO DE JUSTICIA A LOS CIUDADANOS</t>
        </is>
      </c>
      <c r="G270" t="inlineStr">
        <is>
          <t>2024546600041</t>
        </is>
      </c>
      <c r="H270" t="inlineStr">
        <is>
          <t>APOYO PARA LA PROMOCIÓN DEL ACCESO A LA JUSTICIA PDM UNIDOS SOMOS MÁS EN EL MUNICIPIO DE   SALAZAR</t>
        </is>
      </c>
      <c r="I270" t="inlineStr">
        <is>
          <t>00</t>
        </is>
      </c>
      <c r="J270" t="inlineStr">
        <is>
          <t>SIN PRODUCTO DANE</t>
        </is>
      </c>
      <c r="K270" t="inlineStr">
        <is>
          <t>00</t>
        </is>
      </c>
      <c r="L270" t="inlineStr">
        <is>
          <t>SIN ATRIBUTO</t>
        </is>
      </c>
      <c r="N270" t="inlineStr">
        <is>
          <t>2.3.1.01.02.008.12.01</t>
        </is>
      </c>
      <c r="O270" t="inlineStr">
        <is>
          <t>Aportes a la esap - CORREGIDOR</t>
        </is>
      </c>
      <c r="P270" t="inlineStr">
        <is>
          <t>360</t>
        </is>
      </c>
      <c r="Q270" t="inlineStr">
        <is>
          <t>SGP PROPOSITO GENERAL 42 POR CIENTO RECURSOS LIBRE DESTINACION SGP PROPOSITO GENERAL MPIOS DE CATEGORIA 4 5 Y 6 SGP ONCE</t>
        </is>
      </c>
      <c r="R270" t="n">
        <v>337829</v>
      </c>
      <c r="S270" t="n">
        <v>0</v>
      </c>
      <c r="T270" t="n">
        <v>305529</v>
      </c>
      <c r="U270" t="n">
        <v>0</v>
      </c>
      <c r="V270" t="n">
        <v>0</v>
      </c>
      <c r="W270" t="n">
        <v>0</v>
      </c>
      <c r="X270" t="n">
        <v>0</v>
      </c>
      <c r="Y270" t="n">
        <v>32300</v>
      </c>
      <c r="Z270" t="n">
        <v>32300</v>
      </c>
      <c r="AA270" t="n">
        <v>32300</v>
      </c>
      <c r="AB270" t="n">
        <v>32300</v>
      </c>
      <c r="AC270" t="n">
        <v>32300</v>
      </c>
      <c r="AD270" t="n">
        <v>0</v>
      </c>
      <c r="AE270" t="n">
        <v>100</v>
      </c>
    </row>
    <row r="271">
      <c r="A271" t="inlineStr">
        <is>
          <t>1 - ADMINISTRACIÓN CENTRAL</t>
        </is>
      </c>
      <c r="B271" t="inlineStr">
        <is>
          <t>12 - JUSTICIA Y DEL DERECHO</t>
        </is>
      </c>
      <c r="C271" t="inlineStr">
        <is>
          <t>0800</t>
        </is>
      </c>
      <c r="D271" t="inlineStr">
        <is>
          <t>1202</t>
        </is>
      </c>
      <c r="E271" t="inlineStr">
        <is>
          <t>1202002</t>
        </is>
      </c>
      <c r="F271" t="inlineStr">
        <is>
          <t>SERVICIO DE JUSTICIA A LOS CIUDADANOS</t>
        </is>
      </c>
      <c r="G271" t="inlineStr">
        <is>
          <t>2024546600041</t>
        </is>
      </c>
      <c r="H271" t="inlineStr">
        <is>
          <t>APOYO PARA LA PROMOCIÓN DEL ACCESO A LA JUSTICIA PDM UNIDOS SOMOS MÁS EN EL MUNICIPIO DE   SALAZAR</t>
        </is>
      </c>
      <c r="I271" t="inlineStr">
        <is>
          <t>00</t>
        </is>
      </c>
      <c r="J271" t="inlineStr">
        <is>
          <t>SIN PRODUCTO DANE</t>
        </is>
      </c>
      <c r="K271" t="inlineStr">
        <is>
          <t>00</t>
        </is>
      </c>
      <c r="L271" t="inlineStr">
        <is>
          <t>SIN ATRIBUTO</t>
        </is>
      </c>
      <c r="N271" t="inlineStr">
        <is>
          <t>2.3.1.01.02.008.12.02</t>
        </is>
      </c>
      <c r="O271" t="inlineStr">
        <is>
          <t>Aportes a la esap - CORREGIDOR</t>
        </is>
      </c>
      <c r="P271" t="inlineStr">
        <is>
          <t>410</t>
        </is>
      </c>
      <c r="Q271" t="inlineStr">
        <is>
          <t>SGP PROPOSITO GENERAL FORZOSA INVERSION LIBRE INVERSIÓN SALDOS NO EJECUTADOS NI INCORPORADOS VIGENCIAS ANTERIORES Y REIN</t>
        </is>
      </c>
      <c r="R271" t="n">
        <v>0</v>
      </c>
      <c r="S271" t="n">
        <v>305529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305529</v>
      </c>
      <c r="Z271" t="n">
        <v>102200</v>
      </c>
      <c r="AA271" t="n">
        <v>102200</v>
      </c>
      <c r="AB271" t="n">
        <v>102200</v>
      </c>
      <c r="AC271" t="n">
        <v>102200</v>
      </c>
      <c r="AD271" t="n">
        <v>203329</v>
      </c>
      <c r="AE271" t="n">
        <v>33.45</v>
      </c>
    </row>
    <row r="272">
      <c r="A272" t="inlineStr">
        <is>
          <t>1 - ADMINISTRACIÓN CENTRAL</t>
        </is>
      </c>
      <c r="B272" t="inlineStr">
        <is>
          <t>17 - AGRICULTURA Y DESARROLLO RURAL</t>
        </is>
      </c>
      <c r="C272" t="inlineStr">
        <is>
          <t>1100</t>
        </is>
      </c>
      <c r="D272" t="inlineStr">
        <is>
          <t>1702</t>
        </is>
      </c>
      <c r="E272" t="inlineStr">
        <is>
          <t>1702010</t>
        </is>
      </c>
      <c r="F272" t="inlineStr">
        <is>
          <t>SERVICIO DE ASISTENCIA TÉCNICA AGROPECUARIA DIRIGIDA A PEQUEÑOS PRODUCTORES</t>
        </is>
      </c>
      <c r="G272" t="inlineStr">
        <is>
          <t>2024546600043</t>
        </is>
      </c>
      <c r="H272" t="inlineStr">
        <is>
          <t>APOYO PARA LA INCLUSIÓN PRODUCTIVA DE PEQUEÑOS PRODUCTORES RURALES PDM UNIDOS SOMOS MÁS EN EL MUNICIPIO DE  SALAZAR</t>
        </is>
      </c>
      <c r="I272" t="inlineStr">
        <is>
          <t>00</t>
        </is>
      </c>
      <c r="J272" t="inlineStr">
        <is>
          <t>SIN PRODUCTO DANE</t>
        </is>
      </c>
      <c r="K272" t="inlineStr">
        <is>
          <t>00</t>
        </is>
      </c>
      <c r="L272" t="inlineStr">
        <is>
          <t>SIN ATRIBUTO</t>
        </is>
      </c>
      <c r="N272" t="inlineStr">
        <is>
          <t>2.3.1.01.02.008.17.01</t>
        </is>
      </c>
      <c r="O272" t="inlineStr">
        <is>
          <t>Aportes a la esap - UMATA</t>
        </is>
      </c>
      <c r="P272" t="inlineStr">
        <is>
          <t>420</t>
        </is>
      </c>
      <c r="Q272" t="inlineStr">
        <is>
          <t>SGP PROPOSITO GENERAL FORZOSA INVERSION LIBRE INVERSIÓN SGP ONCE DOCEAVAS VIGENCIA ACTUAL MAS ULTIMA DOCEAVA VIGENCIA AN</t>
        </is>
      </c>
      <c r="R272" t="n">
        <v>975569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975569</v>
      </c>
      <c r="Z272" t="n">
        <v>309900</v>
      </c>
      <c r="AA272" t="n">
        <v>309900</v>
      </c>
      <c r="AB272" t="n">
        <v>309900</v>
      </c>
      <c r="AC272" t="n">
        <v>309900</v>
      </c>
      <c r="AD272" t="n">
        <v>665669</v>
      </c>
      <c r="AE272" t="n">
        <v>31.77</v>
      </c>
    </row>
    <row r="273">
      <c r="A273" t="inlineStr">
        <is>
          <t>1 - ADMINISTRACIÓN CENTRAL</t>
        </is>
      </c>
      <c r="B273" t="inlineStr">
        <is>
          <t>45 - GOBIERNO TERRITORIAL</t>
        </is>
      </c>
      <c r="C273" t="inlineStr">
        <is>
          <t>1000</t>
        </is>
      </c>
      <c r="D273" t="inlineStr">
        <is>
          <t>4501</t>
        </is>
      </c>
      <c r="E273" t="inlineStr">
        <is>
          <t>4501082</t>
        </is>
      </c>
      <c r="F273" t="inlineStr">
        <is>
          <t>SERVICIO DE APOYO PARA LA ATENCIÓN ESPECIALIZADA E INTERDISCIPLINARIA EN LAS COMISARIAS DE FAMILIA</t>
        </is>
      </c>
      <c r="G273" t="inlineStr">
        <is>
          <t>2024546600072</t>
        </is>
      </c>
      <c r="H273" t="inlineStr">
        <is>
          <t>FORTALECIMIENTO DE LA CONVIVENCIA Y LA SEGURIDAD CIUDADANA PDM UNIDOS SOMOS MÁS EN EL MUNICIPIO DE  SALAZAR</t>
        </is>
      </c>
      <c r="I273" t="inlineStr">
        <is>
          <t>00</t>
        </is>
      </c>
      <c r="J273" t="inlineStr">
        <is>
          <t>SIN PRODUCTO DANE</t>
        </is>
      </c>
      <c r="K273" t="inlineStr">
        <is>
          <t>00</t>
        </is>
      </c>
      <c r="L273" t="inlineStr">
        <is>
          <t>SIN ATRIBUTO</t>
        </is>
      </c>
      <c r="N273" t="inlineStr">
        <is>
          <t>2.3.1.01.02.008.45.01</t>
        </is>
      </c>
      <c r="O273" t="inlineStr">
        <is>
          <t>Aportes a la esap - COMISARIA DE FAMILIA</t>
        </is>
      </c>
      <c r="P273" t="inlineStr">
        <is>
          <t>360</t>
        </is>
      </c>
      <c r="Q273" t="inlineStr">
        <is>
          <t>SGP PROPOSITO GENERAL 42 POR CIENTO RECURSOS LIBRE DESTINACION SGP PROPOSITO GENERAL MPIOS DE CATEGORIA 4 5 Y 6 SGP ONCE</t>
        </is>
      </c>
      <c r="R273" t="n">
        <v>1128747</v>
      </c>
      <c r="S273" t="n">
        <v>0</v>
      </c>
      <c r="T273" t="n">
        <v>1091347</v>
      </c>
      <c r="U273" t="n">
        <v>0</v>
      </c>
      <c r="V273" t="n">
        <v>0</v>
      </c>
      <c r="W273" t="n">
        <v>0</v>
      </c>
      <c r="X273" t="n">
        <v>0</v>
      </c>
      <c r="Y273" t="n">
        <v>37400</v>
      </c>
      <c r="Z273" t="n">
        <v>37400</v>
      </c>
      <c r="AA273" t="n">
        <v>37400</v>
      </c>
      <c r="AB273" t="n">
        <v>37400</v>
      </c>
      <c r="AC273" t="n">
        <v>37400</v>
      </c>
      <c r="AD273" t="n">
        <v>0</v>
      </c>
      <c r="AE273" t="n">
        <v>100</v>
      </c>
    </row>
    <row r="274">
      <c r="A274" t="inlineStr">
        <is>
          <t>1 - ADMINISTRACIÓN CENTRAL</t>
        </is>
      </c>
      <c r="B274" t="inlineStr">
        <is>
          <t>45 - GOBIERNO TERRITORIAL</t>
        </is>
      </c>
      <c r="C274" t="inlineStr">
        <is>
          <t>1000</t>
        </is>
      </c>
      <c r="D274" t="inlineStr">
        <is>
          <t>4501</t>
        </is>
      </c>
      <c r="E274" t="inlineStr">
        <is>
          <t>4501082</t>
        </is>
      </c>
      <c r="F274" t="inlineStr">
        <is>
          <t>SERVICIO DE APOYO PARA LA ATENCIÓN ESPECIALIZADA E INTERDISCIPLINARIA EN LAS COMISARIAS DE FAMILIA</t>
        </is>
      </c>
      <c r="G274" t="inlineStr">
        <is>
          <t>2024546600072</t>
        </is>
      </c>
      <c r="H274" t="inlineStr">
        <is>
          <t>FORTALECIMIENTO DE LA CONVIVENCIA Y LA SEGURIDAD CIUDADANA PDM UNIDOS SOMOS MÁS EN EL MUNICIPIO DE  SALAZAR</t>
        </is>
      </c>
      <c r="I274" t="inlineStr">
        <is>
          <t>00</t>
        </is>
      </c>
      <c r="J274" t="inlineStr">
        <is>
          <t>SIN PRODUCTO DANE</t>
        </is>
      </c>
      <c r="K274" t="inlineStr">
        <is>
          <t>00</t>
        </is>
      </c>
      <c r="L274" t="inlineStr">
        <is>
          <t>SIN ATRIBUTO</t>
        </is>
      </c>
      <c r="N274" t="inlineStr">
        <is>
          <t>2.3.1.01.02.008.45.02</t>
        </is>
      </c>
      <c r="O274" t="inlineStr">
        <is>
          <t>Aportes a la esap - COMISARIA DE FAMILIA</t>
        </is>
      </c>
      <c r="P274" t="inlineStr">
        <is>
          <t>153.1</t>
        </is>
      </c>
      <c r="Q274" t="inlineStr">
        <is>
          <t>RB ESTAMPILLA PARA LA JUSTICIA FAMILIAR</t>
        </is>
      </c>
      <c r="R274" t="n">
        <v>0</v>
      </c>
      <c r="S274" t="n">
        <v>1091347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1091347</v>
      </c>
      <c r="Z274" t="n">
        <v>297800</v>
      </c>
      <c r="AA274" t="n">
        <v>297800</v>
      </c>
      <c r="AB274" t="n">
        <v>297800</v>
      </c>
      <c r="AC274" t="n">
        <v>297800</v>
      </c>
      <c r="AD274" t="n">
        <v>793547</v>
      </c>
      <c r="AE274" t="n">
        <v>27.29</v>
      </c>
    </row>
    <row r="275">
      <c r="A275" t="inlineStr">
        <is>
          <t>1 - ADMINISTRACIÓN CENTRAL</t>
        </is>
      </c>
      <c r="B275" t="inlineStr">
        <is>
          <t>00 - SIN SECTOR</t>
        </is>
      </c>
      <c r="C275" t="inlineStr">
        <is>
          <t>00</t>
        </is>
      </c>
      <c r="D275" t="inlineStr">
        <is>
          <t>0000</t>
        </is>
      </c>
      <c r="E275" t="inlineStr">
        <is>
          <t>000000</t>
        </is>
      </c>
      <c r="F275" t="inlineStr">
        <is>
          <t>SIN PRODUCTO</t>
        </is>
      </c>
      <c r="G275" t="inlineStr">
        <is>
          <t>00</t>
        </is>
      </c>
      <c r="H275" t="inlineStr">
        <is>
          <t>00</t>
        </is>
      </c>
      <c r="I275" t="inlineStr">
        <is>
          <t>00</t>
        </is>
      </c>
      <c r="J275" t="inlineStr">
        <is>
          <t>SIN PRODUCTO DANE</t>
        </is>
      </c>
      <c r="K275" t="inlineStr">
        <is>
          <t>00</t>
        </is>
      </c>
      <c r="L275" t="inlineStr">
        <is>
          <t>SIN ATRIBUTO</t>
        </is>
      </c>
      <c r="N275" t="inlineStr">
        <is>
          <t>2.3.1.01.02.009</t>
        </is>
      </c>
      <c r="O275" t="inlineStr">
        <is>
          <t>APORTES A ESCUELAS INDUSTRIALES E INSTITUTOS TECNICOS</t>
        </is>
      </c>
      <c r="P275" t="inlineStr">
        <is>
          <t>00</t>
        </is>
      </c>
      <c r="Q275" t="inlineStr">
        <is>
          <t>RECURSOS</t>
        </is>
      </c>
      <c r="R275" t="n">
        <v>4884280</v>
      </c>
      <c r="S275" t="n">
        <v>2794046</v>
      </c>
      <c r="T275" t="n">
        <v>2794046</v>
      </c>
      <c r="U275" t="n">
        <v>0</v>
      </c>
      <c r="V275" t="n">
        <v>0</v>
      </c>
      <c r="W275" t="n">
        <v>0</v>
      </c>
      <c r="X275" t="n">
        <v>0</v>
      </c>
      <c r="Y275" t="n">
        <v>4884280</v>
      </c>
      <c r="Z275" t="n">
        <v>1556000</v>
      </c>
      <c r="AA275" t="n">
        <v>1556000</v>
      </c>
      <c r="AB275" t="n">
        <v>1556000</v>
      </c>
      <c r="AC275" t="n">
        <v>1556000</v>
      </c>
      <c r="AD275" t="n">
        <v>3328280</v>
      </c>
      <c r="AE275" t="n">
        <v>31.86</v>
      </c>
    </row>
    <row r="276">
      <c r="A276" t="inlineStr">
        <is>
          <t>1 - ADMINISTRACIÓN CENTRAL</t>
        </is>
      </c>
      <c r="B276" t="inlineStr">
        <is>
          <t>12 - JUSTICIA Y DEL DERECHO</t>
        </is>
      </c>
      <c r="C276" t="inlineStr">
        <is>
          <t>0800</t>
        </is>
      </c>
      <c r="D276" t="inlineStr">
        <is>
          <t>1202</t>
        </is>
      </c>
      <c r="E276" t="inlineStr">
        <is>
          <t>1202002</t>
        </is>
      </c>
      <c r="F276" t="inlineStr">
        <is>
          <t>SERVICIO DE JUSTICIA A LOS CIUDADANOS</t>
        </is>
      </c>
      <c r="G276" t="inlineStr">
        <is>
          <t>2024546600041</t>
        </is>
      </c>
      <c r="H276" t="inlineStr">
        <is>
          <t>APOYO PARA LA PROMOCIÓN DEL ACCESO A LA JUSTICIA PDM UNIDOS SOMOS MÁS EN EL MUNICIPIO DE   SALAZAR</t>
        </is>
      </c>
      <c r="I276" t="inlineStr">
        <is>
          <t>00</t>
        </is>
      </c>
      <c r="J276" t="inlineStr">
        <is>
          <t>SIN PRODUCTO DANE</t>
        </is>
      </c>
      <c r="K276" t="inlineStr">
        <is>
          <t>00</t>
        </is>
      </c>
      <c r="L276" t="inlineStr">
        <is>
          <t>SIN ATRIBUTO</t>
        </is>
      </c>
      <c r="N276" t="inlineStr">
        <is>
          <t>2.3.1.01.02.009.12.01</t>
        </is>
      </c>
      <c r="O276" t="inlineStr">
        <is>
          <t>Aportes a escuelas industriales e institutos tecnicos - CORREGIDOR</t>
        </is>
      </c>
      <c r="P276" t="inlineStr">
        <is>
          <t>360</t>
        </is>
      </c>
      <c r="Q276" t="inlineStr">
        <is>
          <t>SGP PROPOSITO GENERAL 42 POR CIENTO RECURSOS LIBRE DESTINACION SGP PROPOSITO GENERAL MPIOS DE CATEGORIA 4 5 Y 6 SGP ONCE</t>
        </is>
      </c>
      <c r="R276" t="n">
        <v>675656</v>
      </c>
      <c r="S276" t="n">
        <v>0</v>
      </c>
      <c r="T276" t="n">
        <v>611156</v>
      </c>
      <c r="U276" t="n">
        <v>0</v>
      </c>
      <c r="V276" t="n">
        <v>0</v>
      </c>
      <c r="W276" t="n">
        <v>0</v>
      </c>
      <c r="X276" t="n">
        <v>0</v>
      </c>
      <c r="Y276" t="n">
        <v>64500</v>
      </c>
      <c r="Z276" t="n">
        <v>64500</v>
      </c>
      <c r="AA276" t="n">
        <v>64500</v>
      </c>
      <c r="AB276" t="n">
        <v>64500</v>
      </c>
      <c r="AC276" t="n">
        <v>64500</v>
      </c>
      <c r="AD276" t="n">
        <v>0</v>
      </c>
      <c r="AE276" t="n">
        <v>100</v>
      </c>
    </row>
    <row r="277">
      <c r="A277" t="inlineStr">
        <is>
          <t>1 - ADMINISTRACIÓN CENTRAL</t>
        </is>
      </c>
      <c r="B277" t="inlineStr">
        <is>
          <t>12 - JUSTICIA Y DEL DERECHO</t>
        </is>
      </c>
      <c r="C277" t="inlineStr">
        <is>
          <t>0800</t>
        </is>
      </c>
      <c r="D277" t="inlineStr">
        <is>
          <t>1202</t>
        </is>
      </c>
      <c r="E277" t="inlineStr">
        <is>
          <t>1202002</t>
        </is>
      </c>
      <c r="F277" t="inlineStr">
        <is>
          <t>SERVICIO DE JUSTICIA A LOS CIUDADANOS</t>
        </is>
      </c>
      <c r="G277" t="inlineStr">
        <is>
          <t>2024546600041</t>
        </is>
      </c>
      <c r="H277" t="inlineStr">
        <is>
          <t>APOYO PARA LA PROMOCIÓN DEL ACCESO A LA JUSTICIA PDM UNIDOS SOMOS MÁS EN EL MUNICIPIO DE   SALAZAR</t>
        </is>
      </c>
      <c r="I277" t="inlineStr">
        <is>
          <t>00</t>
        </is>
      </c>
      <c r="J277" t="inlineStr">
        <is>
          <t>SIN PRODUCTO DANE</t>
        </is>
      </c>
      <c r="K277" t="inlineStr">
        <is>
          <t>00</t>
        </is>
      </c>
      <c r="L277" t="inlineStr">
        <is>
          <t>SIN ATRIBUTO</t>
        </is>
      </c>
      <c r="N277" t="inlineStr">
        <is>
          <t>2.3.1.01.02.009.12.02</t>
        </is>
      </c>
      <c r="O277" t="inlineStr">
        <is>
          <t>Aportes a escuelas industriales e institutos tecnicos - CORREGIDOR</t>
        </is>
      </c>
      <c r="P277" t="inlineStr">
        <is>
          <t>410</t>
        </is>
      </c>
      <c r="Q277" t="inlineStr">
        <is>
          <t>SGP PROPOSITO GENERAL FORZOSA INVERSION LIBRE INVERSIÓN SALDOS NO EJECUTADOS NI INCORPORADOS VIGENCIAS ANTERIORES Y REIN</t>
        </is>
      </c>
      <c r="R277" t="n">
        <v>0</v>
      </c>
      <c r="S277" t="n">
        <v>611156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611156</v>
      </c>
      <c r="Z277" t="n">
        <v>203900</v>
      </c>
      <c r="AA277" t="n">
        <v>203900</v>
      </c>
      <c r="AB277" t="n">
        <v>203900</v>
      </c>
      <c r="AC277" t="n">
        <v>203900</v>
      </c>
      <c r="AD277" t="n">
        <v>407256</v>
      </c>
      <c r="AE277" t="n">
        <v>33.36</v>
      </c>
    </row>
    <row r="278">
      <c r="A278" t="inlineStr">
        <is>
          <t>1 - ADMINISTRACIÓN CENTRAL</t>
        </is>
      </c>
      <c r="B278" t="inlineStr">
        <is>
          <t>17 - AGRICULTURA Y DESARROLLO RURAL</t>
        </is>
      </c>
      <c r="C278" t="inlineStr">
        <is>
          <t>1100</t>
        </is>
      </c>
      <c r="D278" t="inlineStr">
        <is>
          <t>1702</t>
        </is>
      </c>
      <c r="E278" t="inlineStr">
        <is>
          <t>1702010</t>
        </is>
      </c>
      <c r="F278" t="inlineStr">
        <is>
          <t>SERVICIO DE ASISTENCIA TÉCNICA AGROPECUARIA DIRIGIDA A PEQUEÑOS PRODUCTORES</t>
        </is>
      </c>
      <c r="G278" t="inlineStr">
        <is>
          <t>2024546600043</t>
        </is>
      </c>
      <c r="H278" t="inlineStr">
        <is>
          <t>APOYO PARA LA INCLUSIÓN PRODUCTIVA DE PEQUEÑOS PRODUCTORES RURALES PDM UNIDOS SOMOS MÁS EN EL MUNICIPIO DE  SALAZAR</t>
        </is>
      </c>
      <c r="I278" t="inlineStr">
        <is>
          <t>00</t>
        </is>
      </c>
      <c r="J278" t="inlineStr">
        <is>
          <t>SIN PRODUCTO DANE</t>
        </is>
      </c>
      <c r="K278" t="inlineStr">
        <is>
          <t>00</t>
        </is>
      </c>
      <c r="L278" t="inlineStr">
        <is>
          <t>SIN ATRIBUTO</t>
        </is>
      </c>
      <c r="N278" t="inlineStr">
        <is>
          <t>2.3.1.01.02.009.17.01</t>
        </is>
      </c>
      <c r="O278" t="inlineStr">
        <is>
          <t>Aportes a escuelas industriales e institutos tecnicos - UMATA</t>
        </is>
      </c>
      <c r="P278" t="inlineStr">
        <is>
          <t>420</t>
        </is>
      </c>
      <c r="Q278" t="inlineStr">
        <is>
          <t>SGP PROPOSITO GENERAL FORZOSA INVERSION LIBRE INVERSIÓN SGP ONCE DOCEAVAS VIGENCIA ACTUAL MAS ULTIMA DOCEAVA VIGENCIA AN</t>
        </is>
      </c>
      <c r="R278" t="n">
        <v>1951134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1951134</v>
      </c>
      <c r="Z278" t="n">
        <v>618200</v>
      </c>
      <c r="AA278" t="n">
        <v>618200</v>
      </c>
      <c r="AB278" t="n">
        <v>618200</v>
      </c>
      <c r="AC278" t="n">
        <v>618200</v>
      </c>
      <c r="AD278" t="n">
        <v>1332934</v>
      </c>
      <c r="AE278" t="n">
        <v>31.68</v>
      </c>
    </row>
    <row r="279">
      <c r="A279" t="inlineStr">
        <is>
          <t>1 - ADMINISTRACIÓN CENTRAL</t>
        </is>
      </c>
      <c r="B279" t="inlineStr">
        <is>
          <t>45 - GOBIERNO TERRITORIAL</t>
        </is>
      </c>
      <c r="C279" t="inlineStr">
        <is>
          <t>1000</t>
        </is>
      </c>
      <c r="D279" t="inlineStr">
        <is>
          <t>4501</t>
        </is>
      </c>
      <c r="E279" t="inlineStr">
        <is>
          <t>4501082</t>
        </is>
      </c>
      <c r="F279" t="inlineStr">
        <is>
          <t>SERVICIO DE APOYO PARA LA ATENCIÓN ESPECIALIZADA E INTERDISCIPLINARIA EN LAS COMISARIAS DE FAMILIA</t>
        </is>
      </c>
      <c r="G279" t="inlineStr">
        <is>
          <t>2024546600072</t>
        </is>
      </c>
      <c r="H279" t="inlineStr">
        <is>
          <t>FORTALECIMIENTO DE LA CONVIVENCIA Y LA SEGURIDAD CIUDADANA PDM UNIDOS SOMOS MÁS EN EL MUNICIPIO DE  SALAZAR</t>
        </is>
      </c>
      <c r="I279" t="inlineStr">
        <is>
          <t>00</t>
        </is>
      </c>
      <c r="J279" t="inlineStr">
        <is>
          <t>SIN PRODUCTO DANE</t>
        </is>
      </c>
      <c r="K279" t="inlineStr">
        <is>
          <t>00</t>
        </is>
      </c>
      <c r="L279" t="inlineStr">
        <is>
          <t>SIN ATRIBUTO</t>
        </is>
      </c>
      <c r="N279" t="inlineStr">
        <is>
          <t>2.3.1.01.02.009.45.01</t>
        </is>
      </c>
      <c r="O279" t="inlineStr">
        <is>
          <t>Aportes a escuelas industriales e institutos tecnicos - COMISARIA DE FAMILIA</t>
        </is>
      </c>
      <c r="P279" t="inlineStr">
        <is>
          <t>360</t>
        </is>
      </c>
      <c r="Q279" t="inlineStr">
        <is>
          <t>SGP PROPOSITO GENERAL 42 POR CIENTO RECURSOS LIBRE DESTINACION SGP PROPOSITO GENERAL MPIOS DE CATEGORIA 4 5 Y 6 SGP ONCE</t>
        </is>
      </c>
      <c r="R279" t="n">
        <v>2257490</v>
      </c>
      <c r="S279" t="n">
        <v>0</v>
      </c>
      <c r="T279" t="n">
        <v>2182890</v>
      </c>
      <c r="U279" t="n">
        <v>0</v>
      </c>
      <c r="V279" t="n">
        <v>0</v>
      </c>
      <c r="W279" t="n">
        <v>0</v>
      </c>
      <c r="X279" t="n">
        <v>0</v>
      </c>
      <c r="Y279" t="n">
        <v>74600</v>
      </c>
      <c r="Z279" t="n">
        <v>74600</v>
      </c>
      <c r="AA279" t="n">
        <v>74600</v>
      </c>
      <c r="AB279" t="n">
        <v>74600</v>
      </c>
      <c r="AC279" t="n">
        <v>74600</v>
      </c>
      <c r="AD279" t="n">
        <v>0</v>
      </c>
      <c r="AE279" t="n">
        <v>100</v>
      </c>
    </row>
    <row r="280">
      <c r="A280" t="inlineStr">
        <is>
          <t>1 - ADMINISTRACIÓN CENTRAL</t>
        </is>
      </c>
      <c r="B280" t="inlineStr">
        <is>
          <t>45 - GOBIERNO TERRITORIAL</t>
        </is>
      </c>
      <c r="C280" t="inlineStr">
        <is>
          <t>1000</t>
        </is>
      </c>
      <c r="D280" t="inlineStr">
        <is>
          <t>4501</t>
        </is>
      </c>
      <c r="E280" t="inlineStr">
        <is>
          <t>4501082</t>
        </is>
      </c>
      <c r="F280" t="inlineStr">
        <is>
          <t>SERVICIO DE APOYO PARA LA ATENCIÓN ESPECIALIZADA E INTERDISCIPLINARIA EN LAS COMISARIAS DE FAMILIA</t>
        </is>
      </c>
      <c r="G280" t="inlineStr">
        <is>
          <t>2024546600072</t>
        </is>
      </c>
      <c r="H280" t="inlineStr">
        <is>
          <t>FORTALECIMIENTO DE LA CONVIVENCIA Y LA SEGURIDAD CIUDADANA PDM UNIDOS SOMOS MÁS EN EL MUNICIPIO DE  SALAZAR</t>
        </is>
      </c>
      <c r="I280" t="inlineStr">
        <is>
          <t>00</t>
        </is>
      </c>
      <c r="J280" t="inlineStr">
        <is>
          <t>SIN PRODUCTO DANE</t>
        </is>
      </c>
      <c r="K280" t="inlineStr">
        <is>
          <t>00</t>
        </is>
      </c>
      <c r="L280" t="inlineStr">
        <is>
          <t>SIN ATRIBUTO</t>
        </is>
      </c>
      <c r="N280" t="inlineStr">
        <is>
          <t>2.3.1.01.02.009.45.02</t>
        </is>
      </c>
      <c r="O280" t="inlineStr">
        <is>
          <t>Aportes a escuelas industriales e institutos tecnicos - COMISARIA DE FAMILIA</t>
        </is>
      </c>
      <c r="P280" t="inlineStr">
        <is>
          <t>153.1</t>
        </is>
      </c>
      <c r="Q280" t="inlineStr">
        <is>
          <t>RB ESTAMPILLA PARA LA JUSTICIA FAMILIAR</t>
        </is>
      </c>
      <c r="R280" t="n">
        <v>0</v>
      </c>
      <c r="S280" t="n">
        <v>2182890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2182890</v>
      </c>
      <c r="Z280" t="n">
        <v>594800</v>
      </c>
      <c r="AA280" t="n">
        <v>594800</v>
      </c>
      <c r="AB280" t="n">
        <v>594800</v>
      </c>
      <c r="AC280" t="n">
        <v>594800</v>
      </c>
      <c r="AD280" t="n">
        <v>1588090</v>
      </c>
      <c r="AE280" t="n">
        <v>27.25</v>
      </c>
    </row>
    <row r="281">
      <c r="A281" t="inlineStr">
        <is>
          <t>1 - ADMINISTRACIÓN CENTRAL</t>
        </is>
      </c>
      <c r="B281" t="inlineStr">
        <is>
          <t>00 - SIN SECTOR</t>
        </is>
      </c>
      <c r="C281" t="inlineStr">
        <is>
          <t>00</t>
        </is>
      </c>
      <c r="D281" t="inlineStr">
        <is>
          <t>0000</t>
        </is>
      </c>
      <c r="E281" t="inlineStr">
        <is>
          <t>000000</t>
        </is>
      </c>
      <c r="F281" t="inlineStr">
        <is>
          <t>SIN PRODUCTO</t>
        </is>
      </c>
      <c r="G281" t="inlineStr">
        <is>
          <t>00</t>
        </is>
      </c>
      <c r="H281" t="inlineStr">
        <is>
          <t>00</t>
        </is>
      </c>
      <c r="I281" t="inlineStr">
        <is>
          <t>00</t>
        </is>
      </c>
      <c r="J281" t="inlineStr">
        <is>
          <t>SIN PRODUCTO DANE</t>
        </is>
      </c>
      <c r="K281" t="inlineStr">
        <is>
          <t>00</t>
        </is>
      </c>
      <c r="L281" t="inlineStr">
        <is>
          <t>SIN ATRIBUTO</t>
        </is>
      </c>
      <c r="N281" t="inlineStr">
        <is>
          <t>2.3.1.01.03</t>
        </is>
      </c>
      <c r="O281" t="inlineStr">
        <is>
          <t>REMUNERACIONES NO CONSTITUTIVAS DE FACTOR SALARIAL</t>
        </is>
      </c>
      <c r="P281" t="inlineStr">
        <is>
          <t>00</t>
        </is>
      </c>
      <c r="Q281" t="inlineStr">
        <is>
          <t>RECURSOS</t>
        </is>
      </c>
      <c r="R281" t="n">
        <v>27839493</v>
      </c>
      <c r="S281" t="n">
        <v>16717413</v>
      </c>
      <c r="T281" t="n">
        <v>16717413</v>
      </c>
      <c r="U281" t="n">
        <v>0</v>
      </c>
      <c r="V281" t="n">
        <v>0</v>
      </c>
      <c r="W281" t="n">
        <v>0</v>
      </c>
      <c r="X281" t="n">
        <v>0</v>
      </c>
      <c r="Y281" t="n">
        <v>27839493</v>
      </c>
      <c r="Z281" t="n">
        <v>6776875</v>
      </c>
      <c r="AA281" t="n">
        <v>6776875</v>
      </c>
      <c r="AB281" t="n">
        <v>6776875</v>
      </c>
      <c r="AC281" t="n">
        <v>6776875</v>
      </c>
      <c r="AD281" t="n">
        <v>21062618</v>
      </c>
      <c r="AE281" t="n">
        <v>24.34</v>
      </c>
    </row>
    <row r="282">
      <c r="A282" t="inlineStr">
        <is>
          <t>1 - ADMINISTRACIÓN CENTRAL</t>
        </is>
      </c>
      <c r="B282" t="inlineStr">
        <is>
          <t>00 - SIN SECTOR</t>
        </is>
      </c>
      <c r="C282" t="inlineStr">
        <is>
          <t>00</t>
        </is>
      </c>
      <c r="D282" t="inlineStr">
        <is>
          <t>0000</t>
        </is>
      </c>
      <c r="E282" t="inlineStr">
        <is>
          <t>000000</t>
        </is>
      </c>
      <c r="F282" t="inlineStr">
        <is>
          <t>SIN PRODUCTO</t>
        </is>
      </c>
      <c r="G282" t="inlineStr">
        <is>
          <t>00</t>
        </is>
      </c>
      <c r="H282" t="inlineStr">
        <is>
          <t>00</t>
        </is>
      </c>
      <c r="I282" t="inlineStr">
        <is>
          <t>00</t>
        </is>
      </c>
      <c r="J282" t="inlineStr">
        <is>
          <t>SIN PRODUCTO DANE</t>
        </is>
      </c>
      <c r="K282" t="inlineStr">
        <is>
          <t>00</t>
        </is>
      </c>
      <c r="L282" t="inlineStr">
        <is>
          <t>SIN ATRIBUTO</t>
        </is>
      </c>
      <c r="N282" t="inlineStr">
        <is>
          <t>2.3.1.01.03.001</t>
        </is>
      </c>
      <c r="O282" t="inlineStr">
        <is>
          <t>PRESTACIONES SOCIALES</t>
        </is>
      </c>
      <c r="P282" t="inlineStr">
        <is>
          <t>00</t>
        </is>
      </c>
      <c r="Q282" t="inlineStr">
        <is>
          <t>RECURSOS</t>
        </is>
      </c>
      <c r="R282" t="n">
        <v>27839493</v>
      </c>
      <c r="S282" t="n">
        <v>16717413</v>
      </c>
      <c r="T282" t="n">
        <v>16717413</v>
      </c>
      <c r="U282" t="n">
        <v>0</v>
      </c>
      <c r="V282" t="n">
        <v>0</v>
      </c>
      <c r="W282" t="n">
        <v>0</v>
      </c>
      <c r="X282" t="n">
        <v>0</v>
      </c>
      <c r="Y282" t="n">
        <v>27839493</v>
      </c>
      <c r="Z282" t="n">
        <v>6776875</v>
      </c>
      <c r="AA282" t="n">
        <v>6776875</v>
      </c>
      <c r="AB282" t="n">
        <v>6776875</v>
      </c>
      <c r="AC282" t="n">
        <v>6776875</v>
      </c>
      <c r="AD282" t="n">
        <v>21062618</v>
      </c>
      <c r="AE282" t="n">
        <v>24.34</v>
      </c>
    </row>
    <row r="283">
      <c r="A283" t="inlineStr">
        <is>
          <t>1 - ADMINISTRACIÓN CENTRAL</t>
        </is>
      </c>
      <c r="B283" t="inlineStr">
        <is>
          <t>00 - SIN SECTOR</t>
        </is>
      </c>
      <c r="C283" t="inlineStr">
        <is>
          <t>00</t>
        </is>
      </c>
      <c r="D283" t="inlineStr">
        <is>
          <t>0000</t>
        </is>
      </c>
      <c r="E283" t="inlineStr">
        <is>
          <t>000000</t>
        </is>
      </c>
      <c r="F283" t="inlineStr">
        <is>
          <t>SIN PRODUCTO</t>
        </is>
      </c>
      <c r="G283" t="inlineStr">
        <is>
          <t>00</t>
        </is>
      </c>
      <c r="H283" t="inlineStr">
        <is>
          <t>00</t>
        </is>
      </c>
      <c r="I283" t="inlineStr">
        <is>
          <t>00</t>
        </is>
      </c>
      <c r="J283" t="inlineStr">
        <is>
          <t>SIN PRODUCTO DANE</t>
        </is>
      </c>
      <c r="K283" t="inlineStr">
        <is>
          <t>00</t>
        </is>
      </c>
      <c r="L283" t="inlineStr">
        <is>
          <t>SIN ATRIBUTO</t>
        </is>
      </c>
      <c r="N283" t="inlineStr">
        <is>
          <t>2.3.1.01.03.001.01</t>
        </is>
      </c>
      <c r="O283" t="inlineStr">
        <is>
          <t>VACACIONES</t>
        </is>
      </c>
      <c r="P283" t="inlineStr">
        <is>
          <t>00</t>
        </is>
      </c>
      <c r="Q283" t="inlineStr">
        <is>
          <t>RECURSOS</t>
        </is>
      </c>
      <c r="R283" t="n">
        <v>20936021</v>
      </c>
      <c r="S283" t="n">
        <v>12936021</v>
      </c>
      <c r="T283" t="n">
        <v>12936021</v>
      </c>
      <c r="U283" t="n">
        <v>0</v>
      </c>
      <c r="V283" t="n">
        <v>0</v>
      </c>
      <c r="W283" t="n">
        <v>0</v>
      </c>
      <c r="X283" t="n">
        <v>0</v>
      </c>
      <c r="Y283" t="n">
        <v>20936021</v>
      </c>
      <c r="Z283" t="n">
        <v>5561358</v>
      </c>
      <c r="AA283" t="n">
        <v>5561358</v>
      </c>
      <c r="AB283" t="n">
        <v>5561358</v>
      </c>
      <c r="AC283" t="n">
        <v>5561358</v>
      </c>
      <c r="AD283" t="n">
        <v>15374663</v>
      </c>
      <c r="AE283" t="n">
        <v>26.56</v>
      </c>
    </row>
    <row r="284">
      <c r="A284" t="inlineStr">
        <is>
          <t>1 - ADMINISTRACIÓN CENTRAL</t>
        </is>
      </c>
      <c r="B284" t="inlineStr">
        <is>
          <t>12 - JUSTICIA Y DEL DERECHO</t>
        </is>
      </c>
      <c r="C284" t="inlineStr">
        <is>
          <t>0800</t>
        </is>
      </c>
      <c r="D284" t="inlineStr">
        <is>
          <t>1202</t>
        </is>
      </c>
      <c r="E284" t="inlineStr">
        <is>
          <t>1202002</t>
        </is>
      </c>
      <c r="F284" t="inlineStr">
        <is>
          <t>SERVICIO DE JUSTICIA A LOS CIUDADANOS</t>
        </is>
      </c>
      <c r="G284" t="inlineStr">
        <is>
          <t>2024546600041</t>
        </is>
      </c>
      <c r="H284" t="inlineStr">
        <is>
          <t>APOYO PARA LA PROMOCIÓN DEL ACCESO A LA JUSTICIA PDM UNIDOS SOMOS MÁS EN EL MUNICIPIO DE   SALAZAR</t>
        </is>
      </c>
      <c r="I284" t="inlineStr">
        <is>
          <t>00</t>
        </is>
      </c>
      <c r="J284" t="inlineStr">
        <is>
          <t>SIN PRODUCTO DANE</t>
        </is>
      </c>
      <c r="K284" t="inlineStr">
        <is>
          <t>00</t>
        </is>
      </c>
      <c r="L284" t="inlineStr">
        <is>
          <t>SIN ATRIBUTO</t>
        </is>
      </c>
      <c r="N284" t="inlineStr">
        <is>
          <t>2.3.1.01.03.001.01.12.01</t>
        </is>
      </c>
      <c r="O284" t="inlineStr">
        <is>
          <t>Vacaciones - CORREGIDOR</t>
        </is>
      </c>
      <c r="P284" t="inlineStr">
        <is>
          <t>360</t>
        </is>
      </c>
      <c r="Q284" t="inlineStr">
        <is>
          <t>SGP PROPOSITO GENERAL 42 POR CIENTO RECURSOS LIBRE DESTINACION SGP PROPOSITO GENERAL MPIOS DE CATEGORIA 4 5 Y 6 SGP ONCE</t>
        </is>
      </c>
      <c r="R284" t="n">
        <v>2077864</v>
      </c>
      <c r="S284" t="n">
        <v>0</v>
      </c>
      <c r="T284" t="n">
        <v>2077864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</row>
    <row r="285">
      <c r="A285" t="inlineStr">
        <is>
          <t>1 - ADMINISTRACIÓN CENTRAL</t>
        </is>
      </c>
      <c r="B285" t="inlineStr">
        <is>
          <t>12 - JUSTICIA Y DEL DERECHO</t>
        </is>
      </c>
      <c r="C285" t="inlineStr">
        <is>
          <t>0800</t>
        </is>
      </c>
      <c r="D285" t="inlineStr">
        <is>
          <t>1202</t>
        </is>
      </c>
      <c r="E285" t="inlineStr">
        <is>
          <t>1202002</t>
        </is>
      </c>
      <c r="F285" t="inlineStr">
        <is>
          <t>SERVICIO DE JUSTICIA A LOS CIUDADANOS</t>
        </is>
      </c>
      <c r="G285" t="inlineStr">
        <is>
          <t>2024546600041</t>
        </is>
      </c>
      <c r="H285" t="inlineStr">
        <is>
          <t>APOYO PARA LA PROMOCIÓN DEL ACCESO A LA JUSTICIA PDM UNIDOS SOMOS MÁS EN EL MUNICIPIO DE   SALAZAR</t>
        </is>
      </c>
      <c r="I285" t="inlineStr">
        <is>
          <t>00</t>
        </is>
      </c>
      <c r="J285" t="inlineStr">
        <is>
          <t>SIN PRODUCTO DANE</t>
        </is>
      </c>
      <c r="K285" t="inlineStr">
        <is>
          <t>00</t>
        </is>
      </c>
      <c r="L285" t="inlineStr">
        <is>
          <t>SIN ATRIBUTO</t>
        </is>
      </c>
      <c r="N285" t="inlineStr">
        <is>
          <t>2.3.1.01.03.001.01.12.02</t>
        </is>
      </c>
      <c r="O285" t="inlineStr">
        <is>
          <t>Vacaciones - CORREGIDOR</t>
        </is>
      </c>
      <c r="P285" t="inlineStr">
        <is>
          <t>410</t>
        </is>
      </c>
      <c r="Q285" t="inlineStr">
        <is>
          <t>SGP PROPOSITO GENERAL FORZOSA INVERSION LIBRE INVERSIÓN SALDOS NO EJECUTADOS NI INCORPORADOS VIGENCIAS ANTERIORES Y REIN</t>
        </is>
      </c>
      <c r="R285" t="n">
        <v>0</v>
      </c>
      <c r="S285" t="n">
        <v>2077864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2077864</v>
      </c>
      <c r="Z285" t="n">
        <v>0</v>
      </c>
      <c r="AA285" t="n">
        <v>0</v>
      </c>
      <c r="AB285" t="n">
        <v>0</v>
      </c>
      <c r="AC285" t="n">
        <v>0</v>
      </c>
      <c r="AD285" t="n">
        <v>2077864</v>
      </c>
      <c r="AE285" t="n">
        <v>0</v>
      </c>
    </row>
    <row r="286">
      <c r="A286" t="inlineStr">
        <is>
          <t>1 - ADMINISTRACIÓN CENTRAL</t>
        </is>
      </c>
      <c r="B286" t="inlineStr">
        <is>
          <t>17 - AGRICULTURA Y DESARROLLO RURAL</t>
        </is>
      </c>
      <c r="C286" t="inlineStr">
        <is>
          <t>1100</t>
        </is>
      </c>
      <c r="D286" t="inlineStr">
        <is>
          <t>1702</t>
        </is>
      </c>
      <c r="E286" t="inlineStr">
        <is>
          <t>1702010</t>
        </is>
      </c>
      <c r="F286" t="inlineStr">
        <is>
          <t>SERVICIO DE ASISTENCIA TÉCNICA AGROPECUARIA DIRIGIDA A PEQUEÑOS PRODUCTORES</t>
        </is>
      </c>
      <c r="G286" t="inlineStr">
        <is>
          <t>2024546600043</t>
        </is>
      </c>
      <c r="H286" t="inlineStr">
        <is>
          <t>APOYO PARA LA INCLUSIÓN PRODUCTIVA DE PEQUEÑOS PRODUCTORES RURALES PDM UNIDOS SOMOS MÁS EN EL MUNICIPIO DE  SALAZAR</t>
        </is>
      </c>
      <c r="I286" t="inlineStr">
        <is>
          <t>00</t>
        </is>
      </c>
      <c r="J286" t="inlineStr">
        <is>
          <t>SIN PRODUCTO DANE</t>
        </is>
      </c>
      <c r="K286" t="inlineStr">
        <is>
          <t>00</t>
        </is>
      </c>
      <c r="L286" t="inlineStr">
        <is>
          <t>SIN ATRIBUTO</t>
        </is>
      </c>
      <c r="N286" t="inlineStr">
        <is>
          <t>2.3.1.01.03.001.01.17.01</t>
        </is>
      </c>
      <c r="O286" t="inlineStr">
        <is>
          <t>Vacaciones - UMATA</t>
        </is>
      </c>
      <c r="P286" t="inlineStr">
        <is>
          <t>420</t>
        </is>
      </c>
      <c r="Q286" t="inlineStr">
        <is>
          <t>SGP PROPOSITO GENERAL FORZOSA INVERSION LIBRE INVERSIÓN SGP ONCE DOCEAVAS VIGENCIA ACTUAL MAS ULTIMA DOCEAVA VIGENCIA AN</t>
        </is>
      </c>
      <c r="R286" t="n">
        <v>8000000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8000000</v>
      </c>
      <c r="Z286" t="n">
        <v>3840231</v>
      </c>
      <c r="AA286" t="n">
        <v>3840231</v>
      </c>
      <c r="AB286" t="n">
        <v>3840231</v>
      </c>
      <c r="AC286" t="n">
        <v>3840231</v>
      </c>
      <c r="AD286" t="n">
        <v>4159769</v>
      </c>
      <c r="AE286" t="n">
        <v>48</v>
      </c>
    </row>
    <row r="287">
      <c r="A287" t="inlineStr">
        <is>
          <t>1 - ADMINISTRACIÓN CENTRAL</t>
        </is>
      </c>
      <c r="B287" t="inlineStr">
        <is>
          <t>45 - GOBIERNO TERRITORIAL</t>
        </is>
      </c>
      <c r="C287" t="inlineStr">
        <is>
          <t>1000</t>
        </is>
      </c>
      <c r="D287" t="inlineStr">
        <is>
          <t>4501</t>
        </is>
      </c>
      <c r="E287" t="inlineStr">
        <is>
          <t>4501082</t>
        </is>
      </c>
      <c r="F287" t="inlineStr">
        <is>
          <t>SERVICIO DE APOYO PARA LA ATENCIÓN ESPECIALIZADA E INTERDISCIPLINARIA EN LAS COMISARIAS DE FAMILIA</t>
        </is>
      </c>
      <c r="G287" t="inlineStr">
        <is>
          <t>2024546600072</t>
        </is>
      </c>
      <c r="H287" t="inlineStr">
        <is>
          <t>FORTALECIMIENTO DE LA CONVIVENCIA Y LA SEGURIDAD CIUDADANA PDM UNIDOS SOMOS MÁS EN EL MUNICIPIO DE  SALAZAR</t>
        </is>
      </c>
      <c r="I287" t="inlineStr">
        <is>
          <t>00</t>
        </is>
      </c>
      <c r="J287" t="inlineStr">
        <is>
          <t>SIN PRODUCTO DANE</t>
        </is>
      </c>
      <c r="K287" t="inlineStr">
        <is>
          <t>00</t>
        </is>
      </c>
      <c r="L287" t="inlineStr">
        <is>
          <t>SIN ATRIBUTO</t>
        </is>
      </c>
      <c r="N287" t="inlineStr">
        <is>
          <t>2.3.1.01.03.001.01.45.01</t>
        </is>
      </c>
      <c r="O287" t="inlineStr">
        <is>
          <t>Vacaciones - COMISARIA DE FAMILIA</t>
        </is>
      </c>
      <c r="P287" t="inlineStr">
        <is>
          <t>360</t>
        </is>
      </c>
      <c r="Q287" t="inlineStr">
        <is>
          <t>SGP PROPOSITO GENERAL 42 POR CIENTO RECURSOS LIBRE DESTINACION SGP PROPOSITO GENERAL MPIOS DE CATEGORIA 4 5 Y 6 SGP ONCE</t>
        </is>
      </c>
      <c r="R287" t="n">
        <v>10858157</v>
      </c>
      <c r="S287" t="n">
        <v>0</v>
      </c>
      <c r="T287" t="n">
        <v>10858157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</row>
    <row r="288">
      <c r="A288" t="inlineStr">
        <is>
          <t>1 - ADMINISTRACIÓN CENTRAL</t>
        </is>
      </c>
      <c r="B288" t="inlineStr">
        <is>
          <t>45 - GOBIERNO TERRITORIAL</t>
        </is>
      </c>
      <c r="C288" t="inlineStr">
        <is>
          <t>1000</t>
        </is>
      </c>
      <c r="D288" t="inlineStr">
        <is>
          <t>4501</t>
        </is>
      </c>
      <c r="E288" t="inlineStr">
        <is>
          <t>4501082</t>
        </is>
      </c>
      <c r="F288" t="inlineStr">
        <is>
          <t>SERVICIO DE APOYO PARA LA ATENCIÓN ESPECIALIZADA E INTERDISCIPLINARIA EN LAS COMISARIAS DE FAMILIA</t>
        </is>
      </c>
      <c r="G288" t="inlineStr">
        <is>
          <t>2024546600072</t>
        </is>
      </c>
      <c r="H288" t="inlineStr">
        <is>
          <t>FORTALECIMIENTO DE LA CONVIVENCIA Y LA SEGURIDAD CIUDADANA PDM UNIDOS SOMOS MÁS EN EL MUNICIPIO DE  SALAZAR</t>
        </is>
      </c>
      <c r="I288" t="inlineStr">
        <is>
          <t>00</t>
        </is>
      </c>
      <c r="J288" t="inlineStr">
        <is>
          <t>SIN PRODUCTO DANE</t>
        </is>
      </c>
      <c r="K288" t="inlineStr">
        <is>
          <t>00</t>
        </is>
      </c>
      <c r="L288" t="inlineStr">
        <is>
          <t>SIN ATRIBUTO</t>
        </is>
      </c>
      <c r="N288" t="inlineStr">
        <is>
          <t>2.3.1.01.03.001.01.45.02</t>
        </is>
      </c>
      <c r="O288" t="inlineStr">
        <is>
          <t>Vacaciones - COMISARIA DE FAMILIA</t>
        </is>
      </c>
      <c r="P288" t="inlineStr">
        <is>
          <t>153.1</t>
        </is>
      </c>
      <c r="Q288" t="inlineStr">
        <is>
          <t>RB ESTAMPILLA PARA LA JUSTICIA FAMILIAR</t>
        </is>
      </c>
      <c r="R288" t="n">
        <v>0</v>
      </c>
      <c r="S288" t="n">
        <v>10858157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10858157</v>
      </c>
      <c r="Z288" t="n">
        <v>1721127</v>
      </c>
      <c r="AA288" t="n">
        <v>1721127</v>
      </c>
      <c r="AB288" t="n">
        <v>1721127</v>
      </c>
      <c r="AC288" t="n">
        <v>1721127</v>
      </c>
      <c r="AD288" t="n">
        <v>9137030</v>
      </c>
      <c r="AE288" t="n">
        <v>15.85</v>
      </c>
    </row>
    <row r="289">
      <c r="A289" t="inlineStr">
        <is>
          <t>1 - ADMINISTRACIÓN CENTRAL</t>
        </is>
      </c>
      <c r="B289" t="inlineStr">
        <is>
          <t>00 - SIN SECTOR</t>
        </is>
      </c>
      <c r="C289" t="inlineStr">
        <is>
          <t>00</t>
        </is>
      </c>
      <c r="D289" t="inlineStr">
        <is>
          <t>0000</t>
        </is>
      </c>
      <c r="E289" t="inlineStr">
        <is>
          <t>000000</t>
        </is>
      </c>
      <c r="F289" t="inlineStr">
        <is>
          <t>SIN PRODUCTO</t>
        </is>
      </c>
      <c r="G289" t="inlineStr">
        <is>
          <t>00</t>
        </is>
      </c>
      <c r="H289" t="inlineStr">
        <is>
          <t>00</t>
        </is>
      </c>
      <c r="I289" t="inlineStr">
        <is>
          <t>00</t>
        </is>
      </c>
      <c r="J289" t="inlineStr">
        <is>
          <t>SIN PRODUCTO DANE</t>
        </is>
      </c>
      <c r="K289" t="inlineStr">
        <is>
          <t>00</t>
        </is>
      </c>
      <c r="L289" t="inlineStr">
        <is>
          <t>SIN ATRIBUTO</t>
        </is>
      </c>
      <c r="N289" t="inlineStr">
        <is>
          <t>2.3.1.01.03.001.02</t>
        </is>
      </c>
      <c r="O289" t="inlineStr">
        <is>
          <t>INDEMNIZACION POR VACACIONES</t>
        </is>
      </c>
      <c r="P289" t="inlineStr">
        <is>
          <t>00</t>
        </is>
      </c>
      <c r="Q289" t="inlineStr">
        <is>
          <t>RECURSOS</t>
        </is>
      </c>
      <c r="R289" t="n">
        <v>4807962</v>
      </c>
      <c r="S289" t="n">
        <v>2523615</v>
      </c>
      <c r="T289" t="n">
        <v>2523615</v>
      </c>
      <c r="U289" t="n">
        <v>0</v>
      </c>
      <c r="V289" t="n">
        <v>0</v>
      </c>
      <c r="W289" t="n">
        <v>0</v>
      </c>
      <c r="X289" t="n">
        <v>0</v>
      </c>
      <c r="Y289" t="n">
        <v>4807962</v>
      </c>
      <c r="Z289" t="n">
        <v>754665</v>
      </c>
      <c r="AA289" t="n">
        <v>754665</v>
      </c>
      <c r="AB289" t="n">
        <v>754665</v>
      </c>
      <c r="AC289" t="n">
        <v>754665</v>
      </c>
      <c r="AD289" t="n">
        <v>4053297</v>
      </c>
      <c r="AE289" t="n">
        <v>15.7</v>
      </c>
    </row>
    <row r="290">
      <c r="A290" t="inlineStr">
        <is>
          <t>1 - ADMINISTRACIÓN CENTRAL</t>
        </is>
      </c>
      <c r="B290" t="inlineStr">
        <is>
          <t>12 - JUSTICIA Y DEL DERECHO</t>
        </is>
      </c>
      <c r="C290" t="inlineStr">
        <is>
          <t>0800</t>
        </is>
      </c>
      <c r="D290" t="inlineStr">
        <is>
          <t>1202</t>
        </is>
      </c>
      <c r="E290" t="inlineStr">
        <is>
          <t>1202002</t>
        </is>
      </c>
      <c r="F290" t="inlineStr">
        <is>
          <t>SERVICIO DE JUSTICIA A LOS CIUDADANOS</t>
        </is>
      </c>
      <c r="G290" t="inlineStr">
        <is>
          <t>2024546600041</t>
        </is>
      </c>
      <c r="H290" t="inlineStr">
        <is>
          <t>APOYO PARA LA PROMOCIÓN DEL ACCESO A LA JUSTICIA PDM UNIDOS SOMOS MÁS EN EL MUNICIPIO DE   SALAZAR</t>
        </is>
      </c>
      <c r="I290" t="inlineStr">
        <is>
          <t>00</t>
        </is>
      </c>
      <c r="J290" t="inlineStr">
        <is>
          <t>SIN PRODUCTO DANE</t>
        </is>
      </c>
      <c r="K290" t="inlineStr">
        <is>
          <t>00</t>
        </is>
      </c>
      <c r="L290" t="inlineStr">
        <is>
          <t>SIN ATRIBUTO</t>
        </is>
      </c>
      <c r="N290" t="inlineStr">
        <is>
          <t>2.3.1.01.03.001.02.12.01</t>
        </is>
      </c>
      <c r="O290" t="inlineStr">
        <is>
          <t>Indemnizacion por vacaciones - CORREGIDOR</t>
        </is>
      </c>
      <c r="P290" t="inlineStr">
        <is>
          <t>360</t>
        </is>
      </c>
      <c r="Q290" t="inlineStr">
        <is>
          <t>SGP PROPOSITO GENERAL 42 POR CIENTO RECURSOS LIBRE DESTINACION SGP PROPOSITO GENERAL MPIOS DE CATEGORIA 4 5 Y 6 SGP ONCE</t>
        </is>
      </c>
      <c r="R290" t="n">
        <v>1523615</v>
      </c>
      <c r="S290" t="n">
        <v>0</v>
      </c>
      <c r="T290" t="n">
        <v>1523615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</row>
    <row r="291">
      <c r="A291" t="inlineStr">
        <is>
          <t>1 - ADMINISTRACIÓN CENTRAL</t>
        </is>
      </c>
      <c r="B291" t="inlineStr">
        <is>
          <t>12 - JUSTICIA Y DEL DERECHO</t>
        </is>
      </c>
      <c r="C291" t="inlineStr">
        <is>
          <t>0800</t>
        </is>
      </c>
      <c r="D291" t="inlineStr">
        <is>
          <t>1202</t>
        </is>
      </c>
      <c r="E291" t="inlineStr">
        <is>
          <t>1202002</t>
        </is>
      </c>
      <c r="F291" t="inlineStr">
        <is>
          <t>SERVICIO DE JUSTICIA A LOS CIUDADANOS</t>
        </is>
      </c>
      <c r="G291" t="inlineStr">
        <is>
          <t>2024546600041</t>
        </is>
      </c>
      <c r="H291" t="inlineStr">
        <is>
          <t>APOYO PARA LA PROMOCIÓN DEL ACCESO A LA JUSTICIA PDM UNIDOS SOMOS MÁS EN EL MUNICIPIO DE   SALAZAR</t>
        </is>
      </c>
      <c r="I291" t="inlineStr">
        <is>
          <t>00</t>
        </is>
      </c>
      <c r="J291" t="inlineStr">
        <is>
          <t>SIN PRODUCTO DANE</t>
        </is>
      </c>
      <c r="K291" t="inlineStr">
        <is>
          <t>00</t>
        </is>
      </c>
      <c r="L291" t="inlineStr">
        <is>
          <t>SIN ATRIBUTO</t>
        </is>
      </c>
      <c r="N291" t="inlineStr">
        <is>
          <t>2.3.1.01.03.001.02.12.02</t>
        </is>
      </c>
      <c r="O291" t="inlineStr">
        <is>
          <t>Indemnizacion por vacaciones - CORREGIDOR</t>
        </is>
      </c>
      <c r="P291" t="inlineStr">
        <is>
          <t>410</t>
        </is>
      </c>
      <c r="Q291" t="inlineStr">
        <is>
          <t>SGP PROPOSITO GENERAL FORZOSA INVERSION LIBRE INVERSIÓN SALDOS NO EJECUTADOS NI INCORPORADOS VIGENCIAS ANTERIORES Y REIN</t>
        </is>
      </c>
      <c r="R291" t="n">
        <v>0</v>
      </c>
      <c r="S291" t="n">
        <v>1523615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1523615</v>
      </c>
      <c r="Z291" t="n">
        <v>0</v>
      </c>
      <c r="AA291" t="n">
        <v>0</v>
      </c>
      <c r="AB291" t="n">
        <v>0</v>
      </c>
      <c r="AC291" t="n">
        <v>0</v>
      </c>
      <c r="AD291" t="n">
        <v>1523615</v>
      </c>
      <c r="AE291" t="n">
        <v>0</v>
      </c>
    </row>
    <row r="292">
      <c r="A292" t="inlineStr">
        <is>
          <t>1 - ADMINISTRACIÓN CENTRAL</t>
        </is>
      </c>
      <c r="B292" t="inlineStr">
        <is>
          <t>17 - AGRICULTURA Y DESARROLLO RURAL</t>
        </is>
      </c>
      <c r="C292" t="inlineStr">
        <is>
          <t>1100</t>
        </is>
      </c>
      <c r="D292" t="inlineStr">
        <is>
          <t>1702</t>
        </is>
      </c>
      <c r="E292" t="inlineStr">
        <is>
          <t>1702010</t>
        </is>
      </c>
      <c r="F292" t="inlineStr">
        <is>
          <t>SERVICIO DE ASISTENCIA TÉCNICA AGROPECUARIA DIRIGIDA A PEQUEÑOS PRODUCTORES</t>
        </is>
      </c>
      <c r="G292" t="inlineStr">
        <is>
          <t>2024546600043</t>
        </is>
      </c>
      <c r="H292" t="inlineStr">
        <is>
          <t>APOYO PARA LA INCLUSIÓN PRODUCTIVA DE PEQUEÑOS PRODUCTORES RURALES PDM UNIDOS SOMOS MÁS EN EL MUNICIPIO DE  SALAZAR</t>
        </is>
      </c>
      <c r="I292" t="inlineStr">
        <is>
          <t>00</t>
        </is>
      </c>
      <c r="J292" t="inlineStr">
        <is>
          <t>SIN PRODUCTO DANE</t>
        </is>
      </c>
      <c r="K292" t="inlineStr">
        <is>
          <t>00</t>
        </is>
      </c>
      <c r="L292" t="inlineStr">
        <is>
          <t>SIN ATRIBUTO</t>
        </is>
      </c>
      <c r="N292" t="inlineStr">
        <is>
          <t>2.3.1.01.03.001.02.17.01</t>
        </is>
      </c>
      <c r="O292" t="inlineStr">
        <is>
          <t>Indemnizacion por vacaciones - UMATA</t>
        </is>
      </c>
      <c r="P292" t="inlineStr">
        <is>
          <t>420</t>
        </is>
      </c>
      <c r="Q292" t="inlineStr">
        <is>
          <t>SGP PROPOSITO GENERAL FORZOSA INVERSION LIBRE INVERSIÓN SGP ONCE DOCEAVAS VIGENCIA ACTUAL MAS ULTIMA DOCEAVA VIGENCIA AN</t>
        </is>
      </c>
      <c r="R292" t="n">
        <v>2284347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2284347</v>
      </c>
      <c r="Z292" t="n">
        <v>0</v>
      </c>
      <c r="AA292" t="n">
        <v>0</v>
      </c>
      <c r="AB292" t="n">
        <v>0</v>
      </c>
      <c r="AC292" t="n">
        <v>0</v>
      </c>
      <c r="AD292" t="n">
        <v>2284347</v>
      </c>
      <c r="AE292" t="n">
        <v>0</v>
      </c>
    </row>
    <row r="293">
      <c r="A293" t="inlineStr">
        <is>
          <t>1 - ADMINISTRACIÓN CENTRAL</t>
        </is>
      </c>
      <c r="B293" t="inlineStr">
        <is>
          <t>45 - GOBIERNO TERRITORIAL</t>
        </is>
      </c>
      <c r="C293" t="inlineStr">
        <is>
          <t>1000</t>
        </is>
      </c>
      <c r="D293" t="inlineStr">
        <is>
          <t>4501</t>
        </is>
      </c>
      <c r="E293" t="inlineStr">
        <is>
          <t>4501082</t>
        </is>
      </c>
      <c r="F293" t="inlineStr">
        <is>
          <t>SERVICIO DE APOYO PARA LA ATENCIÓN ESPECIALIZADA E INTERDISCIPLINARIA EN LAS COMISARIAS DE FAMILIA</t>
        </is>
      </c>
      <c r="G293" t="inlineStr">
        <is>
          <t>2024546600072</t>
        </is>
      </c>
      <c r="H293" t="inlineStr">
        <is>
          <t>FORTALECIMIENTO DE LA CONVIVENCIA Y LA SEGURIDAD CIUDADANA PDM UNIDOS SOMOS MÁS EN EL MUNICIPIO DE  SALAZAR</t>
        </is>
      </c>
      <c r="I293" t="inlineStr">
        <is>
          <t>00</t>
        </is>
      </c>
      <c r="J293" t="inlineStr">
        <is>
          <t>SIN PRODUCTO DANE</t>
        </is>
      </c>
      <c r="K293" t="inlineStr">
        <is>
          <t>00</t>
        </is>
      </c>
      <c r="L293" t="inlineStr">
        <is>
          <t>SIN ATRIBUTO</t>
        </is>
      </c>
      <c r="N293" t="inlineStr">
        <is>
          <t>2.3.1.01.03.001.02.45.01</t>
        </is>
      </c>
      <c r="O293" t="inlineStr">
        <is>
          <t>Indemnizacion por vacaciones - COMISARIA DE FAMILIA</t>
        </is>
      </c>
      <c r="P293" t="inlineStr">
        <is>
          <t>360</t>
        </is>
      </c>
      <c r="Q293" t="inlineStr">
        <is>
          <t>SGP PROPOSITO GENERAL 42 POR CIENTO RECURSOS LIBRE DESTINACION SGP PROPOSITO GENERAL MPIOS DE CATEGORIA 4 5 Y 6 SGP ONCE</t>
        </is>
      </c>
      <c r="R293" t="n">
        <v>1000000</v>
      </c>
      <c r="S293" t="n">
        <v>0</v>
      </c>
      <c r="T293" t="n">
        <v>1000000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</row>
    <row r="294">
      <c r="A294" t="inlineStr">
        <is>
          <t>1 - ADMINISTRACIÓN CENTRAL</t>
        </is>
      </c>
      <c r="B294" t="inlineStr">
        <is>
          <t>45 - GOBIERNO TERRITORIAL</t>
        </is>
      </c>
      <c r="C294" t="inlineStr">
        <is>
          <t>1000</t>
        </is>
      </c>
      <c r="D294" t="inlineStr">
        <is>
          <t>4501</t>
        </is>
      </c>
      <c r="E294" t="inlineStr">
        <is>
          <t>4501082</t>
        </is>
      </c>
      <c r="F294" t="inlineStr">
        <is>
          <t>SERVICIO DE APOYO PARA LA ATENCIÓN ESPECIALIZADA E INTERDISCIPLINARIA EN LAS COMISARIAS DE FAMILIA</t>
        </is>
      </c>
      <c r="G294" t="inlineStr">
        <is>
          <t>2024546600072</t>
        </is>
      </c>
      <c r="H294" t="inlineStr">
        <is>
          <t>FORTALECIMIENTO DE LA CONVIVENCIA Y LA SEGURIDAD CIUDADANA PDM UNIDOS SOMOS MÁS EN EL MUNICIPIO DE  SALAZAR</t>
        </is>
      </c>
      <c r="I294" t="inlineStr">
        <is>
          <t>00</t>
        </is>
      </c>
      <c r="J294" t="inlineStr">
        <is>
          <t>SIN PRODUCTO DANE</t>
        </is>
      </c>
      <c r="K294" t="inlineStr">
        <is>
          <t>00</t>
        </is>
      </c>
      <c r="L294" t="inlineStr">
        <is>
          <t>SIN ATRIBUTO</t>
        </is>
      </c>
      <c r="N294" t="inlineStr">
        <is>
          <t>2.3.1.01.03.001.02.45.02</t>
        </is>
      </c>
      <c r="O294" t="inlineStr">
        <is>
          <t>Indemnizacion por vacaciones - COMISARIA DE FAMILIA</t>
        </is>
      </c>
      <c r="P294" t="inlineStr">
        <is>
          <t>153.1</t>
        </is>
      </c>
      <c r="Q294" t="inlineStr">
        <is>
          <t>RB ESTAMPILLA PARA LA JUSTICIA FAMILIAR</t>
        </is>
      </c>
      <c r="R294" t="n">
        <v>0</v>
      </c>
      <c r="S294" t="n">
        <v>1000000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1000000</v>
      </c>
      <c r="Z294" t="n">
        <v>754665</v>
      </c>
      <c r="AA294" t="n">
        <v>754665</v>
      </c>
      <c r="AB294" t="n">
        <v>754665</v>
      </c>
      <c r="AC294" t="n">
        <v>754665</v>
      </c>
      <c r="AD294" t="n">
        <v>245335</v>
      </c>
      <c r="AE294" t="n">
        <v>75.47</v>
      </c>
    </row>
    <row r="295">
      <c r="A295" t="inlineStr">
        <is>
          <t>1 - ADMINISTRACIÓN CENTRAL</t>
        </is>
      </c>
      <c r="B295" t="inlineStr">
        <is>
          <t>00 - SIN SECTOR</t>
        </is>
      </c>
      <c r="C295" t="inlineStr">
        <is>
          <t>00</t>
        </is>
      </c>
      <c r="D295" t="inlineStr">
        <is>
          <t>0000</t>
        </is>
      </c>
      <c r="E295" t="inlineStr">
        <is>
          <t>000000</t>
        </is>
      </c>
      <c r="F295" t="inlineStr">
        <is>
          <t>SIN PRODUCTO</t>
        </is>
      </c>
      <c r="G295" t="inlineStr">
        <is>
          <t>00</t>
        </is>
      </c>
      <c r="H295" t="inlineStr">
        <is>
          <t>00</t>
        </is>
      </c>
      <c r="I295" t="inlineStr">
        <is>
          <t>00</t>
        </is>
      </c>
      <c r="J295" t="inlineStr">
        <is>
          <t>SIN PRODUCTO DANE</t>
        </is>
      </c>
      <c r="K295" t="inlineStr">
        <is>
          <t>00</t>
        </is>
      </c>
      <c r="L295" t="inlineStr">
        <is>
          <t>SIN ATRIBUTO</t>
        </is>
      </c>
      <c r="N295" t="inlineStr">
        <is>
          <t>2.3.1.01.03.001.03</t>
        </is>
      </c>
      <c r="O295" t="inlineStr">
        <is>
          <t>BONIFICACION ESPECIAL DE RECREACION</t>
        </is>
      </c>
      <c r="P295" t="inlineStr">
        <is>
          <t>00</t>
        </is>
      </c>
      <c r="Q295" t="inlineStr">
        <is>
          <t>RECURSOS</t>
        </is>
      </c>
      <c r="R295" t="n">
        <v>2095510</v>
      </c>
      <c r="S295" t="n">
        <v>1257777</v>
      </c>
      <c r="T295" t="n">
        <v>1257777</v>
      </c>
      <c r="U295" t="n">
        <v>0</v>
      </c>
      <c r="V295" t="n">
        <v>0</v>
      </c>
      <c r="W295" t="n">
        <v>0</v>
      </c>
      <c r="X295" t="n">
        <v>0</v>
      </c>
      <c r="Y295" t="n">
        <v>2095510</v>
      </c>
      <c r="Z295" t="n">
        <v>460852</v>
      </c>
      <c r="AA295" t="n">
        <v>460852</v>
      </c>
      <c r="AB295" t="n">
        <v>460852</v>
      </c>
      <c r="AC295" t="n">
        <v>460852</v>
      </c>
      <c r="AD295" t="n">
        <v>1634658</v>
      </c>
      <c r="AE295" t="n">
        <v>21.99</v>
      </c>
    </row>
    <row r="296">
      <c r="A296" t="inlineStr">
        <is>
          <t>1 - ADMINISTRACIÓN CENTRAL</t>
        </is>
      </c>
      <c r="B296" t="inlineStr">
        <is>
          <t>12 - JUSTICIA Y DEL DERECHO</t>
        </is>
      </c>
      <c r="C296" t="inlineStr">
        <is>
          <t>0800</t>
        </is>
      </c>
      <c r="D296" t="inlineStr">
        <is>
          <t>1202</t>
        </is>
      </c>
      <c r="E296" t="inlineStr">
        <is>
          <t>1202002</t>
        </is>
      </c>
      <c r="F296" t="inlineStr">
        <is>
          <t>SERVICIO DE JUSTICIA A LOS CIUDADANOS</t>
        </is>
      </c>
      <c r="G296" t="inlineStr">
        <is>
          <t>2024546600041</t>
        </is>
      </c>
      <c r="H296" t="inlineStr">
        <is>
          <t>APOYO PARA LA PROMOCIÓN DEL ACCESO A LA JUSTICIA PDM UNIDOS SOMOS MÁS EN EL MUNICIPIO DE   SALAZAR</t>
        </is>
      </c>
      <c r="I296" t="inlineStr">
        <is>
          <t>00</t>
        </is>
      </c>
      <c r="J296" t="inlineStr">
        <is>
          <t>SIN PRODUCTO DANE</t>
        </is>
      </c>
      <c r="K296" t="inlineStr">
        <is>
          <t>00</t>
        </is>
      </c>
      <c r="L296" t="inlineStr">
        <is>
          <t>SIN ATRIBUTO</t>
        </is>
      </c>
      <c r="N296" t="inlineStr">
        <is>
          <t>2.3.1.01.03.001.03.12.01</t>
        </is>
      </c>
      <c r="O296" t="inlineStr">
        <is>
          <t>Bonificacion especial de recreacion - CORREGIDOR</t>
        </is>
      </c>
      <c r="P296" t="inlineStr">
        <is>
          <t>360</t>
        </is>
      </c>
      <c r="Q296" t="inlineStr">
        <is>
          <t>SGP PROPOSITO GENERAL 42 POR CIENTO RECURSOS LIBRE DESTINACION SGP PROPOSITO GENERAL MPIOS DE CATEGORIA 4 5 Y 6 SGP ONCE</t>
        </is>
      </c>
      <c r="R296" t="n">
        <v>288188</v>
      </c>
      <c r="S296" t="n">
        <v>0</v>
      </c>
      <c r="T296" t="n">
        <v>288188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</row>
    <row r="297">
      <c r="A297" t="inlineStr">
        <is>
          <t>1 - ADMINISTRACIÓN CENTRAL</t>
        </is>
      </c>
      <c r="B297" t="inlineStr">
        <is>
          <t>12 - JUSTICIA Y DEL DERECHO</t>
        </is>
      </c>
      <c r="C297" t="inlineStr">
        <is>
          <t>0800</t>
        </is>
      </c>
      <c r="D297" t="inlineStr">
        <is>
          <t>1202</t>
        </is>
      </c>
      <c r="E297" t="inlineStr">
        <is>
          <t>1202002</t>
        </is>
      </c>
      <c r="F297" t="inlineStr">
        <is>
          <t>SERVICIO DE JUSTICIA A LOS CIUDADANOS</t>
        </is>
      </c>
      <c r="G297" t="inlineStr">
        <is>
          <t>2024546600041</t>
        </is>
      </c>
      <c r="H297" t="inlineStr">
        <is>
          <t>APOYO PARA LA PROMOCIÓN DEL ACCESO A LA JUSTICIA PDM UNIDOS SOMOS MÁS EN EL MUNICIPIO DE   SALAZAR</t>
        </is>
      </c>
      <c r="I297" t="inlineStr">
        <is>
          <t>00</t>
        </is>
      </c>
      <c r="J297" t="inlineStr">
        <is>
          <t>SIN PRODUCTO DANE</t>
        </is>
      </c>
      <c r="K297" t="inlineStr">
        <is>
          <t>00</t>
        </is>
      </c>
      <c r="L297" t="inlineStr">
        <is>
          <t>SIN ATRIBUTO</t>
        </is>
      </c>
      <c r="N297" t="inlineStr">
        <is>
          <t>2.3.1.01.03.001.03.12.02</t>
        </is>
      </c>
      <c r="O297" t="inlineStr">
        <is>
          <t>Bonificacion especial de recreacion - CORREGIDOR</t>
        </is>
      </c>
      <c r="P297" t="inlineStr">
        <is>
          <t>410</t>
        </is>
      </c>
      <c r="Q297" t="inlineStr">
        <is>
          <t>SGP PROPOSITO GENERAL FORZOSA INVERSION LIBRE INVERSIÓN SALDOS NO EJECUTADOS NI INCORPORADOS VIGENCIAS ANTERIORES Y REIN</t>
        </is>
      </c>
      <c r="R297" t="n">
        <v>0</v>
      </c>
      <c r="S297" t="n">
        <v>288188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288188</v>
      </c>
      <c r="Z297" t="n">
        <v>0</v>
      </c>
      <c r="AA297" t="n">
        <v>0</v>
      </c>
      <c r="AB297" t="n">
        <v>0</v>
      </c>
      <c r="AC297" t="n">
        <v>0</v>
      </c>
      <c r="AD297" t="n">
        <v>288188</v>
      </c>
      <c r="AE297" t="n">
        <v>0</v>
      </c>
    </row>
    <row r="298">
      <c r="A298" t="inlineStr">
        <is>
          <t>1 - ADMINISTRACIÓN CENTRAL</t>
        </is>
      </c>
      <c r="B298" t="inlineStr">
        <is>
          <t>17 - AGRICULTURA Y DESARROLLO RURAL</t>
        </is>
      </c>
      <c r="C298" t="inlineStr">
        <is>
          <t>1100</t>
        </is>
      </c>
      <c r="D298" t="inlineStr">
        <is>
          <t>1702</t>
        </is>
      </c>
      <c r="E298" t="inlineStr">
        <is>
          <t>1702010</t>
        </is>
      </c>
      <c r="F298" t="inlineStr">
        <is>
          <t>SERVICIO DE ASISTENCIA TÉCNICA AGROPECUARIA DIRIGIDA A PEQUEÑOS PRODUCTORES</t>
        </is>
      </c>
      <c r="G298" t="inlineStr">
        <is>
          <t>2024546600043</t>
        </is>
      </c>
      <c r="H298" t="inlineStr">
        <is>
          <t>APOYO PARA LA INCLUSIÓN PRODUCTIVA DE PEQUEÑOS PRODUCTORES RURALES PDM UNIDOS SOMOS MÁS EN EL MUNICIPIO DE  SALAZAR</t>
        </is>
      </c>
      <c r="I298" t="inlineStr">
        <is>
          <t>00</t>
        </is>
      </c>
      <c r="J298" t="inlineStr">
        <is>
          <t>SIN PRODUCTO DANE</t>
        </is>
      </c>
      <c r="K298" t="inlineStr">
        <is>
          <t>00</t>
        </is>
      </c>
      <c r="L298" t="inlineStr">
        <is>
          <t>SIN ATRIBUTO</t>
        </is>
      </c>
      <c r="N298" t="inlineStr">
        <is>
          <t>2.3.1.01.03.001.03.17.01</t>
        </is>
      </c>
      <c r="O298" t="inlineStr">
        <is>
          <t>Bonificacion especial de recreacion - UMATA</t>
        </is>
      </c>
      <c r="P298" t="inlineStr">
        <is>
          <t>420</t>
        </is>
      </c>
      <c r="Q298" t="inlineStr">
        <is>
          <t>SGP PROPOSITO GENERAL FORZOSA INVERSION LIBRE INVERSIÓN SGP ONCE DOCEAVAS VIGENCIA ACTUAL MAS ULTIMA DOCEAVA VIGENCIA AN</t>
        </is>
      </c>
      <c r="R298" t="n">
        <v>837733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837733</v>
      </c>
      <c r="Z298" t="n">
        <v>278112</v>
      </c>
      <c r="AA298" t="n">
        <v>278112</v>
      </c>
      <c r="AB298" t="n">
        <v>278112</v>
      </c>
      <c r="AC298" t="n">
        <v>278112</v>
      </c>
      <c r="AD298" t="n">
        <v>559621</v>
      </c>
      <c r="AE298" t="n">
        <v>33.2</v>
      </c>
    </row>
    <row r="299">
      <c r="A299" t="inlineStr">
        <is>
          <t>1 - ADMINISTRACIÓN CENTRAL</t>
        </is>
      </c>
      <c r="B299" t="inlineStr">
        <is>
          <t>45 - GOBIERNO TERRITORIAL</t>
        </is>
      </c>
      <c r="C299" t="inlineStr">
        <is>
          <t>1000</t>
        </is>
      </c>
      <c r="D299" t="inlineStr">
        <is>
          <t>4501</t>
        </is>
      </c>
      <c r="E299" t="inlineStr">
        <is>
          <t>4501082</t>
        </is>
      </c>
      <c r="F299" t="inlineStr">
        <is>
          <t>SERVICIO DE APOYO PARA LA ATENCIÓN ESPECIALIZADA E INTERDISCIPLINARIA EN LAS COMISARIAS DE FAMILIA</t>
        </is>
      </c>
      <c r="G299" t="inlineStr">
        <is>
          <t>2024546600072</t>
        </is>
      </c>
      <c r="H299" t="inlineStr">
        <is>
          <t>FORTALECIMIENTO DE LA CONVIVENCIA Y LA SEGURIDAD CIUDADANA PDM UNIDOS SOMOS MÁS EN EL MUNICIPIO DE  SALAZAR</t>
        </is>
      </c>
      <c r="I299" t="inlineStr">
        <is>
          <t>00</t>
        </is>
      </c>
      <c r="J299" t="inlineStr">
        <is>
          <t>SIN PRODUCTO DANE</t>
        </is>
      </c>
      <c r="K299" t="inlineStr">
        <is>
          <t>00</t>
        </is>
      </c>
      <c r="L299" t="inlineStr">
        <is>
          <t>SIN ATRIBUTO</t>
        </is>
      </c>
      <c r="N299" t="inlineStr">
        <is>
          <t>2.3.1.01.03.001.03.45.01</t>
        </is>
      </c>
      <c r="O299" t="inlineStr">
        <is>
          <t>Bonificacion especial de recreacion - COMISARIA DE FAMILIA</t>
        </is>
      </c>
      <c r="P299" t="inlineStr">
        <is>
          <t>360</t>
        </is>
      </c>
      <c r="Q299" t="inlineStr">
        <is>
          <t>SGP PROPOSITO GENERAL 42 POR CIENTO RECURSOS LIBRE DESTINACION SGP PROPOSITO GENERAL MPIOS DE CATEGORIA 4 5 Y 6 SGP ONCE</t>
        </is>
      </c>
      <c r="R299" t="n">
        <v>969589</v>
      </c>
      <c r="S299" t="n">
        <v>0</v>
      </c>
      <c r="T299" t="n">
        <v>969589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</row>
    <row r="300">
      <c r="A300" t="inlineStr">
        <is>
          <t>1 - ADMINISTRACIÓN CENTRAL</t>
        </is>
      </c>
      <c r="B300" t="inlineStr">
        <is>
          <t>45 - GOBIERNO TERRITORIAL</t>
        </is>
      </c>
      <c r="C300" t="inlineStr">
        <is>
          <t>1000</t>
        </is>
      </c>
      <c r="D300" t="inlineStr">
        <is>
          <t>4501</t>
        </is>
      </c>
      <c r="E300" t="inlineStr">
        <is>
          <t>4501082</t>
        </is>
      </c>
      <c r="F300" t="inlineStr">
        <is>
          <t>SERVICIO DE APOYO PARA LA ATENCIÓN ESPECIALIZADA E INTERDISCIPLINARIA EN LAS COMISARIAS DE FAMILIA</t>
        </is>
      </c>
      <c r="G300" t="inlineStr">
        <is>
          <t>2024546600072</t>
        </is>
      </c>
      <c r="H300" t="inlineStr">
        <is>
          <t>FORTALECIMIENTO DE LA CONVIVENCIA Y LA SEGURIDAD CIUDADANA PDM UNIDOS SOMOS MÁS EN EL MUNICIPIO DE  SALAZAR</t>
        </is>
      </c>
      <c r="I300" t="inlineStr">
        <is>
          <t>00</t>
        </is>
      </c>
      <c r="J300" t="inlineStr">
        <is>
          <t>SIN PRODUCTO DANE</t>
        </is>
      </c>
      <c r="K300" t="inlineStr">
        <is>
          <t>00</t>
        </is>
      </c>
      <c r="L300" t="inlineStr">
        <is>
          <t>SIN ATRIBUTO</t>
        </is>
      </c>
      <c r="N300" t="inlineStr">
        <is>
          <t>2.3.1.01.03.001.03.45.02</t>
        </is>
      </c>
      <c r="O300" t="inlineStr">
        <is>
          <t>Bonificacion especial de recreacion - COMISARIA DE FAMILIA</t>
        </is>
      </c>
      <c r="P300" t="inlineStr">
        <is>
          <t>153.1</t>
        </is>
      </c>
      <c r="Q300" t="inlineStr">
        <is>
          <t>RB ESTAMPILLA PARA LA JUSTICIA FAMILIAR</t>
        </is>
      </c>
      <c r="R300" t="n">
        <v>0</v>
      </c>
      <c r="S300" t="n">
        <v>969589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969589</v>
      </c>
      <c r="Z300" t="n">
        <v>182740</v>
      </c>
      <c r="AA300" t="n">
        <v>182740</v>
      </c>
      <c r="AB300" t="n">
        <v>182740</v>
      </c>
      <c r="AC300" t="n">
        <v>182740</v>
      </c>
      <c r="AD300" t="n">
        <v>786849</v>
      </c>
      <c r="AE300" t="n">
        <v>18.85</v>
      </c>
    </row>
    <row r="301">
      <c r="A301" t="inlineStr">
        <is>
          <t>1 - ADMINISTRACIÓN CENTRAL</t>
        </is>
      </c>
      <c r="B301" t="inlineStr">
        <is>
          <t>00 - SIN SECTOR</t>
        </is>
      </c>
      <c r="C301" t="inlineStr">
        <is>
          <t>00</t>
        </is>
      </c>
      <c r="D301" t="inlineStr">
        <is>
          <t>0000</t>
        </is>
      </c>
      <c r="E301" t="inlineStr">
        <is>
          <t>000000</t>
        </is>
      </c>
      <c r="F301" t="inlineStr">
        <is>
          <t>SIN PRODUCTO</t>
        </is>
      </c>
      <c r="G301" t="inlineStr">
        <is>
          <t>00</t>
        </is>
      </c>
      <c r="H301" t="inlineStr">
        <is>
          <t>00</t>
        </is>
      </c>
      <c r="I301" t="inlineStr">
        <is>
          <t>00</t>
        </is>
      </c>
      <c r="J301" t="inlineStr">
        <is>
          <t>SIN PRODUCTO DANE</t>
        </is>
      </c>
      <c r="K301" t="inlineStr">
        <is>
          <t>00</t>
        </is>
      </c>
      <c r="L301" t="inlineStr">
        <is>
          <t>SIN ATRIBUTO</t>
        </is>
      </c>
      <c r="N301" t="inlineStr">
        <is>
          <t>2.3.2</t>
        </is>
      </c>
      <c r="O301" t="inlineStr">
        <is>
          <t>Adquisición de bienes y servicios</t>
        </is>
      </c>
      <c r="P301" t="inlineStr">
        <is>
          <t>00</t>
        </is>
      </c>
      <c r="Q301" t="inlineStr">
        <is>
          <t>RECURSOS</t>
        </is>
      </c>
      <c r="R301" t="n">
        <v>5391960350</v>
      </c>
      <c r="S301" t="n">
        <v>2160705208</v>
      </c>
      <c r="T301" t="n">
        <v>112478966</v>
      </c>
      <c r="U301" t="n">
        <v>445200000</v>
      </c>
      <c r="V301" t="n">
        <v>463016980</v>
      </c>
      <c r="W301" t="n">
        <v>0</v>
      </c>
      <c r="X301" t="n">
        <v>0</v>
      </c>
      <c r="Y301" t="n">
        <v>7422369612</v>
      </c>
      <c r="Z301" t="n">
        <v>3390145618.6</v>
      </c>
      <c r="AA301" t="n">
        <v>3067983434.71</v>
      </c>
      <c r="AB301" t="n">
        <v>1113939229.55</v>
      </c>
      <c r="AC301" t="n">
        <v>1113939229.55</v>
      </c>
      <c r="AD301" t="n">
        <v>4032223993.4</v>
      </c>
      <c r="AE301" t="n">
        <v>45.67</v>
      </c>
    </row>
    <row r="302">
      <c r="A302" t="inlineStr">
        <is>
          <t>1 - ADMINISTRACIÓN CENTRAL</t>
        </is>
      </c>
      <c r="B302" t="inlineStr">
        <is>
          <t>00 - SIN SECTOR</t>
        </is>
      </c>
      <c r="C302" t="inlineStr">
        <is>
          <t>00</t>
        </is>
      </c>
      <c r="D302" t="inlineStr">
        <is>
          <t>0000</t>
        </is>
      </c>
      <c r="E302" t="inlineStr">
        <is>
          <t>000000</t>
        </is>
      </c>
      <c r="F302" t="inlineStr">
        <is>
          <t>SIN PRODUCTO</t>
        </is>
      </c>
      <c r="G302" t="inlineStr">
        <is>
          <t>00</t>
        </is>
      </c>
      <c r="H302" t="inlineStr">
        <is>
          <t>00</t>
        </is>
      </c>
      <c r="I302" t="inlineStr">
        <is>
          <t>00</t>
        </is>
      </c>
      <c r="J302" t="inlineStr">
        <is>
          <t>SIN PRODUCTO DANE</t>
        </is>
      </c>
      <c r="K302" t="inlineStr">
        <is>
          <t>00</t>
        </is>
      </c>
      <c r="L302" t="inlineStr">
        <is>
          <t>SIN ATRIBUTO</t>
        </is>
      </c>
      <c r="N302" t="inlineStr">
        <is>
          <t>2.3.2.01</t>
        </is>
      </c>
      <c r="O302" t="inlineStr">
        <is>
          <t>ADQUISICION DE ACTIVOS NO FINANCIEROS</t>
        </is>
      </c>
      <c r="P302" t="inlineStr">
        <is>
          <t>00</t>
        </is>
      </c>
      <c r="Q302" t="inlineStr">
        <is>
          <t>RECURSOS</t>
        </is>
      </c>
      <c r="R302" t="n">
        <v>137458000</v>
      </c>
      <c r="S302" t="n">
        <v>14217098</v>
      </c>
      <c r="T302" t="n">
        <v>0</v>
      </c>
      <c r="U302" t="n">
        <v>23900000</v>
      </c>
      <c r="V302" t="n">
        <v>0</v>
      </c>
      <c r="W302" t="n">
        <v>0</v>
      </c>
      <c r="X302" t="n">
        <v>0</v>
      </c>
      <c r="Y302" t="n">
        <v>175575098</v>
      </c>
      <c r="Z302" t="n">
        <v>23900000</v>
      </c>
      <c r="AA302" t="n">
        <v>23900000</v>
      </c>
      <c r="AB302" t="n">
        <v>12648000</v>
      </c>
      <c r="AC302" t="n">
        <v>12648000</v>
      </c>
      <c r="AD302" t="n">
        <v>151675098</v>
      </c>
      <c r="AE302" t="n">
        <v>13.61</v>
      </c>
    </row>
    <row r="303">
      <c r="A303" t="inlineStr">
        <is>
          <t>1 - ADMINISTRACIÓN CENTRAL</t>
        </is>
      </c>
      <c r="B303" t="inlineStr">
        <is>
          <t>00 - SIN SECTOR</t>
        </is>
      </c>
      <c r="C303" t="inlineStr">
        <is>
          <t>00</t>
        </is>
      </c>
      <c r="D303" t="inlineStr">
        <is>
          <t>0000</t>
        </is>
      </c>
      <c r="E303" t="inlineStr">
        <is>
          <t>000000</t>
        </is>
      </c>
      <c r="F303" t="inlineStr">
        <is>
          <t>SIN PRODUCTO</t>
        </is>
      </c>
      <c r="G303" t="inlineStr">
        <is>
          <t>00</t>
        </is>
      </c>
      <c r="H303" t="inlineStr">
        <is>
          <t>00</t>
        </is>
      </c>
      <c r="I303" t="inlineStr">
        <is>
          <t>00</t>
        </is>
      </c>
      <c r="J303" t="inlineStr">
        <is>
          <t>SIN PRODUCTO DANE</t>
        </is>
      </c>
      <c r="K303" t="inlineStr">
        <is>
          <t>00</t>
        </is>
      </c>
      <c r="L303" t="inlineStr">
        <is>
          <t>SIN ATRIBUTO</t>
        </is>
      </c>
      <c r="N303" t="inlineStr">
        <is>
          <t>2.3.2.01.01</t>
        </is>
      </c>
      <c r="O303" t="inlineStr">
        <is>
          <t>ACTIVOS FIJOS</t>
        </is>
      </c>
      <c r="P303" t="inlineStr">
        <is>
          <t>00</t>
        </is>
      </c>
      <c r="Q303" t="inlineStr">
        <is>
          <t>RECURSOS</t>
        </is>
      </c>
      <c r="R303" t="n">
        <v>0</v>
      </c>
      <c r="S303" t="n">
        <v>0</v>
      </c>
      <c r="T303" t="n">
        <v>0</v>
      </c>
      <c r="U303" t="n">
        <v>23900000</v>
      </c>
      <c r="V303" t="n">
        <v>0</v>
      </c>
      <c r="W303" t="n">
        <v>0</v>
      </c>
      <c r="X303" t="n">
        <v>0</v>
      </c>
      <c r="Y303" t="n">
        <v>23900000</v>
      </c>
      <c r="Z303" t="n">
        <v>23900000</v>
      </c>
      <c r="AA303" t="n">
        <v>23900000</v>
      </c>
      <c r="AB303" t="n">
        <v>12648000</v>
      </c>
      <c r="AC303" t="n">
        <v>12648000</v>
      </c>
      <c r="AD303" t="n">
        <v>0</v>
      </c>
      <c r="AE303" t="n">
        <v>100</v>
      </c>
    </row>
    <row r="304">
      <c r="A304" t="inlineStr">
        <is>
          <t>1 - ADMINISTRACIÓN CENTRAL</t>
        </is>
      </c>
      <c r="B304" t="inlineStr">
        <is>
          <t>00 - SIN SECTOR</t>
        </is>
      </c>
      <c r="C304" t="inlineStr">
        <is>
          <t>00</t>
        </is>
      </c>
      <c r="D304" t="inlineStr">
        <is>
          <t>0000</t>
        </is>
      </c>
      <c r="E304" t="inlineStr">
        <is>
          <t>000000</t>
        </is>
      </c>
      <c r="F304" t="inlineStr">
        <is>
          <t>SIN PRODUCTO</t>
        </is>
      </c>
      <c r="G304" t="inlineStr">
        <is>
          <t>00</t>
        </is>
      </c>
      <c r="H304" t="inlineStr">
        <is>
          <t>00</t>
        </is>
      </c>
      <c r="I304" t="inlineStr">
        <is>
          <t>00</t>
        </is>
      </c>
      <c r="J304" t="inlineStr">
        <is>
          <t>SIN PRODUCTO DANE</t>
        </is>
      </c>
      <c r="K304" t="inlineStr">
        <is>
          <t>00</t>
        </is>
      </c>
      <c r="L304" t="inlineStr">
        <is>
          <t>SIN ATRIBUTO</t>
        </is>
      </c>
      <c r="N304" t="inlineStr">
        <is>
          <t>2.3.2.01.01.003</t>
        </is>
      </c>
      <c r="O304" t="inlineStr">
        <is>
          <t>MAQUINARIA Y EQUIPO</t>
        </is>
      </c>
      <c r="P304" t="inlineStr">
        <is>
          <t>00</t>
        </is>
      </c>
      <c r="Q304" t="inlineStr">
        <is>
          <t>RECURSOS</t>
        </is>
      </c>
      <c r="R304" t="n">
        <v>0</v>
      </c>
      <c r="S304" t="n">
        <v>0</v>
      </c>
      <c r="T304" t="n">
        <v>0</v>
      </c>
      <c r="U304" t="n">
        <v>23900000</v>
      </c>
      <c r="V304" t="n">
        <v>0</v>
      </c>
      <c r="W304" t="n">
        <v>0</v>
      </c>
      <c r="X304" t="n">
        <v>0</v>
      </c>
      <c r="Y304" t="n">
        <v>23900000</v>
      </c>
      <c r="Z304" t="n">
        <v>23900000</v>
      </c>
      <c r="AA304" t="n">
        <v>23900000</v>
      </c>
      <c r="AB304" t="n">
        <v>12648000</v>
      </c>
      <c r="AC304" t="n">
        <v>12648000</v>
      </c>
      <c r="AD304" t="n">
        <v>0</v>
      </c>
      <c r="AE304" t="n">
        <v>100</v>
      </c>
    </row>
    <row r="305">
      <c r="A305" t="inlineStr">
        <is>
          <t>1 - ADMINISTRACIÓN CENTRAL</t>
        </is>
      </c>
      <c r="B305" t="inlineStr">
        <is>
          <t>00 - SIN SECTOR</t>
        </is>
      </c>
      <c r="C305" t="inlineStr">
        <is>
          <t>00</t>
        </is>
      </c>
      <c r="D305" t="inlineStr">
        <is>
          <t>0000</t>
        </is>
      </c>
      <c r="E305" t="inlineStr">
        <is>
          <t>000000</t>
        </is>
      </c>
      <c r="F305" t="inlineStr">
        <is>
          <t>SIN PRODUCTO</t>
        </is>
      </c>
      <c r="G305" t="inlineStr">
        <is>
          <t>00</t>
        </is>
      </c>
      <c r="H305" t="inlineStr">
        <is>
          <t>00</t>
        </is>
      </c>
      <c r="I305" t="inlineStr">
        <is>
          <t>00</t>
        </is>
      </c>
      <c r="J305" t="inlineStr">
        <is>
          <t>SIN PRODUCTO DANE</t>
        </is>
      </c>
      <c r="K305" t="inlineStr">
        <is>
          <t>00</t>
        </is>
      </c>
      <c r="L305" t="inlineStr">
        <is>
          <t>SIN ATRIBUTO</t>
        </is>
      </c>
      <c r="N305" t="inlineStr">
        <is>
          <t>2.3.2.01.01.003.03</t>
        </is>
      </c>
      <c r="O305" t="inlineStr">
        <is>
          <t>MAQUINARIA DE OFICINA CONTABILIDAD E INFORMATICA</t>
        </is>
      </c>
      <c r="P305" t="inlineStr">
        <is>
          <t>00</t>
        </is>
      </c>
      <c r="Q305" t="inlineStr">
        <is>
          <t>RECURSOS</t>
        </is>
      </c>
      <c r="R305" t="n">
        <v>0</v>
      </c>
      <c r="S305" t="n">
        <v>0</v>
      </c>
      <c r="T305" t="n">
        <v>0</v>
      </c>
      <c r="U305" t="n">
        <v>23900000</v>
      </c>
      <c r="V305" t="n">
        <v>0</v>
      </c>
      <c r="W305" t="n">
        <v>0</v>
      </c>
      <c r="X305" t="n">
        <v>0</v>
      </c>
      <c r="Y305" t="n">
        <v>23900000</v>
      </c>
      <c r="Z305" t="n">
        <v>23900000</v>
      </c>
      <c r="AA305" t="n">
        <v>23900000</v>
      </c>
      <c r="AB305" t="n">
        <v>12648000</v>
      </c>
      <c r="AC305" t="n">
        <v>12648000</v>
      </c>
      <c r="AD305" t="n">
        <v>0</v>
      </c>
      <c r="AE305" t="n">
        <v>100</v>
      </c>
    </row>
    <row r="306">
      <c r="A306" t="inlineStr">
        <is>
          <t>1 - ADMINISTRACIÓN CENTRAL</t>
        </is>
      </c>
      <c r="B306" t="inlineStr">
        <is>
          <t>00 - SIN SECTOR</t>
        </is>
      </c>
      <c r="C306" t="inlineStr">
        <is>
          <t>00</t>
        </is>
      </c>
      <c r="D306" t="inlineStr">
        <is>
          <t>0000</t>
        </is>
      </c>
      <c r="E306" t="inlineStr">
        <is>
          <t>000000</t>
        </is>
      </c>
      <c r="F306" t="inlineStr">
        <is>
          <t>SIN PRODUCTO</t>
        </is>
      </c>
      <c r="G306" t="inlineStr">
        <is>
          <t>00</t>
        </is>
      </c>
      <c r="H306" t="inlineStr">
        <is>
          <t>00</t>
        </is>
      </c>
      <c r="I306" t="inlineStr">
        <is>
          <t>00</t>
        </is>
      </c>
      <c r="J306" t="inlineStr">
        <is>
          <t>SIN PRODUCTO DANE</t>
        </is>
      </c>
      <c r="K306" t="inlineStr">
        <is>
          <t>00</t>
        </is>
      </c>
      <c r="L306" t="inlineStr">
        <is>
          <t>SIN ATRIBUTO</t>
        </is>
      </c>
      <c r="N306" t="inlineStr">
        <is>
          <t>2.3.2.01.01.003.03.02</t>
        </is>
      </c>
      <c r="O306" t="inlineStr">
        <is>
          <t>MAQUINARIA DE INFORMATICA  Y SUS PARTES PIEZAS Y ACCESORIOS</t>
        </is>
      </c>
      <c r="P306" t="inlineStr">
        <is>
          <t>00</t>
        </is>
      </c>
      <c r="Q306" t="inlineStr">
        <is>
          <t>RECURSOS</t>
        </is>
      </c>
      <c r="R306" t="n">
        <v>0</v>
      </c>
      <c r="S306" t="n">
        <v>0</v>
      </c>
      <c r="T306" t="n">
        <v>0</v>
      </c>
      <c r="U306" t="n">
        <v>23900000</v>
      </c>
      <c r="V306" t="n">
        <v>0</v>
      </c>
      <c r="W306" t="n">
        <v>0</v>
      </c>
      <c r="X306" t="n">
        <v>0</v>
      </c>
      <c r="Y306" t="n">
        <v>23900000</v>
      </c>
      <c r="Z306" t="n">
        <v>23900000</v>
      </c>
      <c r="AA306" t="n">
        <v>23900000</v>
      </c>
      <c r="AB306" t="n">
        <v>12648000</v>
      </c>
      <c r="AC306" t="n">
        <v>12648000</v>
      </c>
      <c r="AD306" t="n">
        <v>0</v>
      </c>
      <c r="AE306" t="n">
        <v>100</v>
      </c>
    </row>
    <row r="307">
      <c r="A307" t="inlineStr">
        <is>
          <t>1 - ADMINISTRACIÓN CENTRAL</t>
        </is>
      </c>
      <c r="B307" t="inlineStr">
        <is>
          <t>00 - SIN SECTOR</t>
        </is>
      </c>
      <c r="C307" t="inlineStr">
        <is>
          <t>00</t>
        </is>
      </c>
      <c r="D307" t="inlineStr">
        <is>
          <t>0000</t>
        </is>
      </c>
      <c r="E307" t="inlineStr">
        <is>
          <t>000000</t>
        </is>
      </c>
      <c r="F307" t="inlineStr">
        <is>
          <t>SIN PRODUCTO</t>
        </is>
      </c>
      <c r="G307" t="inlineStr">
        <is>
          <t>00</t>
        </is>
      </c>
      <c r="H307" t="inlineStr">
        <is>
          <t>00</t>
        </is>
      </c>
      <c r="I307" t="inlineStr">
        <is>
          <t>00</t>
        </is>
      </c>
      <c r="J307" t="inlineStr">
        <is>
          <t>SIN PRODUCTO DANE</t>
        </is>
      </c>
      <c r="K307" t="inlineStr">
        <is>
          <t>00</t>
        </is>
      </c>
      <c r="L307" t="inlineStr">
        <is>
          <t>SIN ATRIBUTO</t>
        </is>
      </c>
      <c r="N307" t="inlineStr">
        <is>
          <t>2.3.2.01.01.003.03.02.45</t>
        </is>
      </c>
      <c r="O307" t="inlineStr">
        <is>
          <t>GOBIERNO TERRITORIAL</t>
        </is>
      </c>
      <c r="P307" t="inlineStr">
        <is>
          <t>00</t>
        </is>
      </c>
      <c r="Q307" t="inlineStr">
        <is>
          <t>RECURSOS</t>
        </is>
      </c>
      <c r="R307" t="n">
        <v>0</v>
      </c>
      <c r="S307" t="n">
        <v>0</v>
      </c>
      <c r="T307" t="n">
        <v>0</v>
      </c>
      <c r="U307" t="n">
        <v>23900000</v>
      </c>
      <c r="V307" t="n">
        <v>0</v>
      </c>
      <c r="W307" t="n">
        <v>0</v>
      </c>
      <c r="X307" t="n">
        <v>0</v>
      </c>
      <c r="Y307" t="n">
        <v>23900000</v>
      </c>
      <c r="Z307" t="n">
        <v>23900000</v>
      </c>
      <c r="AA307" t="n">
        <v>23900000</v>
      </c>
      <c r="AB307" t="n">
        <v>12648000</v>
      </c>
      <c r="AC307" t="n">
        <v>12648000</v>
      </c>
      <c r="AD307" t="n">
        <v>0</v>
      </c>
      <c r="AE307" t="n">
        <v>100</v>
      </c>
    </row>
    <row r="308">
      <c r="A308" t="inlineStr">
        <is>
          <t>1 - ADMINISTRACIÓN CENTRAL</t>
        </is>
      </c>
      <c r="B308" t="inlineStr">
        <is>
          <t>45 - GOBIERNO TERRITORIAL</t>
        </is>
      </c>
      <c r="C308" t="inlineStr">
        <is>
          <t>1000</t>
        </is>
      </c>
      <c r="D308" t="inlineStr">
        <is>
          <t>4599</t>
        </is>
      </c>
      <c r="E308" t="inlineStr">
        <is>
          <t>4599007</t>
        </is>
      </c>
      <c r="F308" t="inlineStr">
        <is>
          <t>SERVICIOS TECNOLÓGICOS</t>
        </is>
      </c>
      <c r="G308" t="inlineStr">
        <is>
          <t>2024546600075</t>
        </is>
      </c>
      <c r="H308" t="inlineStr">
        <is>
          <t>FORTALECIMIENTO A LA GESTIÓN Y DIRECCIÓN DE LA ADMINISTRACIÓN PÚBLICA TERRITORIAL PDM UNIDOS SOMOS MÁS EN EL MUNICIPIO DE  SALAZAR</t>
        </is>
      </c>
      <c r="I308" t="inlineStr">
        <is>
          <t>00</t>
        </is>
      </c>
      <c r="J308" t="inlineStr">
        <is>
          <t>SIN PRODUCTO DANE</t>
        </is>
      </c>
      <c r="K308" t="inlineStr">
        <is>
          <t>00</t>
        </is>
      </c>
      <c r="L308" t="inlineStr">
        <is>
          <t>SIN ATRIBUTO</t>
        </is>
      </c>
      <c r="N308" t="inlineStr">
        <is>
          <t>2.3.2.01.01.003.03.02.45.01</t>
        </is>
      </c>
      <c r="O308" t="inlineStr">
        <is>
          <t>Servicios teconologicos</t>
        </is>
      </c>
      <c r="P308" t="inlineStr">
        <is>
          <t>360</t>
        </is>
      </c>
      <c r="Q308" t="inlineStr">
        <is>
          <t>SGP PROPOSITO GENERAL 42 POR CIENTO RECURSOS LIBRE DESTINACION SGP PROPOSITO GENERAL MPIOS DE CATEGORIA 4 5 Y 6 SGP ONCE</t>
        </is>
      </c>
      <c r="R308" t="n">
        <v>0</v>
      </c>
      <c r="S308" t="n">
        <v>0</v>
      </c>
      <c r="T308" t="n">
        <v>0</v>
      </c>
      <c r="U308" t="n">
        <v>23900000</v>
      </c>
      <c r="V308" t="n">
        <v>0</v>
      </c>
      <c r="W308" t="n">
        <v>0</v>
      </c>
      <c r="X308" t="n">
        <v>0</v>
      </c>
      <c r="Y308" t="n">
        <v>23900000</v>
      </c>
      <c r="Z308" t="n">
        <v>23900000</v>
      </c>
      <c r="AA308" t="n">
        <v>23900000</v>
      </c>
      <c r="AB308" t="n">
        <v>12648000</v>
      </c>
      <c r="AC308" t="n">
        <v>12648000</v>
      </c>
      <c r="AD308" t="n">
        <v>0</v>
      </c>
      <c r="AE308" t="n">
        <v>100</v>
      </c>
    </row>
    <row r="309">
      <c r="A309" t="inlineStr">
        <is>
          <t>1 - ADMINISTRACIÓN CENTRAL</t>
        </is>
      </c>
      <c r="B309" t="inlineStr">
        <is>
          <t>00 - SIN SECTOR</t>
        </is>
      </c>
      <c r="C309" t="inlineStr">
        <is>
          <t>00</t>
        </is>
      </c>
      <c r="D309" t="inlineStr">
        <is>
          <t>0000</t>
        </is>
      </c>
      <c r="E309" t="inlineStr">
        <is>
          <t>000000</t>
        </is>
      </c>
      <c r="F309" t="inlineStr">
        <is>
          <t>SIN PRODUCTO</t>
        </is>
      </c>
      <c r="G309" t="inlineStr">
        <is>
          <t>00</t>
        </is>
      </c>
      <c r="H309" t="inlineStr">
        <is>
          <t>00</t>
        </is>
      </c>
      <c r="I309" t="inlineStr">
        <is>
          <t>00</t>
        </is>
      </c>
      <c r="J309" t="inlineStr">
        <is>
          <t>SIN PRODUCTO DANE</t>
        </is>
      </c>
      <c r="K309" t="inlineStr">
        <is>
          <t>00</t>
        </is>
      </c>
      <c r="L309" t="inlineStr">
        <is>
          <t>SIN ATRIBUTO</t>
        </is>
      </c>
      <c r="N309" t="inlineStr">
        <is>
          <t>2.3.2.01.03</t>
        </is>
      </c>
      <c r="O309" t="inlineStr">
        <is>
          <t>ACTIVOS NO PRODUCIDOS</t>
        </is>
      </c>
      <c r="P309" t="inlineStr">
        <is>
          <t>00</t>
        </is>
      </c>
      <c r="Q309" t="inlineStr">
        <is>
          <t>RECURSOS</t>
        </is>
      </c>
      <c r="R309" t="n">
        <v>137458000</v>
      </c>
      <c r="S309" t="n">
        <v>14217098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151675098</v>
      </c>
      <c r="Z309" t="n">
        <v>0</v>
      </c>
      <c r="AA309" t="n">
        <v>0</v>
      </c>
      <c r="AB309" t="n">
        <v>0</v>
      </c>
      <c r="AC309" t="n">
        <v>0</v>
      </c>
      <c r="AD309" t="n">
        <v>151675098</v>
      </c>
      <c r="AE309" t="n">
        <v>0</v>
      </c>
    </row>
    <row r="310">
      <c r="A310" t="inlineStr">
        <is>
          <t>1 - ADMINISTRACIÓN CENTRAL</t>
        </is>
      </c>
      <c r="B310" t="inlineStr">
        <is>
          <t>00 - SIN SECTOR</t>
        </is>
      </c>
      <c r="C310" t="inlineStr">
        <is>
          <t>00</t>
        </is>
      </c>
      <c r="D310" t="inlineStr">
        <is>
          <t>0000</t>
        </is>
      </c>
      <c r="E310" t="inlineStr">
        <is>
          <t>000000</t>
        </is>
      </c>
      <c r="F310" t="inlineStr">
        <is>
          <t>SIN PRODUCTO</t>
        </is>
      </c>
      <c r="G310" t="inlineStr">
        <is>
          <t>00</t>
        </is>
      </c>
      <c r="H310" t="inlineStr">
        <is>
          <t>00</t>
        </is>
      </c>
      <c r="I310" t="inlineStr">
        <is>
          <t>00</t>
        </is>
      </c>
      <c r="J310" t="inlineStr">
        <is>
          <t>SIN PRODUCTO DANE</t>
        </is>
      </c>
      <c r="K310" t="inlineStr">
        <is>
          <t>00</t>
        </is>
      </c>
      <c r="L310" t="inlineStr">
        <is>
          <t>SIN ATRIBUTO</t>
        </is>
      </c>
      <c r="N310" t="inlineStr">
        <is>
          <t>2.3.2.01.03.001</t>
        </is>
      </c>
      <c r="O310" t="inlineStr">
        <is>
          <t>TIERRAS Y TERRENOS</t>
        </is>
      </c>
      <c r="P310" t="inlineStr">
        <is>
          <t>00</t>
        </is>
      </c>
      <c r="Q310" t="inlineStr">
        <is>
          <t>RECURSOS</t>
        </is>
      </c>
      <c r="R310" t="n">
        <v>137458000</v>
      </c>
      <c r="S310" t="n">
        <v>14217098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151675098</v>
      </c>
      <c r="Z310" t="n">
        <v>0</v>
      </c>
      <c r="AA310" t="n">
        <v>0</v>
      </c>
      <c r="AB310" t="n">
        <v>0</v>
      </c>
      <c r="AC310" t="n">
        <v>0</v>
      </c>
      <c r="AD310" t="n">
        <v>151675098</v>
      </c>
      <c r="AE310" t="n">
        <v>0</v>
      </c>
    </row>
    <row r="311">
      <c r="A311" t="inlineStr">
        <is>
          <t>1 - ADMINISTRACIÓN CENTRAL</t>
        </is>
      </c>
      <c r="B311" t="inlineStr">
        <is>
          <t>00 - SIN SECTOR</t>
        </is>
      </c>
      <c r="C311" t="inlineStr">
        <is>
          <t>00</t>
        </is>
      </c>
      <c r="D311" t="inlineStr">
        <is>
          <t>0000</t>
        </is>
      </c>
      <c r="E311" t="inlineStr">
        <is>
          <t>000000</t>
        </is>
      </c>
      <c r="F311" t="inlineStr">
        <is>
          <t>SIN PRODUCTO</t>
        </is>
      </c>
      <c r="G311" t="inlineStr">
        <is>
          <t>00</t>
        </is>
      </c>
      <c r="H311" t="inlineStr">
        <is>
          <t>00</t>
        </is>
      </c>
      <c r="I311" t="inlineStr">
        <is>
          <t>00</t>
        </is>
      </c>
      <c r="J311" t="inlineStr">
        <is>
          <t>SIN PRODUCTO DANE</t>
        </is>
      </c>
      <c r="K311" t="inlineStr">
        <is>
          <t>00</t>
        </is>
      </c>
      <c r="L311" t="inlineStr">
        <is>
          <t>SIN ATRIBUTO</t>
        </is>
      </c>
      <c r="N311" t="inlineStr">
        <is>
          <t>2.3.2.01.03.001.32</t>
        </is>
      </c>
      <c r="O311" t="inlineStr">
        <is>
          <t>AMBIENTE Y DESARROLLO SOSTENIBLE</t>
        </is>
      </c>
      <c r="P311" t="inlineStr">
        <is>
          <t>00</t>
        </is>
      </c>
      <c r="Q311" t="inlineStr">
        <is>
          <t>RECURSOS</t>
        </is>
      </c>
      <c r="R311" t="n">
        <v>137458000</v>
      </c>
      <c r="S311" t="n">
        <v>14217098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151675098</v>
      </c>
      <c r="Z311" t="n">
        <v>0</v>
      </c>
      <c r="AA311" t="n">
        <v>0</v>
      </c>
      <c r="AB311" t="n">
        <v>0</v>
      </c>
      <c r="AC311" t="n">
        <v>0</v>
      </c>
      <c r="AD311" t="n">
        <v>151675098</v>
      </c>
      <c r="AE311" t="n">
        <v>0</v>
      </c>
    </row>
    <row r="312">
      <c r="A312" t="inlineStr">
        <is>
          <t>1 - ADMINISTRACIÓN CENTRAL</t>
        </is>
      </c>
      <c r="B312" t="inlineStr">
        <is>
          <t>32 - AMBIENTE Y DESARROLLO SOSTENIBLE</t>
        </is>
      </c>
      <c r="C312" t="inlineStr">
        <is>
          <t>0900</t>
        </is>
      </c>
      <c r="D312" t="inlineStr">
        <is>
          <t>3202</t>
        </is>
      </c>
      <c r="E312" t="inlineStr">
        <is>
          <t>3202005</t>
        </is>
      </c>
      <c r="F312" t="inlineStr">
        <is>
          <t>SERVICIO DE RESTAURACIÓN DE ECOSISTEMAS</t>
        </is>
      </c>
      <c r="G312" t="inlineStr">
        <is>
          <t>2024546600058</t>
        </is>
      </c>
      <c r="H312" t="inlineStr">
        <is>
          <t>CONSERVACIÓN DE LA BIODIVERSIDAD Y SUS SERVICIOS ECOSISTÉMICOS PDM UNIDOS SOMOS MÁS EN EL MUNICIPIO DE  SALAZAR</t>
        </is>
      </c>
      <c r="I312" t="inlineStr">
        <is>
          <t>00</t>
        </is>
      </c>
      <c r="J312" t="inlineStr">
        <is>
          <t>SIN PRODUCTO DANE</t>
        </is>
      </c>
      <c r="K312" t="inlineStr">
        <is>
          <t>00</t>
        </is>
      </c>
      <c r="L312" t="inlineStr">
        <is>
          <t>SIN ATRIBUTO</t>
        </is>
      </c>
      <c r="N312" t="inlineStr">
        <is>
          <t>2.3.2.01.03.001.32.01</t>
        </is>
      </c>
      <c r="O312" t="inlineStr">
        <is>
          <t>Adquisición de áreas estratégicas</t>
        </is>
      </c>
      <c r="P312" t="inlineStr">
        <is>
          <t>100</t>
        </is>
      </c>
      <c r="Q312" t="inlineStr">
        <is>
          <t>INGRESOS CORRIENTES DE LIBRE DESTINACION EXCEPTO EL 42% DE LIBRE DESTINACIÓN DE PROPOSITO GENERAL DE MPIOS DE CATEGORIA</t>
        </is>
      </c>
      <c r="R312" t="n">
        <v>37358000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37358000</v>
      </c>
      <c r="Z312" t="n">
        <v>0</v>
      </c>
      <c r="AA312" t="n">
        <v>0</v>
      </c>
      <c r="AB312" t="n">
        <v>0</v>
      </c>
      <c r="AC312" t="n">
        <v>0</v>
      </c>
      <c r="AD312" t="n">
        <v>37358000</v>
      </c>
      <c r="AE312" t="n">
        <v>0</v>
      </c>
    </row>
    <row r="313">
      <c r="A313" t="inlineStr">
        <is>
          <t>1 - ADMINISTRACIÓN CENTRAL</t>
        </is>
      </c>
      <c r="B313" t="inlineStr">
        <is>
          <t>32 - AMBIENTE Y DESARROLLO SOSTENIBLE</t>
        </is>
      </c>
      <c r="C313" t="inlineStr">
        <is>
          <t>0900</t>
        </is>
      </c>
      <c r="D313" t="inlineStr">
        <is>
          <t>3202</t>
        </is>
      </c>
      <c r="E313" t="inlineStr">
        <is>
          <t>3202005</t>
        </is>
      </c>
      <c r="F313" t="inlineStr">
        <is>
          <t>SERVICIO DE RESTAURACIÓN DE ECOSISTEMAS</t>
        </is>
      </c>
      <c r="G313" t="inlineStr">
        <is>
          <t>2024546600058</t>
        </is>
      </c>
      <c r="H313" t="inlineStr">
        <is>
          <t>CONSERVACIÓN DE LA BIODIVERSIDAD Y SUS SERVICIOS ECOSISTÉMICOS PDM UNIDOS SOMOS MÁS EN EL MUNICIPIO DE  SALAZAR</t>
        </is>
      </c>
      <c r="I313" t="inlineStr">
        <is>
          <t>00</t>
        </is>
      </c>
      <c r="J313" t="inlineStr">
        <is>
          <t>SIN PRODUCTO DANE</t>
        </is>
      </c>
      <c r="K313" t="inlineStr">
        <is>
          <t>00</t>
        </is>
      </c>
      <c r="L313" t="inlineStr">
        <is>
          <t>SIN ATRIBUTO</t>
        </is>
      </c>
      <c r="N313" t="inlineStr">
        <is>
          <t>2.3.2.01.03.001.32.02</t>
        </is>
      </c>
      <c r="O313" t="inlineStr">
        <is>
          <t>Adquisición de áreas estratégicas</t>
        </is>
      </c>
      <c r="P313" t="inlineStr">
        <is>
          <t>420</t>
        </is>
      </c>
      <c r="Q313" t="inlineStr">
        <is>
          <t>SGP PROPOSITO GENERAL FORZOSA INVERSION LIBRE INVERSIÓN SGP ONCE DOCEAVAS VIGENCIA ACTUAL MAS ULTIMA DOCEAVA VIGENCIA AN</t>
        </is>
      </c>
      <c r="R313" t="n">
        <v>100000000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100000000</v>
      </c>
      <c r="Z313" t="n">
        <v>0</v>
      </c>
      <c r="AA313" t="n">
        <v>0</v>
      </c>
      <c r="AB313" t="n">
        <v>0</v>
      </c>
      <c r="AC313" t="n">
        <v>0</v>
      </c>
      <c r="AD313" t="n">
        <v>100000000</v>
      </c>
      <c r="AE313" t="n">
        <v>0</v>
      </c>
    </row>
    <row r="314">
      <c r="A314" t="inlineStr">
        <is>
          <t>1 - ADMINISTRACIÓN CENTRAL</t>
        </is>
      </c>
      <c r="B314" t="inlineStr">
        <is>
          <t>32 - AMBIENTE Y DESARROLLO SOSTENIBLE</t>
        </is>
      </c>
      <c r="C314" t="inlineStr">
        <is>
          <t>0900</t>
        </is>
      </c>
      <c r="D314" t="inlineStr">
        <is>
          <t>3202</t>
        </is>
      </c>
      <c r="E314" t="inlineStr">
        <is>
          <t>3202005</t>
        </is>
      </c>
      <c r="F314" t="inlineStr">
        <is>
          <t>SERVICIO DE RESTAURACIÓN DE ECOSISTEMAS</t>
        </is>
      </c>
      <c r="G314" t="inlineStr">
        <is>
          <t>2024546600058</t>
        </is>
      </c>
      <c r="H314" t="inlineStr">
        <is>
          <t>CONSERVACIÓN DE LA BIODIVERSIDAD Y SUS SERVICIOS ECOSISTÉMICOS PDM UNIDOS SOMOS MÁS EN EL MUNICIPIO DE  SALAZAR</t>
        </is>
      </c>
      <c r="I314" t="inlineStr">
        <is>
          <t>00</t>
        </is>
      </c>
      <c r="J314" t="inlineStr">
        <is>
          <t>SIN PRODUCTO DANE</t>
        </is>
      </c>
      <c r="K314" t="inlineStr">
        <is>
          <t>00</t>
        </is>
      </c>
      <c r="L314" t="inlineStr">
        <is>
          <t>SIN ATRIBUTO</t>
        </is>
      </c>
      <c r="N314" t="inlineStr">
        <is>
          <t>2.3.2.01.03.001.32.03</t>
        </is>
      </c>
      <c r="O314" t="inlineStr">
        <is>
          <t>Adquisición de áreas estratégicas</t>
        </is>
      </c>
      <c r="P314" t="inlineStr">
        <is>
          <t>670.20</t>
        </is>
      </c>
      <c r="Q314" t="inlineStr">
        <is>
          <t>REND. FCROS. COMPRA DE AREAS ESTRATEGICAS</t>
        </is>
      </c>
      <c r="R314" t="n">
        <v>100000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100000</v>
      </c>
      <c r="Z314" t="n">
        <v>0</v>
      </c>
      <c r="AA314" t="n">
        <v>0</v>
      </c>
      <c r="AB314" t="n">
        <v>0</v>
      </c>
      <c r="AC314" t="n">
        <v>0</v>
      </c>
      <c r="AD314" t="n">
        <v>100000</v>
      </c>
      <c r="AE314" t="n">
        <v>0</v>
      </c>
    </row>
    <row r="315">
      <c r="A315" t="inlineStr">
        <is>
          <t>1 - ADMINISTRACIÓN CENTRAL</t>
        </is>
      </c>
      <c r="B315" t="inlineStr">
        <is>
          <t>32 - AMBIENTE Y DESARROLLO SOSTENIBLE</t>
        </is>
      </c>
      <c r="C315" t="inlineStr">
        <is>
          <t>0900</t>
        </is>
      </c>
      <c r="D315" t="inlineStr">
        <is>
          <t>3202</t>
        </is>
      </c>
      <c r="E315" t="inlineStr">
        <is>
          <t>3202005</t>
        </is>
      </c>
      <c r="F315" t="inlineStr">
        <is>
          <t>SERVICIO DE RESTAURACIÓN DE ECOSISTEMAS</t>
        </is>
      </c>
      <c r="G315" t="inlineStr">
        <is>
          <t>2024546600058</t>
        </is>
      </c>
      <c r="H315" t="inlineStr">
        <is>
          <t>CONSERVACIÓN DE LA BIODIVERSIDAD Y SUS SERVICIOS ECOSISTÉMICOS PDM UNIDOS SOMOS MÁS EN EL MUNICIPIO DE  SALAZAR</t>
        </is>
      </c>
      <c r="I315" t="inlineStr">
        <is>
          <t>00</t>
        </is>
      </c>
      <c r="J315" t="inlineStr">
        <is>
          <t>SIN PRODUCTO DANE</t>
        </is>
      </c>
      <c r="K315" t="inlineStr">
        <is>
          <t>00</t>
        </is>
      </c>
      <c r="L315" t="inlineStr">
        <is>
          <t>SIN ATRIBUTO</t>
        </is>
      </c>
      <c r="N315" t="inlineStr">
        <is>
          <t>2.3.2.01.03.001.32.04</t>
        </is>
      </c>
      <c r="O315" t="inlineStr">
        <is>
          <t>Adquisición de áreas estratégicas</t>
        </is>
      </c>
      <c r="P315" t="inlineStr">
        <is>
          <t>100.1</t>
        </is>
      </c>
      <c r="Q315" t="inlineStr">
        <is>
          <t>RECURSOS PROPIOS RB</t>
        </is>
      </c>
      <c r="R315" t="n">
        <v>0</v>
      </c>
      <c r="S315" t="n">
        <v>14150280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14150280</v>
      </c>
      <c r="Z315" t="n">
        <v>0</v>
      </c>
      <c r="AA315" t="n">
        <v>0</v>
      </c>
      <c r="AB315" t="n">
        <v>0</v>
      </c>
      <c r="AC315" t="n">
        <v>0</v>
      </c>
      <c r="AD315" t="n">
        <v>14150280</v>
      </c>
      <c r="AE315" t="n">
        <v>0</v>
      </c>
    </row>
    <row r="316">
      <c r="A316" t="inlineStr">
        <is>
          <t>1 - ADMINISTRACIÓN CENTRAL</t>
        </is>
      </c>
      <c r="B316" t="inlineStr">
        <is>
          <t>32 - AMBIENTE Y DESARROLLO SOSTENIBLE</t>
        </is>
      </c>
      <c r="C316" t="inlineStr">
        <is>
          <t>0900</t>
        </is>
      </c>
      <c r="D316" t="inlineStr">
        <is>
          <t>3202</t>
        </is>
      </c>
      <c r="E316" t="inlineStr">
        <is>
          <t>3202005</t>
        </is>
      </c>
      <c r="F316" t="inlineStr">
        <is>
          <t>SERVICIO DE RESTAURACIÓN DE ECOSISTEMAS</t>
        </is>
      </c>
      <c r="G316" t="inlineStr">
        <is>
          <t>2024546600058</t>
        </is>
      </c>
      <c r="H316" t="inlineStr">
        <is>
          <t>CONSERVACIÓN DE LA BIODIVERSIDAD Y SUS SERVICIOS ECOSISTÉMICOS PDM UNIDOS SOMOS MÁS EN EL MUNICIPIO DE  SALAZAR</t>
        </is>
      </c>
      <c r="I316" t="inlineStr">
        <is>
          <t>00</t>
        </is>
      </c>
      <c r="J316" t="inlineStr">
        <is>
          <t>SIN PRODUCTO DANE</t>
        </is>
      </c>
      <c r="K316" t="inlineStr">
        <is>
          <t>00</t>
        </is>
      </c>
      <c r="L316" t="inlineStr">
        <is>
          <t>SIN ATRIBUTO</t>
        </is>
      </c>
      <c r="N316" t="inlineStr">
        <is>
          <t>2.3.2.01.03.001.32.05</t>
        </is>
      </c>
      <c r="O316" t="inlineStr">
        <is>
          <t>Adquisición de áreas estratégicas</t>
        </is>
      </c>
      <c r="P316" t="inlineStr">
        <is>
          <t>670.20.1</t>
        </is>
      </c>
      <c r="Q316" t="inlineStr">
        <is>
          <t>REND. FCROS. COMPRA DE AREAS ESTRATEGICAS RB</t>
        </is>
      </c>
      <c r="R316" t="n">
        <v>0</v>
      </c>
      <c r="S316" t="n">
        <v>66818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66818</v>
      </c>
      <c r="Z316" t="n">
        <v>0</v>
      </c>
      <c r="AA316" t="n">
        <v>0</v>
      </c>
      <c r="AB316" t="n">
        <v>0</v>
      </c>
      <c r="AC316" t="n">
        <v>0</v>
      </c>
      <c r="AD316" t="n">
        <v>66818</v>
      </c>
      <c r="AE316" t="n">
        <v>0</v>
      </c>
    </row>
    <row r="317">
      <c r="A317" t="inlineStr">
        <is>
          <t>1 - ADMINISTRACIÓN CENTRAL</t>
        </is>
      </c>
      <c r="B317" t="inlineStr">
        <is>
          <t>00 - SIN SECTOR</t>
        </is>
      </c>
      <c r="C317" t="inlineStr">
        <is>
          <t>00</t>
        </is>
      </c>
      <c r="D317" t="inlineStr">
        <is>
          <t>0000</t>
        </is>
      </c>
      <c r="E317" t="inlineStr">
        <is>
          <t>000000</t>
        </is>
      </c>
      <c r="F317" t="inlineStr">
        <is>
          <t>SIN PRODUCTO</t>
        </is>
      </c>
      <c r="G317" t="inlineStr">
        <is>
          <t>00</t>
        </is>
      </c>
      <c r="H317" t="inlineStr">
        <is>
          <t>00</t>
        </is>
      </c>
      <c r="I317" t="inlineStr">
        <is>
          <t>00</t>
        </is>
      </c>
      <c r="J317" t="inlineStr">
        <is>
          <t>SIN PRODUCTO DANE</t>
        </is>
      </c>
      <c r="K317" t="inlineStr">
        <is>
          <t>00</t>
        </is>
      </c>
      <c r="L317" t="inlineStr">
        <is>
          <t>SIN ATRIBUTO</t>
        </is>
      </c>
      <c r="N317" t="inlineStr">
        <is>
          <t>2.3.2.02</t>
        </is>
      </c>
      <c r="O317" t="inlineStr">
        <is>
          <t>Adquisiciones diferentes de activos</t>
        </is>
      </c>
      <c r="P317" t="inlineStr">
        <is>
          <t>00</t>
        </is>
      </c>
      <c r="Q317" t="inlineStr">
        <is>
          <t>RECURSOS</t>
        </is>
      </c>
      <c r="R317" t="n">
        <v>5254502350</v>
      </c>
      <c r="S317" t="n">
        <v>2146488110</v>
      </c>
      <c r="T317" t="n">
        <v>112478966</v>
      </c>
      <c r="U317" t="n">
        <v>421300000</v>
      </c>
      <c r="V317" t="n">
        <v>463016980</v>
      </c>
      <c r="W317" t="n">
        <v>0</v>
      </c>
      <c r="X317" t="n">
        <v>0</v>
      </c>
      <c r="Y317" t="n">
        <v>7246794514</v>
      </c>
      <c r="Z317" t="n">
        <v>3366245618.6</v>
      </c>
      <c r="AA317" t="n">
        <v>3044083434.71</v>
      </c>
      <c r="AB317" t="n">
        <v>1101291229.55</v>
      </c>
      <c r="AC317" t="n">
        <v>1101291229.55</v>
      </c>
      <c r="AD317" t="n">
        <v>3880548895.4</v>
      </c>
      <c r="AE317" t="n">
        <v>46.45</v>
      </c>
    </row>
    <row r="318">
      <c r="A318" t="inlineStr">
        <is>
          <t>1 - ADMINISTRACIÓN CENTRAL</t>
        </is>
      </c>
      <c r="B318" t="inlineStr">
        <is>
          <t>00 - SIN SECTOR</t>
        </is>
      </c>
      <c r="C318" t="inlineStr">
        <is>
          <t>00</t>
        </is>
      </c>
      <c r="D318" t="inlineStr">
        <is>
          <t>0000</t>
        </is>
      </c>
      <c r="E318" t="inlineStr">
        <is>
          <t>000000</t>
        </is>
      </c>
      <c r="F318" t="inlineStr">
        <is>
          <t>SIN PRODUCTO</t>
        </is>
      </c>
      <c r="G318" t="inlineStr">
        <is>
          <t>00</t>
        </is>
      </c>
      <c r="H318" t="inlineStr">
        <is>
          <t>00</t>
        </is>
      </c>
      <c r="I318" t="inlineStr">
        <is>
          <t>00</t>
        </is>
      </c>
      <c r="J318" t="inlineStr">
        <is>
          <t>SIN PRODUCTO DANE</t>
        </is>
      </c>
      <c r="K318" t="inlineStr">
        <is>
          <t>00</t>
        </is>
      </c>
      <c r="L318" t="inlineStr">
        <is>
          <t>SIN ATRIBUTO</t>
        </is>
      </c>
      <c r="N318" t="inlineStr">
        <is>
          <t>2.3.2.02.01</t>
        </is>
      </c>
      <c r="O318" t="inlineStr">
        <is>
          <t>MATERIALES Y SUMINISTROS</t>
        </is>
      </c>
      <c r="P318" t="inlineStr">
        <is>
          <t>00</t>
        </is>
      </c>
      <c r="Q318" t="inlineStr">
        <is>
          <t>RECURSOS</t>
        </is>
      </c>
      <c r="R318" t="n">
        <v>21698000</v>
      </c>
      <c r="S318" t="n">
        <v>19377353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41075353</v>
      </c>
      <c r="Z318" t="n">
        <v>6254113.6</v>
      </c>
      <c r="AA318" t="n">
        <v>0</v>
      </c>
      <c r="AB318" t="n">
        <v>0</v>
      </c>
      <c r="AC318" t="n">
        <v>0</v>
      </c>
      <c r="AD318" t="n">
        <v>34821239.4</v>
      </c>
      <c r="AE318" t="n">
        <v>15.23</v>
      </c>
    </row>
    <row r="319">
      <c r="A319" t="inlineStr">
        <is>
          <t>1 - ADMINISTRACIÓN CENTRAL</t>
        </is>
      </c>
      <c r="B319" t="inlineStr">
        <is>
          <t>00 - SIN SECTOR</t>
        </is>
      </c>
      <c r="C319" t="inlineStr">
        <is>
          <t>00</t>
        </is>
      </c>
      <c r="D319" t="inlineStr">
        <is>
          <t>0000</t>
        </is>
      </c>
      <c r="E319" t="inlineStr">
        <is>
          <t>000000</t>
        </is>
      </c>
      <c r="F319" t="inlineStr">
        <is>
          <t>SIN PRODUCTO</t>
        </is>
      </c>
      <c r="G319" t="inlineStr">
        <is>
          <t>00</t>
        </is>
      </c>
      <c r="H319" t="inlineStr">
        <is>
          <t>00</t>
        </is>
      </c>
      <c r="I319" t="inlineStr">
        <is>
          <t>00</t>
        </is>
      </c>
      <c r="J319" t="inlineStr">
        <is>
          <t>SIN PRODUCTO DANE</t>
        </is>
      </c>
      <c r="K319" t="inlineStr">
        <is>
          <t>00</t>
        </is>
      </c>
      <c r="L319" t="inlineStr">
        <is>
          <t>SIN ATRIBUTO</t>
        </is>
      </c>
      <c r="N319" t="inlineStr">
        <is>
          <t>2.3.2.02.01.004</t>
        </is>
      </c>
      <c r="O319" t="inlineStr">
        <is>
          <t>PRODUCTOS METALICOS, MAQUINARIA Y EQUIPO</t>
        </is>
      </c>
      <c r="P319" t="inlineStr">
        <is>
          <t>00</t>
        </is>
      </c>
      <c r="Q319" t="inlineStr">
        <is>
          <t>RECURSOS</t>
        </is>
      </c>
      <c r="R319" t="n">
        <v>21698000</v>
      </c>
      <c r="S319" t="n">
        <v>19377353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41075353</v>
      </c>
      <c r="Z319" t="n">
        <v>6254113.6</v>
      </c>
      <c r="AA319" t="n">
        <v>0</v>
      </c>
      <c r="AB319" t="n">
        <v>0</v>
      </c>
      <c r="AC319" t="n">
        <v>0</v>
      </c>
      <c r="AD319" t="n">
        <v>34821239.4</v>
      </c>
      <c r="AE319" t="n">
        <v>15.23</v>
      </c>
    </row>
    <row r="320">
      <c r="A320" t="inlineStr">
        <is>
          <t>1 - ADMINISTRACIÓN CENTRAL</t>
        </is>
      </c>
      <c r="B320" t="inlineStr">
        <is>
          <t>00 - SIN SECTOR</t>
        </is>
      </c>
      <c r="C320" t="inlineStr">
        <is>
          <t>00</t>
        </is>
      </c>
      <c r="D320" t="inlineStr">
        <is>
          <t>0000</t>
        </is>
      </c>
      <c r="E320" t="inlineStr">
        <is>
          <t>000000</t>
        </is>
      </c>
      <c r="F320" t="inlineStr">
        <is>
          <t>SIN PRODUCTO</t>
        </is>
      </c>
      <c r="G320" t="inlineStr">
        <is>
          <t>00</t>
        </is>
      </c>
      <c r="H320" t="inlineStr">
        <is>
          <t>00</t>
        </is>
      </c>
      <c r="I320" t="inlineStr">
        <is>
          <t>00</t>
        </is>
      </c>
      <c r="J320" t="inlineStr">
        <is>
          <t>SIN PRODUCTO DANE</t>
        </is>
      </c>
      <c r="K320" t="inlineStr">
        <is>
          <t>00</t>
        </is>
      </c>
      <c r="L320" t="inlineStr">
        <is>
          <t>SIN ATRIBUTO</t>
        </is>
      </c>
      <c r="N320" t="inlineStr">
        <is>
          <t>2.3.2.02.01.004.22</t>
        </is>
      </c>
      <c r="O320" t="inlineStr">
        <is>
          <t>SECTOR EDUCACION</t>
        </is>
      </c>
      <c r="P320" t="inlineStr">
        <is>
          <t>00</t>
        </is>
      </c>
      <c r="Q320" t="inlineStr">
        <is>
          <t>RECURSOS</t>
        </is>
      </c>
      <c r="R320" t="n">
        <v>21698000</v>
      </c>
      <c r="S320" t="n">
        <v>19377353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41075353</v>
      </c>
      <c r="Z320" t="n">
        <v>6254113.6</v>
      </c>
      <c r="AA320" t="n">
        <v>0</v>
      </c>
      <c r="AB320" t="n">
        <v>0</v>
      </c>
      <c r="AC320" t="n">
        <v>0</v>
      </c>
      <c r="AD320" t="n">
        <v>34821239.4</v>
      </c>
      <c r="AE320" t="n">
        <v>15.23</v>
      </c>
    </row>
    <row r="321">
      <c r="A321" t="inlineStr">
        <is>
          <t>1 - ADMINISTRACIÓN CENTRAL</t>
        </is>
      </c>
      <c r="B321" t="inlineStr">
        <is>
          <t>22 - EDUCACIÓN</t>
        </is>
      </c>
      <c r="C321" t="inlineStr">
        <is>
          <t>0700</t>
        </is>
      </c>
      <c r="D321" t="inlineStr">
        <is>
          <t>2201</t>
        </is>
      </c>
      <c r="E321" t="inlineStr">
        <is>
          <t>2201028</t>
        </is>
      </c>
      <c r="F321" t="inlineStr">
        <is>
          <t>SERVICIO DE APOYO A LA PERMANENCIA CON ALIMENTACIÓN ESCOLAR</t>
        </is>
      </c>
      <c r="G321" t="inlineStr">
        <is>
          <t>2024546600038</t>
        </is>
      </c>
      <c r="H321" t="inlineStr">
        <is>
          <t>FORTALECIMIENTO DE LA CALIDAD Y COBERTURA DE LA EDUCACION BASICA Y MEDA EN EL MUNICIPIO DE SALAZAR DE LAS PALMAS</t>
        </is>
      </c>
      <c r="I321" t="inlineStr">
        <is>
          <t>00</t>
        </is>
      </c>
      <c r="J321" t="inlineStr">
        <is>
          <t>SIN PRODUCTO DANE</t>
        </is>
      </c>
      <c r="K321" t="inlineStr">
        <is>
          <t>00</t>
        </is>
      </c>
      <c r="L321" t="inlineStr">
        <is>
          <t>SIN ATRIBUTO</t>
        </is>
      </c>
      <c r="N321" t="inlineStr">
        <is>
          <t>2.3.2.02.01.004.22.01</t>
        </is>
      </c>
      <c r="O321" t="inlineStr">
        <is>
          <t>Menaje para comedores escolares</t>
        </is>
      </c>
      <c r="P321" t="inlineStr">
        <is>
          <t>130</t>
        </is>
      </c>
      <c r="Q321" t="inlineStr">
        <is>
          <t>SGP ALIMENTACION ESCOLAR ONCE DOCEAVAS VIGENCIA ACTUAL MAS ULTIMA DOCEAVA VIGENCIA ANTERIOR</t>
        </is>
      </c>
      <c r="R321" t="n">
        <v>21698000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21698000</v>
      </c>
      <c r="Z321" t="n">
        <v>0</v>
      </c>
      <c r="AA321" t="n">
        <v>0</v>
      </c>
      <c r="AB321" t="n">
        <v>0</v>
      </c>
      <c r="AC321" t="n">
        <v>0</v>
      </c>
      <c r="AD321" t="n">
        <v>21698000</v>
      </c>
      <c r="AE321" t="n">
        <v>0</v>
      </c>
    </row>
    <row r="322">
      <c r="A322" t="inlineStr">
        <is>
          <t>1 - ADMINISTRACIÓN CENTRAL</t>
        </is>
      </c>
      <c r="B322" t="inlineStr">
        <is>
          <t>22 - EDUCACIÓN</t>
        </is>
      </c>
      <c r="C322" t="inlineStr">
        <is>
          <t>0700</t>
        </is>
      </c>
      <c r="D322" t="inlineStr">
        <is>
          <t>2201</t>
        </is>
      </c>
      <c r="E322" t="inlineStr">
        <is>
          <t>2201028</t>
        </is>
      </c>
      <c r="F322" t="inlineStr">
        <is>
          <t>SERVICIO DE APOYO A LA PERMANENCIA CON ALIMENTACIÓN ESCOLAR</t>
        </is>
      </c>
      <c r="G322" t="inlineStr">
        <is>
          <t>2024546600038</t>
        </is>
      </c>
      <c r="H322" t="inlineStr">
        <is>
          <t>FORTALECIMIENTO DE LA CALIDAD Y COBERTURA DE LA EDUCACION BASICA Y MEDA EN EL MUNICIPIO DE SALAZAR DE LAS PALMAS</t>
        </is>
      </c>
      <c r="I322" t="inlineStr">
        <is>
          <t>63399</t>
        </is>
      </c>
      <c r="J322" t="inlineStr">
        <is>
          <t>Otros servicios de suministro de comidas</t>
        </is>
      </c>
      <c r="K322" t="inlineStr">
        <is>
          <t>00</t>
        </is>
      </c>
      <c r="L322" t="inlineStr">
        <is>
          <t>SIN ATRIBUTO</t>
        </is>
      </c>
      <c r="N322" t="inlineStr">
        <is>
          <t>2.3.2.02.01.004.22.02</t>
        </is>
      </c>
      <c r="O322" t="inlineStr">
        <is>
          <t>Menaje para comedores escolares</t>
        </is>
      </c>
      <c r="P322" t="inlineStr">
        <is>
          <t>130.1</t>
        </is>
      </c>
      <c r="Q322" t="inlineStr">
        <is>
          <t>RB SGP ALIMENTACION ESCOLAR</t>
        </is>
      </c>
      <c r="R322" t="n">
        <v>0</v>
      </c>
      <c r="S322" t="n">
        <v>19377353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19377353</v>
      </c>
      <c r="Z322" t="n">
        <v>6254113.6</v>
      </c>
      <c r="AA322" t="n">
        <v>0</v>
      </c>
      <c r="AB322" t="n">
        <v>0</v>
      </c>
      <c r="AC322" t="n">
        <v>0</v>
      </c>
      <c r="AD322" t="n">
        <v>13123239.4</v>
      </c>
      <c r="AE322" t="n">
        <v>32.28</v>
      </c>
    </row>
    <row r="323">
      <c r="A323" t="inlineStr">
        <is>
          <t>1 - ADMINISTRACIÓN CENTRAL</t>
        </is>
      </c>
      <c r="B323" t="inlineStr">
        <is>
          <t>00 - SIN SECTOR</t>
        </is>
      </c>
      <c r="C323" t="inlineStr">
        <is>
          <t>00</t>
        </is>
      </c>
      <c r="D323" t="inlineStr">
        <is>
          <t>0000</t>
        </is>
      </c>
      <c r="E323" t="inlineStr">
        <is>
          <t>000000</t>
        </is>
      </c>
      <c r="F323" t="inlineStr">
        <is>
          <t>SIN PRODUCTO</t>
        </is>
      </c>
      <c r="G323" t="inlineStr">
        <is>
          <t>00</t>
        </is>
      </c>
      <c r="H323" t="inlineStr">
        <is>
          <t>00</t>
        </is>
      </c>
      <c r="I323" t="inlineStr">
        <is>
          <t>00</t>
        </is>
      </c>
      <c r="J323" t="inlineStr">
        <is>
          <t>SIN PRODUCTO DANE</t>
        </is>
      </c>
      <c r="K323" t="inlineStr">
        <is>
          <t>00</t>
        </is>
      </c>
      <c r="L323" t="inlineStr">
        <is>
          <t>SIN ATRIBUTO</t>
        </is>
      </c>
      <c r="N323" t="inlineStr">
        <is>
          <t>2.3.2.02.02</t>
        </is>
      </c>
      <c r="O323" t="inlineStr">
        <is>
          <t>ADQUISICION DE SERVICIOS</t>
        </is>
      </c>
      <c r="P323" t="inlineStr">
        <is>
          <t>00</t>
        </is>
      </c>
      <c r="Q323" t="inlineStr">
        <is>
          <t>RECURSOS</t>
        </is>
      </c>
      <c r="R323" t="n">
        <v>5232804350</v>
      </c>
      <c r="S323" t="n">
        <v>2127110757</v>
      </c>
      <c r="T323" t="n">
        <v>112478966</v>
      </c>
      <c r="U323" t="n">
        <v>421300000</v>
      </c>
      <c r="V323" t="n">
        <v>463016980</v>
      </c>
      <c r="W323" t="n">
        <v>0</v>
      </c>
      <c r="X323" t="n">
        <v>0</v>
      </c>
      <c r="Y323" t="n">
        <v>7205719161</v>
      </c>
      <c r="Z323" t="n">
        <v>3359991505</v>
      </c>
      <c r="AA323" t="n">
        <v>3044083434.71</v>
      </c>
      <c r="AB323" t="n">
        <v>1101291229.55</v>
      </c>
      <c r="AC323" t="n">
        <v>1101291229.55</v>
      </c>
      <c r="AD323" t="n">
        <v>3845727656</v>
      </c>
      <c r="AE323" t="n">
        <v>46.63</v>
      </c>
    </row>
    <row r="324">
      <c r="A324" t="inlineStr">
        <is>
          <t>1 - ADMINISTRACIÓN CENTRAL</t>
        </is>
      </c>
      <c r="B324" t="inlineStr">
        <is>
          <t>00 - SIN SECTOR</t>
        </is>
      </c>
      <c r="C324" t="inlineStr">
        <is>
          <t>00</t>
        </is>
      </c>
      <c r="D324" t="inlineStr">
        <is>
          <t>0000</t>
        </is>
      </c>
      <c r="E324" t="inlineStr">
        <is>
          <t>000000</t>
        </is>
      </c>
      <c r="F324" t="inlineStr">
        <is>
          <t>SIN PRODUCTO</t>
        </is>
      </c>
      <c r="G324" t="inlineStr">
        <is>
          <t>00</t>
        </is>
      </c>
      <c r="H324" t="inlineStr">
        <is>
          <t>00</t>
        </is>
      </c>
      <c r="I324" t="inlineStr">
        <is>
          <t>00</t>
        </is>
      </c>
      <c r="J324" t="inlineStr">
        <is>
          <t>SIN PRODUCTO DANE</t>
        </is>
      </c>
      <c r="K324" t="inlineStr">
        <is>
          <t>00</t>
        </is>
      </c>
      <c r="L324" t="inlineStr">
        <is>
          <t>SIN ATRIBUTO</t>
        </is>
      </c>
      <c r="N324" t="inlineStr">
        <is>
          <t>2.3.2.02.02.005</t>
        </is>
      </c>
      <c r="O324" t="inlineStr">
        <is>
          <t>CONSTRUCCION Y SERVICIOS DE LA CONSTRUCCION</t>
        </is>
      </c>
      <c r="P324" t="inlineStr">
        <is>
          <t>00</t>
        </is>
      </c>
      <c r="Q324" t="inlineStr">
        <is>
          <t>RECURSOS</t>
        </is>
      </c>
      <c r="R324" t="n">
        <v>2158341942</v>
      </c>
      <c r="S324" t="n">
        <v>620266770</v>
      </c>
      <c r="T324" t="n">
        <v>37228932</v>
      </c>
      <c r="U324" t="n">
        <v>0</v>
      </c>
      <c r="V324" t="n">
        <v>372601980</v>
      </c>
      <c r="W324" t="n">
        <v>0</v>
      </c>
      <c r="X324" t="n">
        <v>0</v>
      </c>
      <c r="Y324" t="n">
        <v>2368777800</v>
      </c>
      <c r="Z324" t="n">
        <v>175590053</v>
      </c>
      <c r="AA324" t="n">
        <v>110412102.8</v>
      </c>
      <c r="AB324" t="n">
        <v>60628862.8</v>
      </c>
      <c r="AC324" t="n">
        <v>60628862.8</v>
      </c>
      <c r="AD324" t="n">
        <v>2193187747</v>
      </c>
      <c r="AE324" t="n">
        <v>7.41</v>
      </c>
    </row>
    <row r="325">
      <c r="A325" t="inlineStr">
        <is>
          <t>1 - ADMINISTRACIÓN CENTRAL</t>
        </is>
      </c>
      <c r="B325" t="inlineStr">
        <is>
          <t>00 - SIN SECTOR</t>
        </is>
      </c>
      <c r="C325" t="inlineStr">
        <is>
          <t>00</t>
        </is>
      </c>
      <c r="D325" t="inlineStr">
        <is>
          <t>0000</t>
        </is>
      </c>
      <c r="E325" t="inlineStr">
        <is>
          <t>000000</t>
        </is>
      </c>
      <c r="F325" t="inlineStr">
        <is>
          <t>SIN PRODUCTO</t>
        </is>
      </c>
      <c r="G325" t="inlineStr">
        <is>
          <t>00</t>
        </is>
      </c>
      <c r="H325" t="inlineStr">
        <is>
          <t>00</t>
        </is>
      </c>
      <c r="I325" t="inlineStr">
        <is>
          <t>00</t>
        </is>
      </c>
      <c r="J325" t="inlineStr">
        <is>
          <t>SIN PRODUCTO DANE</t>
        </is>
      </c>
      <c r="K325" t="inlineStr">
        <is>
          <t>00</t>
        </is>
      </c>
      <c r="L325" t="inlineStr">
        <is>
          <t>SIN ATRIBUTO</t>
        </is>
      </c>
      <c r="N325" t="inlineStr">
        <is>
          <t>2.3.2.02.02.005.22</t>
        </is>
      </c>
      <c r="O325" t="inlineStr">
        <is>
          <t>EDUCACION</t>
        </is>
      </c>
      <c r="P325" t="inlineStr">
        <is>
          <t>00</t>
        </is>
      </c>
      <c r="Q325" t="inlineStr">
        <is>
          <t>RECURSOS</t>
        </is>
      </c>
      <c r="R325" t="n">
        <v>40000000</v>
      </c>
      <c r="S325" t="n">
        <v>59651657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99651657</v>
      </c>
      <c r="Z325" t="n">
        <v>0</v>
      </c>
      <c r="AA325" t="n">
        <v>0</v>
      </c>
      <c r="AB325" t="n">
        <v>0</v>
      </c>
      <c r="AC325" t="n">
        <v>0</v>
      </c>
      <c r="AD325" t="n">
        <v>99651657</v>
      </c>
      <c r="AE325" t="n">
        <v>0</v>
      </c>
    </row>
    <row r="326">
      <c r="A326" t="inlineStr">
        <is>
          <t>1 - ADMINISTRACIÓN CENTRAL</t>
        </is>
      </c>
      <c r="B326" t="inlineStr">
        <is>
          <t>22 - EDUCACIÓN</t>
        </is>
      </c>
      <c r="C326" t="inlineStr">
        <is>
          <t>0700</t>
        </is>
      </c>
      <c r="D326" t="inlineStr">
        <is>
          <t>2201</t>
        </is>
      </c>
      <c r="E326" t="inlineStr">
        <is>
          <t>2201052</t>
        </is>
      </c>
      <c r="F326" t="inlineStr">
        <is>
          <t>INFRAESTRUCTURA EDUCATIVA MEJORADA</t>
        </is>
      </c>
      <c r="G326" t="inlineStr">
        <is>
          <t>2024546600038</t>
        </is>
      </c>
      <c r="H326" t="inlineStr">
        <is>
          <t>FORTALECIMIENTO DE LA CALIDAD Y COBERTURA DE LA EDUCACION BASICA Y MEDA EN EL MUNICIPIO DE SALAZAR DE LAS PALMAS</t>
        </is>
      </c>
      <c r="I326" t="inlineStr">
        <is>
          <t>54129</t>
        </is>
      </c>
      <c r="J326" t="inlineStr">
        <is>
          <t>Servicios generales de construcción de otros edificios no residenciales</t>
        </is>
      </c>
      <c r="K326" t="inlineStr">
        <is>
          <t>00</t>
        </is>
      </c>
      <c r="L326" t="inlineStr">
        <is>
          <t>SIN ATRIBUTO</t>
        </is>
      </c>
      <c r="N326" t="inlineStr">
        <is>
          <t>2.3.2.02.02.005.22.01</t>
        </is>
      </c>
      <c r="O326" t="inlineStr">
        <is>
          <t>Mejoramiento de Infraestructura educativa</t>
        </is>
      </c>
      <c r="P326" t="inlineStr">
        <is>
          <t>420</t>
        </is>
      </c>
      <c r="Q326" t="inlineStr">
        <is>
          <t>SGP PROPOSITO GENERAL FORZOSA INVERSION LIBRE INVERSIÓN SGP ONCE DOCEAVAS VIGENCIA ACTUAL MAS ULTIMA DOCEAVA VIGENCIA AN</t>
        </is>
      </c>
      <c r="R326" t="n">
        <v>40000000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40000000</v>
      </c>
      <c r="Z326" t="n">
        <v>0</v>
      </c>
      <c r="AA326" t="n">
        <v>0</v>
      </c>
      <c r="AB326" t="n">
        <v>0</v>
      </c>
      <c r="AC326" t="n">
        <v>0</v>
      </c>
      <c r="AD326" t="n">
        <v>40000000</v>
      </c>
      <c r="AE326" t="n">
        <v>0</v>
      </c>
    </row>
    <row r="327">
      <c r="A327" t="inlineStr">
        <is>
          <t>1 - ADMINISTRACIÓN CENTRAL</t>
        </is>
      </c>
      <c r="B327" t="inlineStr">
        <is>
          <t>22 - EDUCACIÓN</t>
        </is>
      </c>
      <c r="C327" t="inlineStr">
        <is>
          <t>0700</t>
        </is>
      </c>
      <c r="D327" t="inlineStr">
        <is>
          <t>2201</t>
        </is>
      </c>
      <c r="E327" t="inlineStr">
        <is>
          <t>2201052</t>
        </is>
      </c>
      <c r="F327" t="inlineStr">
        <is>
          <t>INFRAESTRUCTURA EDUCATIVA MEJORADA</t>
        </is>
      </c>
      <c r="G327" t="inlineStr">
        <is>
          <t>2024546600038</t>
        </is>
      </c>
      <c r="H327" t="inlineStr">
        <is>
          <t>FORTALECIMIENTO DE LA CALIDAD Y COBERTURA DE LA EDUCACION BASICA Y MEDA EN EL MUNICIPIO DE SALAZAR DE LAS PALMAS</t>
        </is>
      </c>
      <c r="I327" t="inlineStr">
        <is>
          <t>53290</t>
        </is>
      </c>
      <c r="J327" t="inlineStr">
        <is>
          <t>Otras obras de ingeniería civil</t>
        </is>
      </c>
      <c r="K327" t="inlineStr">
        <is>
          <t>00</t>
        </is>
      </c>
      <c r="L327" t="inlineStr">
        <is>
          <t>SIN ATRIBUTO</t>
        </is>
      </c>
      <c r="N327" t="inlineStr">
        <is>
          <t>2.3.2.02.02.005.22.02</t>
        </is>
      </c>
      <c r="O327" t="inlineStr">
        <is>
          <t>Mejoramiento de Infraestructura educativa</t>
        </is>
      </c>
      <c r="P327" t="inlineStr">
        <is>
          <t>230.1</t>
        </is>
      </c>
      <c r="Q327" t="inlineStr">
        <is>
          <t>RB SGP EDUCACION CALIDAD</t>
        </is>
      </c>
      <c r="R327" t="n">
        <v>0</v>
      </c>
      <c r="S327" t="n">
        <v>7683287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7683287</v>
      </c>
      <c r="Z327" t="n">
        <v>0</v>
      </c>
      <c r="AA327" t="n">
        <v>0</v>
      </c>
      <c r="AB327" t="n">
        <v>0</v>
      </c>
      <c r="AC327" t="n">
        <v>0</v>
      </c>
      <c r="AD327" t="n">
        <v>7683287</v>
      </c>
      <c r="AE327" t="n">
        <v>0</v>
      </c>
    </row>
    <row r="328">
      <c r="A328" t="inlineStr">
        <is>
          <t>1 - ADMINISTRACIÓN CENTRAL</t>
        </is>
      </c>
      <c r="B328" t="inlineStr">
        <is>
          <t>22 - EDUCACIÓN</t>
        </is>
      </c>
      <c r="C328" t="inlineStr">
        <is>
          <t>0700</t>
        </is>
      </c>
      <c r="D328" t="inlineStr">
        <is>
          <t>2201</t>
        </is>
      </c>
      <c r="E328" t="inlineStr">
        <is>
          <t>2201052</t>
        </is>
      </c>
      <c r="F328" t="inlineStr">
        <is>
          <t>INFRAESTRUCTURA EDUCATIVA MEJORADA</t>
        </is>
      </c>
      <c r="G328" t="inlineStr">
        <is>
          <t>2024546600038</t>
        </is>
      </c>
      <c r="H328" t="inlineStr">
        <is>
          <t>FORTALECIMIENTO DE LA CALIDAD Y COBERTURA DE LA EDUCACION BASICA Y MEDA EN EL MUNICIPIO DE SALAZAR DE LAS PALMAS</t>
        </is>
      </c>
      <c r="I328" t="inlineStr">
        <is>
          <t>53290</t>
        </is>
      </c>
      <c r="J328" t="inlineStr">
        <is>
          <t>Otras obras de ingeniería civil</t>
        </is>
      </c>
      <c r="K328" t="inlineStr">
        <is>
          <t>00</t>
        </is>
      </c>
      <c r="L328" t="inlineStr">
        <is>
          <t>SIN ATRIBUTO</t>
        </is>
      </c>
      <c r="N328" t="inlineStr">
        <is>
          <t>2.3.2.02.02.005.22.03</t>
        </is>
      </c>
      <c r="O328" t="inlineStr">
        <is>
          <t>Mejoramiento de Infraestructura educativa</t>
        </is>
      </c>
      <c r="P328" t="inlineStr">
        <is>
          <t>410</t>
        </is>
      </c>
      <c r="Q328" t="inlineStr">
        <is>
          <t>SGP PROPOSITO GENERAL FORZOSA INVERSION LIBRE INVERSIÓN SALDOS NO EJECUTADOS NI INCORPORADOS VIGENCIAS ANTERIORES Y REIN</t>
        </is>
      </c>
      <c r="R328" t="n">
        <v>0</v>
      </c>
      <c r="S328" t="n">
        <v>49439982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49439982</v>
      </c>
      <c r="Z328" t="n">
        <v>0</v>
      </c>
      <c r="AA328" t="n">
        <v>0</v>
      </c>
      <c r="AB328" t="n">
        <v>0</v>
      </c>
      <c r="AC328" t="n">
        <v>0</v>
      </c>
      <c r="AD328" t="n">
        <v>49439982</v>
      </c>
      <c r="AE328" t="n">
        <v>0</v>
      </c>
    </row>
    <row r="329">
      <c r="A329" t="inlineStr">
        <is>
          <t>1 - ADMINISTRACIÓN CENTRAL</t>
        </is>
      </c>
      <c r="B329" t="inlineStr">
        <is>
          <t>22 - EDUCACIÓN</t>
        </is>
      </c>
      <c r="C329" t="inlineStr">
        <is>
          <t>0700</t>
        </is>
      </c>
      <c r="D329" t="inlineStr">
        <is>
          <t>2201</t>
        </is>
      </c>
      <c r="E329" t="inlineStr">
        <is>
          <t>2201052</t>
        </is>
      </c>
      <c r="F329" t="inlineStr">
        <is>
          <t>INFRAESTRUCTURA EDUCATIVA MEJORADA</t>
        </is>
      </c>
      <c r="G329" t="inlineStr">
        <is>
          <t>2024546600038</t>
        </is>
      </c>
      <c r="H329" t="inlineStr">
        <is>
          <t>FORTALECIMIENTO DE LA CALIDAD Y COBERTURA DE LA EDUCACION BASICA Y MEDA EN EL MUNICIPIO DE SALAZAR DE LAS PALMAS</t>
        </is>
      </c>
      <c r="I329" t="inlineStr">
        <is>
          <t>53290</t>
        </is>
      </c>
      <c r="J329" t="inlineStr">
        <is>
          <t>Otras obras de ingeniería civil</t>
        </is>
      </c>
      <c r="K329" t="inlineStr">
        <is>
          <t>00</t>
        </is>
      </c>
      <c r="L329" t="inlineStr">
        <is>
          <t>SIN ATRIBUTO</t>
        </is>
      </c>
      <c r="N329" t="inlineStr">
        <is>
          <t>2.3.2.02.02.005.22.03</t>
        </is>
      </c>
      <c r="O329" t="inlineStr">
        <is>
          <t>Mejoramiento de Infraestructura educativa</t>
        </is>
      </c>
      <c r="P329" t="inlineStr">
        <is>
          <t>240.1</t>
        </is>
      </c>
      <c r="Q329" t="inlineStr">
        <is>
          <t>SGP EDUCACION RENDIMIENTOS FINANCIEROS RB</t>
        </is>
      </c>
      <c r="R329" t="n">
        <v>0</v>
      </c>
      <c r="S329" t="n">
        <v>2528388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2528388</v>
      </c>
      <c r="Z329" t="n">
        <v>0</v>
      </c>
      <c r="AA329" t="n">
        <v>0</v>
      </c>
      <c r="AB329" t="n">
        <v>0</v>
      </c>
      <c r="AC329" t="n">
        <v>0</v>
      </c>
      <c r="AD329" t="n">
        <v>2528388</v>
      </c>
      <c r="AE329" t="n">
        <v>0</v>
      </c>
    </row>
    <row r="330">
      <c r="A330" t="inlineStr">
        <is>
          <t>1 - ADMINISTRACIÓN CENTRAL</t>
        </is>
      </c>
      <c r="B330" t="inlineStr">
        <is>
          <t>00 - SIN SECTOR</t>
        </is>
      </c>
      <c r="C330" t="inlineStr">
        <is>
          <t>00</t>
        </is>
      </c>
      <c r="D330" t="inlineStr">
        <is>
          <t>0000</t>
        </is>
      </c>
      <c r="E330" t="inlineStr">
        <is>
          <t>000000</t>
        </is>
      </c>
      <c r="F330" t="inlineStr">
        <is>
          <t>SIN PRODUCTO</t>
        </is>
      </c>
      <c r="G330" t="inlineStr">
        <is>
          <t>00</t>
        </is>
      </c>
      <c r="H330" t="inlineStr">
        <is>
          <t>00</t>
        </is>
      </c>
      <c r="I330" t="inlineStr">
        <is>
          <t>00</t>
        </is>
      </c>
      <c r="J330" t="inlineStr">
        <is>
          <t>SIN PRODUCTO DANE</t>
        </is>
      </c>
      <c r="K330" t="inlineStr">
        <is>
          <t>00</t>
        </is>
      </c>
      <c r="L330" t="inlineStr">
        <is>
          <t>SIN ATRIBUTO</t>
        </is>
      </c>
      <c r="N330" t="inlineStr">
        <is>
          <t>2.3.2.02.02.005.24</t>
        </is>
      </c>
      <c r="O330" t="inlineStr">
        <is>
          <t>TRANSPORTE</t>
        </is>
      </c>
      <c r="P330" t="inlineStr">
        <is>
          <t>00</t>
        </is>
      </c>
      <c r="Q330" t="inlineStr">
        <is>
          <t>RECURSOS</t>
        </is>
      </c>
      <c r="R330" t="n">
        <v>625300000</v>
      </c>
      <c r="S330" t="n">
        <v>199565927</v>
      </c>
      <c r="T330" t="n">
        <v>0</v>
      </c>
      <c r="U330" t="n">
        <v>0</v>
      </c>
      <c r="V330" t="n">
        <v>90000000</v>
      </c>
      <c r="W330" t="n">
        <v>0</v>
      </c>
      <c r="X330" t="n">
        <v>0</v>
      </c>
      <c r="Y330" t="n">
        <v>734865927</v>
      </c>
      <c r="Z330" t="n">
        <v>175590053</v>
      </c>
      <c r="AA330" t="n">
        <v>110412102.8</v>
      </c>
      <c r="AB330" t="n">
        <v>60628862.8</v>
      </c>
      <c r="AC330" t="n">
        <v>60628862.8</v>
      </c>
      <c r="AD330" t="n">
        <v>559275874</v>
      </c>
      <c r="AE330" t="n">
        <v>23.89</v>
      </c>
    </row>
    <row r="331">
      <c r="A331" t="inlineStr">
        <is>
          <t>1 - ADMINISTRACIÓN CENTRAL</t>
        </is>
      </c>
      <c r="B331" t="inlineStr">
        <is>
          <t>24 - TRANSPORTE</t>
        </is>
      </c>
      <c r="C331" t="inlineStr">
        <is>
          <t>0600</t>
        </is>
      </c>
      <c r="D331" t="inlineStr">
        <is>
          <t>2409</t>
        </is>
      </c>
      <c r="E331" t="inlineStr">
        <is>
          <t>2409013</t>
        </is>
      </c>
      <c r="F331" t="inlineStr">
        <is>
          <t>INFRAESTRUCTURA DE TRANSPORTE PARA LA SEGURIDAD VIAL</t>
        </is>
      </c>
      <c r="G331" t="inlineStr">
        <is>
          <t>2024546600056</t>
        </is>
      </c>
      <c r="H331" t="inlineStr">
        <is>
          <t>MODERNIZACIÓN DE LA INFRAESTRUCTURA EN SEGURIDAD EN TRANSPORTE PDM UNIDOS SOMOS MÁS EN EL MUNICIPIO DE  SALAZAR</t>
        </is>
      </c>
      <c r="I331" t="inlineStr">
        <is>
          <t>54211</t>
        </is>
      </c>
      <c r="J331" t="inlineStr">
        <is>
          <t>Servicios generales de construcción de carreteras (excepto carreteras elevadas), calles</t>
        </is>
      </c>
      <c r="K331" t="inlineStr">
        <is>
          <t>00</t>
        </is>
      </c>
      <c r="L331" t="inlineStr">
        <is>
          <t>SIN ATRIBUTO</t>
        </is>
      </c>
      <c r="N331" t="inlineStr">
        <is>
          <t>2.3.2.02.02.005.24.01</t>
        </is>
      </c>
      <c r="O331" t="inlineStr">
        <is>
          <t>Infraestructura de transporte para la seguridad vial</t>
        </is>
      </c>
      <c r="P331" t="inlineStr">
        <is>
          <t>420</t>
        </is>
      </c>
      <c r="Q331" t="inlineStr">
        <is>
          <t>SGP PROPOSITO GENERAL FORZOSA INVERSION LIBRE INVERSIÓN SGP ONCE DOCEAVAS VIGENCIA ACTUAL MAS ULTIMA DOCEAVA VIGENCIA AN</t>
        </is>
      </c>
      <c r="R331" t="n">
        <v>10000000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10000000</v>
      </c>
      <c r="Z331" t="n">
        <v>0</v>
      </c>
      <c r="AA331" t="n">
        <v>0</v>
      </c>
      <c r="AB331" t="n">
        <v>0</v>
      </c>
      <c r="AC331" t="n">
        <v>0</v>
      </c>
      <c r="AD331" t="n">
        <v>10000000</v>
      </c>
      <c r="AE331" t="n">
        <v>0</v>
      </c>
    </row>
    <row r="332">
      <c r="A332" t="inlineStr">
        <is>
          <t>1 - ADMINISTRACIÓN CENTRAL</t>
        </is>
      </c>
      <c r="B332" t="inlineStr">
        <is>
          <t>24 - TRANSPORTE</t>
        </is>
      </c>
      <c r="C332" t="inlineStr">
        <is>
          <t>0600</t>
        </is>
      </c>
      <c r="D332" t="inlineStr">
        <is>
          <t>2402</t>
        </is>
      </c>
      <c r="E332" t="inlineStr">
        <is>
          <t>2402041</t>
        </is>
      </c>
      <c r="F332" t="inlineStr">
        <is>
          <t>VÍA TERCIARIA MEJORADA</t>
        </is>
      </c>
      <c r="G332" t="inlineStr">
        <is>
          <t>2024546600055</t>
        </is>
      </c>
      <c r="H332" t="inlineStr">
        <is>
          <t>MODERNIZACIÓN DE LA INFRAESTRUCTURA VIAL MUNICIPAL URBANA Y RURAL PDM UNIDOS SOMOS MÁS EN EL MUNICIPIO DE SALAZAR</t>
        </is>
      </c>
      <c r="I332" t="inlineStr">
        <is>
          <t>54211</t>
        </is>
      </c>
      <c r="J332" t="inlineStr">
        <is>
          <t>Servicios generales de construcción de carreteras (excepto carreteras elevadas), calles</t>
        </is>
      </c>
      <c r="K332" t="inlineStr">
        <is>
          <t>00</t>
        </is>
      </c>
      <c r="L332" t="inlineStr">
        <is>
          <t>SIN ATRIBUTO</t>
        </is>
      </c>
      <c r="N332" t="inlineStr">
        <is>
          <t>2.3.2.02.02.005.24.02</t>
        </is>
      </c>
      <c r="O332" t="inlineStr">
        <is>
          <t>Mejoramiento de vias terciarias</t>
        </is>
      </c>
      <c r="P332" t="inlineStr">
        <is>
          <t>420</t>
        </is>
      </c>
      <c r="Q332" t="inlineStr">
        <is>
          <t>SGP PROPOSITO GENERAL FORZOSA INVERSION LIBRE INVERSIÓN SGP ONCE DOCEAVAS VIGENCIA ACTUAL MAS ULTIMA DOCEAVA VIGENCIA AN</t>
        </is>
      </c>
      <c r="R332" t="n">
        <v>300000000</v>
      </c>
      <c r="S332" t="n">
        <v>0</v>
      </c>
      <c r="T332" t="n">
        <v>0</v>
      </c>
      <c r="U332" t="n">
        <v>0</v>
      </c>
      <c r="V332" t="n">
        <v>90000000</v>
      </c>
      <c r="W332" t="n">
        <v>0</v>
      </c>
      <c r="X332" t="n">
        <v>0</v>
      </c>
      <c r="Y332" t="n">
        <v>210000000</v>
      </c>
      <c r="Z332" t="n">
        <v>62466382</v>
      </c>
      <c r="AA332" t="n">
        <v>0</v>
      </c>
      <c r="AB332" t="n">
        <v>0</v>
      </c>
      <c r="AC332" t="n">
        <v>0</v>
      </c>
      <c r="AD332" t="n">
        <v>147533618</v>
      </c>
      <c r="AE332" t="n">
        <v>29.75</v>
      </c>
    </row>
    <row r="333">
      <c r="A333" t="inlineStr">
        <is>
          <t>1 - ADMINISTRACIÓN CENTRAL</t>
        </is>
      </c>
      <c r="B333" t="inlineStr">
        <is>
          <t>24 - TRANSPORTE</t>
        </is>
      </c>
      <c r="C333" t="inlineStr">
        <is>
          <t>0600</t>
        </is>
      </c>
      <c r="D333" t="inlineStr">
        <is>
          <t>2402</t>
        </is>
      </c>
      <c r="E333" t="inlineStr">
        <is>
          <t>2402041</t>
        </is>
      </c>
      <c r="F333" t="inlineStr">
        <is>
          <t>VÍA TERCIARIA MEJORADA</t>
        </is>
      </c>
      <c r="G333" t="inlineStr">
        <is>
          <t>2024546600055</t>
        </is>
      </c>
      <c r="H333" t="inlineStr">
        <is>
          <t>MODERNIZACIÓN DE LA INFRAESTRUCTURA VIAL MUNICIPAL URBANA Y RURAL PDM UNIDOS SOMOS MÁS EN EL MUNICIPIO DE SALAZAR</t>
        </is>
      </c>
      <c r="I333" t="inlineStr">
        <is>
          <t>54211</t>
        </is>
      </c>
      <c r="J333" t="inlineStr">
        <is>
          <t>Servicios generales de construcción de carreteras (excepto carreteras elevadas), calles</t>
        </is>
      </c>
      <c r="K333" t="inlineStr">
        <is>
          <t>00</t>
        </is>
      </c>
      <c r="L333" t="inlineStr">
        <is>
          <t>SIN ATRIBUTO</t>
        </is>
      </c>
      <c r="N333" t="inlineStr">
        <is>
          <t>2.3.2.02.02.005.24.03</t>
        </is>
      </c>
      <c r="O333" t="inlineStr">
        <is>
          <t>Mejoramiento de vias terciarias</t>
        </is>
      </c>
      <c r="P333" t="inlineStr">
        <is>
          <t>430</t>
        </is>
      </c>
      <c r="Q333" t="inlineStr">
        <is>
          <t>SGP PROPOSITO GENERAL RENDIMIENTOS FINANCIEROS</t>
        </is>
      </c>
      <c r="R333" t="n">
        <v>100000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100000</v>
      </c>
      <c r="Z333" t="n">
        <v>0</v>
      </c>
      <c r="AA333" t="n">
        <v>0</v>
      </c>
      <c r="AB333" t="n">
        <v>0</v>
      </c>
      <c r="AC333" t="n">
        <v>0</v>
      </c>
      <c r="AD333" t="n">
        <v>100000</v>
      </c>
      <c r="AE333" t="n">
        <v>0</v>
      </c>
    </row>
    <row r="334">
      <c r="A334" t="inlineStr">
        <is>
          <t>1 - ADMINISTRACIÓN CENTRAL</t>
        </is>
      </c>
      <c r="B334" t="inlineStr">
        <is>
          <t>24 - TRANSPORTE</t>
        </is>
      </c>
      <c r="C334" t="inlineStr">
        <is>
          <t>0600</t>
        </is>
      </c>
      <c r="D334" t="inlineStr">
        <is>
          <t>2402</t>
        </is>
      </c>
      <c r="E334" t="inlineStr">
        <is>
          <t>2402041</t>
        </is>
      </c>
      <c r="F334" t="inlineStr">
        <is>
          <t>VÍA TERCIARIA MEJORADA</t>
        </is>
      </c>
      <c r="G334" t="inlineStr">
        <is>
          <t>2024546600055</t>
        </is>
      </c>
      <c r="H334" t="inlineStr">
        <is>
          <t>MODERNIZACIÓN DE LA INFRAESTRUCTURA VIAL MUNICIPAL URBANA Y RURAL PDM UNIDOS SOMOS MÁS EN EL MUNICIPIO DE SALAZAR</t>
        </is>
      </c>
      <c r="I334" t="inlineStr">
        <is>
          <t>54211</t>
        </is>
      </c>
      <c r="J334" t="inlineStr">
        <is>
          <t>Servicios generales de construcción de carreteras (excepto carreteras elevadas), calles</t>
        </is>
      </c>
      <c r="K334" t="inlineStr">
        <is>
          <t>00</t>
        </is>
      </c>
      <c r="L334" t="inlineStr">
        <is>
          <t>SIN ATRIBUTO</t>
        </is>
      </c>
      <c r="N334" t="inlineStr">
        <is>
          <t>2.3.2.02.02.005.24.04</t>
        </is>
      </c>
      <c r="O334" t="inlineStr">
        <is>
          <t>Mejoramiento de vias terciarias</t>
        </is>
      </c>
      <c r="P334" t="inlineStr">
        <is>
          <t>670.24</t>
        </is>
      </c>
      <c r="Q334" t="inlineStr">
        <is>
          <t>REND. FCROS. LIBRE INVERSION</t>
        </is>
      </c>
      <c r="R334" t="n">
        <v>100000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100000</v>
      </c>
      <c r="Z334" t="n">
        <v>0</v>
      </c>
      <c r="AA334" t="n">
        <v>0</v>
      </c>
      <c r="AB334" t="n">
        <v>0</v>
      </c>
      <c r="AC334" t="n">
        <v>0</v>
      </c>
      <c r="AD334" t="n">
        <v>100000</v>
      </c>
      <c r="AE334" t="n">
        <v>0</v>
      </c>
    </row>
    <row r="335">
      <c r="A335" t="inlineStr">
        <is>
          <t>1 - ADMINISTRACIÓN CENTRAL</t>
        </is>
      </c>
      <c r="B335" t="inlineStr">
        <is>
          <t>24 - TRANSPORTE</t>
        </is>
      </c>
      <c r="C335" t="inlineStr">
        <is>
          <t>0600</t>
        </is>
      </c>
      <c r="D335" t="inlineStr">
        <is>
          <t>2402</t>
        </is>
      </c>
      <c r="E335" t="inlineStr">
        <is>
          <t>2402041</t>
        </is>
      </c>
      <c r="F335" t="inlineStr">
        <is>
          <t>VÍA TERCIARIA MEJORADA</t>
        </is>
      </c>
      <c r="G335" t="inlineStr">
        <is>
          <t>2024546600055</t>
        </is>
      </c>
      <c r="H335" t="inlineStr">
        <is>
          <t>MODERNIZACIÓN DE LA INFRAESTRUCTURA VIAL MUNICIPAL URBANA Y RURAL PDM UNIDOS SOMOS MÁS EN EL MUNICIPIO DE SALAZAR</t>
        </is>
      </c>
      <c r="I335" t="inlineStr">
        <is>
          <t>54211</t>
        </is>
      </c>
      <c r="J335" t="inlineStr">
        <is>
          <t>Servicios generales de construcción de carreteras (excepto carreteras elevadas), calles</t>
        </is>
      </c>
      <c r="K335" t="inlineStr">
        <is>
          <t>00</t>
        </is>
      </c>
      <c r="L335" t="inlineStr">
        <is>
          <t>SIN ATRIBUTO</t>
        </is>
      </c>
      <c r="N335" t="inlineStr">
        <is>
          <t>2.3.2.02.02.005.24.04</t>
        </is>
      </c>
      <c r="O335" t="inlineStr">
        <is>
          <t>Mejoramiento de vias terciarias</t>
        </is>
      </c>
      <c r="P335" t="inlineStr">
        <is>
          <t>670.23</t>
        </is>
      </c>
      <c r="Q335" t="inlineStr">
        <is>
          <t>REND. FCROS. PG DESAHORRO FONPET</t>
        </is>
      </c>
      <c r="R335" t="n">
        <v>100000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100000</v>
      </c>
      <c r="Z335" t="n">
        <v>0</v>
      </c>
      <c r="AA335" t="n">
        <v>0</v>
      </c>
      <c r="AB335" t="n">
        <v>0</v>
      </c>
      <c r="AC335" t="n">
        <v>0</v>
      </c>
      <c r="AD335" t="n">
        <v>100000</v>
      </c>
      <c r="AE335" t="n">
        <v>0</v>
      </c>
    </row>
    <row r="336">
      <c r="A336" t="inlineStr">
        <is>
          <t>1 - ADMINISTRACIÓN CENTRAL</t>
        </is>
      </c>
      <c r="B336" t="inlineStr">
        <is>
          <t>24 - TRANSPORTE</t>
        </is>
      </c>
      <c r="C336" t="inlineStr">
        <is>
          <t>0600</t>
        </is>
      </c>
      <c r="D336" t="inlineStr">
        <is>
          <t>2402</t>
        </is>
      </c>
      <c r="E336" t="inlineStr">
        <is>
          <t>2402114</t>
        </is>
      </c>
      <c r="F336" t="inlineStr">
        <is>
          <t>VÍA URBANA MEJORADA</t>
        </is>
      </c>
      <c r="G336" t="inlineStr">
        <is>
          <t>2024546600076</t>
        </is>
      </c>
      <c r="H336" t="inlineStr">
        <is>
          <t>DESARROLLO DE LA INFRAESTRUCTURA VIAL MUNICIPAL URBANA Y RURAL “PDM UNIDOS SOMOS MÁS” EN EL MUNICIPIO DE SALAZAR DE LAS PALMAS</t>
        </is>
      </c>
      <c r="I336" t="inlineStr">
        <is>
          <t>54211</t>
        </is>
      </c>
      <c r="J336" t="inlineStr">
        <is>
          <t>Servicios generales de construcción de carreteras (excepto carreteras elevadas), calles</t>
        </is>
      </c>
      <c r="K336" t="inlineStr">
        <is>
          <t>00</t>
        </is>
      </c>
      <c r="L336" t="inlineStr">
        <is>
          <t>SIN ATRIBUTO</t>
        </is>
      </c>
      <c r="N336" t="inlineStr">
        <is>
          <t>2.3.2.02.02.005.24.06</t>
        </is>
      </c>
      <c r="O336" t="inlineStr">
        <is>
          <t>Mejoramiento de vias urbanas</t>
        </is>
      </c>
      <c r="P336" t="inlineStr">
        <is>
          <t>420</t>
        </is>
      </c>
      <c r="Q336" t="inlineStr">
        <is>
          <t>SGP PROPOSITO GENERAL FORZOSA INVERSION LIBRE INVERSIÓN SGP ONCE DOCEAVAS VIGENCIA ACTUAL MAS ULTIMA DOCEAVA VIGENCIA AN</t>
        </is>
      </c>
      <c r="R336" t="n">
        <v>15000000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15000000</v>
      </c>
      <c r="Z336" t="n">
        <v>13557841</v>
      </c>
      <c r="AA336" t="n">
        <v>10846272.8</v>
      </c>
      <c r="AB336" t="n">
        <v>10846272.8</v>
      </c>
      <c r="AC336" t="n">
        <v>10846272.8</v>
      </c>
      <c r="AD336" t="n">
        <v>1442159</v>
      </c>
      <c r="AE336" t="n">
        <v>90.39</v>
      </c>
    </row>
    <row r="337">
      <c r="A337" t="inlineStr">
        <is>
          <t>1 - ADMINISTRACIÓN CENTRAL</t>
        </is>
      </c>
      <c r="B337" t="inlineStr">
        <is>
          <t>24 - TRANSPORTE</t>
        </is>
      </c>
      <c r="C337" t="inlineStr">
        <is>
          <t>0600</t>
        </is>
      </c>
      <c r="D337" t="inlineStr">
        <is>
          <t>2402</t>
        </is>
      </c>
      <c r="E337" t="inlineStr">
        <is>
          <t>2402057</t>
        </is>
      </c>
      <c r="F337" t="inlineStr">
        <is>
          <t>PUENTE EN CAMINOS ANCESTRALES</t>
        </is>
      </c>
      <c r="G337" t="inlineStr">
        <is>
          <t>2024546600076</t>
        </is>
      </c>
      <c r="H337" t="inlineStr">
        <is>
          <t>DESARROLLO DE LA INFRAESTRUCTURA VIAL MUNICIPAL URBANA Y RURAL “PDM UNIDOS SOMOS MÁS” EN EL MUNICIPIO DE SALAZAR DE LAS PALMAS</t>
        </is>
      </c>
      <c r="I337" t="inlineStr">
        <is>
          <t>54211</t>
        </is>
      </c>
      <c r="J337" t="inlineStr">
        <is>
          <t>Servicios generales de construcción de carreteras (excepto carreteras elevadas), calles</t>
        </is>
      </c>
      <c r="K337" t="inlineStr">
        <is>
          <t>00</t>
        </is>
      </c>
      <c r="L337" t="inlineStr">
        <is>
          <t>SIN ATRIBUTO</t>
        </is>
      </c>
      <c r="N337" t="inlineStr">
        <is>
          <t>2.3.2.02.02.005.24.07</t>
        </is>
      </c>
      <c r="O337" t="inlineStr">
        <is>
          <t>Puente en caminos ancestrales</t>
        </is>
      </c>
      <c r="P337" t="inlineStr">
        <is>
          <t>420</t>
        </is>
      </c>
      <c r="Q337" t="inlineStr">
        <is>
          <t>SGP PROPOSITO GENERAL FORZOSA INVERSION LIBRE INVERSIÓN SGP ONCE DOCEAVAS VIGENCIA ACTUAL MAS ULTIMA DOCEAVA VIGENCIA AN</t>
        </is>
      </c>
      <c r="R337" t="n">
        <v>300000000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300000000</v>
      </c>
      <c r="Z337" t="n">
        <v>0</v>
      </c>
      <c r="AA337" t="n">
        <v>0</v>
      </c>
      <c r="AB337" t="n">
        <v>0</v>
      </c>
      <c r="AC337" t="n">
        <v>0</v>
      </c>
      <c r="AD337" t="n">
        <v>300000000</v>
      </c>
      <c r="AE337" t="n">
        <v>0</v>
      </c>
    </row>
    <row r="338">
      <c r="A338" t="inlineStr">
        <is>
          <t>1 - ADMINISTRACIÓN CENTRAL</t>
        </is>
      </c>
      <c r="B338" t="inlineStr">
        <is>
          <t>24 - TRANSPORTE</t>
        </is>
      </c>
      <c r="C338" t="inlineStr">
        <is>
          <t>0600</t>
        </is>
      </c>
      <c r="D338" t="inlineStr">
        <is>
          <t>2402</t>
        </is>
      </c>
      <c r="E338" t="inlineStr">
        <is>
          <t>2402041</t>
        </is>
      </c>
      <c r="F338" t="inlineStr">
        <is>
          <t>VÍA TERCIARIA MEJORADA</t>
        </is>
      </c>
      <c r="G338" t="inlineStr">
        <is>
          <t>2024546600055</t>
        </is>
      </c>
      <c r="H338" t="inlineStr">
        <is>
          <t>MODERNIZACIÓN DE LA INFRAESTRUCTURA VIAL MUNICIPAL URBANA Y RURAL PDM UNIDOS SOMOS MÁS EN EL MUNICIPIO DE SALAZAR</t>
        </is>
      </c>
      <c r="I338" t="inlineStr">
        <is>
          <t>54211</t>
        </is>
      </c>
      <c r="J338" t="inlineStr">
        <is>
          <t>Servicios generales de construcción de carreteras (excepto carreteras elevadas), calles</t>
        </is>
      </c>
      <c r="K338" t="inlineStr">
        <is>
          <t>00</t>
        </is>
      </c>
      <c r="L338" t="inlineStr">
        <is>
          <t>SIN ATRIBUTO</t>
        </is>
      </c>
      <c r="N338" t="inlineStr">
        <is>
          <t>2.3.2.02.02.005.24.08</t>
        </is>
      </c>
      <c r="O338" t="inlineStr">
        <is>
          <t>Mejoramiento de vias terciarias</t>
        </is>
      </c>
      <c r="P338" t="inlineStr">
        <is>
          <t>510.1</t>
        </is>
      </c>
      <c r="Q338" t="inlineStr">
        <is>
          <t>COF DPTAL</t>
        </is>
      </c>
      <c r="R338" t="n">
        <v>0</v>
      </c>
      <c r="S338" t="n">
        <v>99565927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99565927</v>
      </c>
      <c r="Z338" t="n">
        <v>0</v>
      </c>
      <c r="AA338" t="n">
        <v>0</v>
      </c>
      <c r="AB338" t="n">
        <v>0</v>
      </c>
      <c r="AC338" t="n">
        <v>0</v>
      </c>
      <c r="AD338" t="n">
        <v>99565927</v>
      </c>
      <c r="AE338" t="n">
        <v>0</v>
      </c>
    </row>
    <row r="339">
      <c r="A339" t="inlineStr">
        <is>
          <t>1 - ADMINISTRACIÓN CENTRAL</t>
        </is>
      </c>
      <c r="B339" t="inlineStr">
        <is>
          <t>24 - TRANSPORTE</t>
        </is>
      </c>
      <c r="C339" t="inlineStr">
        <is>
          <t>0600</t>
        </is>
      </c>
      <c r="D339" t="inlineStr">
        <is>
          <t>2402</t>
        </is>
      </c>
      <c r="E339" t="inlineStr">
        <is>
          <t>2402041</t>
        </is>
      </c>
      <c r="F339" t="inlineStr">
        <is>
          <t>VÍA TERCIARIA MEJORADA</t>
        </is>
      </c>
      <c r="G339" t="inlineStr">
        <is>
          <t>2024546600055</t>
        </is>
      </c>
      <c r="H339" t="inlineStr">
        <is>
          <t>MODERNIZACIÓN DE LA INFRAESTRUCTURA VIAL MUNICIPAL URBANA Y RURAL PDM UNIDOS SOMOS MÁS EN EL MUNICIPIO DE SALAZAR</t>
        </is>
      </c>
      <c r="I339" t="inlineStr">
        <is>
          <t>54211</t>
        </is>
      </c>
      <c r="J339" t="inlineStr">
        <is>
          <t>Servicios generales de construcción de carreteras (excepto carreteras elevadas), calles</t>
        </is>
      </c>
      <c r="K339" t="inlineStr">
        <is>
          <t>00</t>
        </is>
      </c>
      <c r="L339" t="inlineStr">
        <is>
          <t>SIN ATRIBUTO</t>
        </is>
      </c>
      <c r="N339" t="inlineStr">
        <is>
          <t>2.3.2.02.02.005.24.08</t>
        </is>
      </c>
      <c r="O339" t="inlineStr">
        <is>
          <t>Mejoramiento de vias terciarias</t>
        </is>
      </c>
      <c r="P339" t="inlineStr">
        <is>
          <t>410</t>
        </is>
      </c>
      <c r="Q339" t="inlineStr">
        <is>
          <t>SGP PROPOSITO GENERAL FORZOSA INVERSION LIBRE INVERSIÓN SALDOS NO EJECUTADOS NI INCORPORADOS VIGENCIAS ANTERIORES Y REIN</t>
        </is>
      </c>
      <c r="R339" t="n">
        <v>0</v>
      </c>
      <c r="S339" t="n">
        <v>100000000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100000000</v>
      </c>
      <c r="Z339" t="n">
        <v>99565830</v>
      </c>
      <c r="AA339" t="n">
        <v>99565830</v>
      </c>
      <c r="AB339" t="n">
        <v>49782590</v>
      </c>
      <c r="AC339" t="n">
        <v>49782590</v>
      </c>
      <c r="AD339" t="n">
        <v>434170</v>
      </c>
      <c r="AE339" t="n">
        <v>99.56999999999999</v>
      </c>
    </row>
    <row r="340">
      <c r="A340" t="inlineStr">
        <is>
          <t>1 - ADMINISTRACIÓN CENTRAL</t>
        </is>
      </c>
      <c r="B340" t="inlineStr">
        <is>
          <t>00 - SIN SECTOR</t>
        </is>
      </c>
      <c r="C340" t="inlineStr">
        <is>
          <t>00</t>
        </is>
      </c>
      <c r="D340" t="inlineStr">
        <is>
          <t>0000</t>
        </is>
      </c>
      <c r="E340" t="inlineStr">
        <is>
          <t>000000</t>
        </is>
      </c>
      <c r="F340" t="inlineStr">
        <is>
          <t>SIN PRODUCTO</t>
        </is>
      </c>
      <c r="G340" t="inlineStr">
        <is>
          <t>00</t>
        </is>
      </c>
      <c r="H340" t="inlineStr">
        <is>
          <t>00</t>
        </is>
      </c>
      <c r="I340" t="inlineStr">
        <is>
          <t>00</t>
        </is>
      </c>
      <c r="J340" t="inlineStr">
        <is>
          <t>SIN PRODUCTO DANE</t>
        </is>
      </c>
      <c r="K340" t="inlineStr">
        <is>
          <t>00</t>
        </is>
      </c>
      <c r="L340" t="inlineStr">
        <is>
          <t>SIN ATRIBUTO</t>
        </is>
      </c>
      <c r="N340" t="inlineStr">
        <is>
          <t>2.3.2.02.02.005.40</t>
        </is>
      </c>
      <c r="O340" t="inlineStr">
        <is>
          <t>VIVIENDA, CIUDAD Y TERRITORIO</t>
        </is>
      </c>
      <c r="P340" t="inlineStr">
        <is>
          <t>00</t>
        </is>
      </c>
      <c r="Q340" t="inlineStr">
        <is>
          <t>RECURSOS</t>
        </is>
      </c>
      <c r="R340" t="n">
        <v>1263443628</v>
      </c>
      <c r="S340" t="n">
        <v>93054410</v>
      </c>
      <c r="T340" t="n">
        <v>0</v>
      </c>
      <c r="U340" t="n">
        <v>0</v>
      </c>
      <c r="V340" t="n">
        <v>236116980</v>
      </c>
      <c r="W340" t="n">
        <v>0</v>
      </c>
      <c r="X340" t="n">
        <v>0</v>
      </c>
      <c r="Y340" t="n">
        <v>1120381058</v>
      </c>
      <c r="Z340" t="n">
        <v>0</v>
      </c>
      <c r="AA340" t="n">
        <v>0</v>
      </c>
      <c r="AB340" t="n">
        <v>0</v>
      </c>
      <c r="AC340" t="n">
        <v>0</v>
      </c>
      <c r="AD340" t="n">
        <v>1120381058</v>
      </c>
      <c r="AE340" t="n">
        <v>0</v>
      </c>
    </row>
    <row r="341">
      <c r="A341" t="inlineStr">
        <is>
          <t>1 - ADMINISTRACIÓN CENTRAL</t>
        </is>
      </c>
      <c r="B341" t="inlineStr">
        <is>
          <t>40 - VIVIENDA, CIUDAD Y TERRITORIO</t>
        </is>
      </c>
      <c r="C341" t="inlineStr">
        <is>
          <t>1400</t>
        </is>
      </c>
      <c r="D341" t="inlineStr">
        <is>
          <t>4003</t>
        </is>
      </c>
      <c r="E341" t="inlineStr">
        <is>
          <t>4003008</t>
        </is>
      </c>
      <c r="F341" t="inlineStr">
        <is>
          <t>SERVICIO DE APOYO FINANCIERO A LOS PLANES, PROGRAMAS Y PROYECTOS DE AGUA POTABLE Y SANEAMIENTO BÁSICO</t>
        </is>
      </c>
      <c r="G341" t="inlineStr">
        <is>
          <t>2024546600066</t>
        </is>
      </c>
      <c r="H341" t="inlineStr">
        <is>
          <t>FORTALECIMIENTO EN EL ACCESO DE LA POBLACIÓN A LOS SERVICIOS DE AGUA POTABLE Y SANEAMIENTO BÁSICO PDM UNIDOS SOMOS MÁS EN EL MUNICIPIO DE  SALAZAR</t>
        </is>
      </c>
      <c r="I341" t="inlineStr">
        <is>
          <t>54231</t>
        </is>
      </c>
      <c r="J341" t="inlineStr">
        <is>
          <t>Servicios generales de construcción de acueductos y otros conductos de suministro de agua, excepto gasoductos</t>
        </is>
      </c>
      <c r="K341" t="inlineStr">
        <is>
          <t>00</t>
        </is>
      </c>
      <c r="L341" t="inlineStr">
        <is>
          <t>SIN ATRIBUTO</t>
        </is>
      </c>
      <c r="N341" t="inlineStr">
        <is>
          <t>2.3.2.02.02.005.40.01</t>
        </is>
      </c>
      <c r="O341" t="inlineStr">
        <is>
          <t>Planes, programas y proyectos de Agua Potable y Saneamiento Básico</t>
        </is>
      </c>
      <c r="P341" t="inlineStr">
        <is>
          <t>290</t>
        </is>
      </c>
      <c r="Q341" t="inlineStr">
        <is>
          <t>SGP AGUA POTABLE Y SANEAMIENTO BASICO - ONCE DOCEAVAS VIGENCIA ACTUAL MAS ULTIMA DOCEAVA VIGENCIA ANTERIOR</t>
        </is>
      </c>
      <c r="R341" t="n">
        <v>1163343628</v>
      </c>
      <c r="S341" t="n">
        <v>0</v>
      </c>
      <c r="T341" t="n">
        <v>0</v>
      </c>
      <c r="U341" t="n">
        <v>0</v>
      </c>
      <c r="V341" t="n">
        <v>86116980</v>
      </c>
      <c r="W341" t="n">
        <v>0</v>
      </c>
      <c r="X341" t="n">
        <v>0</v>
      </c>
      <c r="Y341" t="n">
        <v>1077226648</v>
      </c>
      <c r="Z341" t="n">
        <v>0</v>
      </c>
      <c r="AA341" t="n">
        <v>0</v>
      </c>
      <c r="AB341" t="n">
        <v>0</v>
      </c>
      <c r="AC341" t="n">
        <v>0</v>
      </c>
      <c r="AD341" t="n">
        <v>1077226648</v>
      </c>
      <c r="AE341" t="n">
        <v>0</v>
      </c>
    </row>
    <row r="342">
      <c r="A342" t="inlineStr">
        <is>
          <t>1 - ADMINISTRACIÓN CENTRAL</t>
        </is>
      </c>
      <c r="B342" t="inlineStr">
        <is>
          <t>40 - VIVIENDA, CIUDAD Y TERRITORIO</t>
        </is>
      </c>
      <c r="C342" t="inlineStr">
        <is>
          <t>1400</t>
        </is>
      </c>
      <c r="D342" t="inlineStr">
        <is>
          <t>4003</t>
        </is>
      </c>
      <c r="E342" t="inlineStr">
        <is>
          <t>4003008</t>
        </is>
      </c>
      <c r="F342" t="inlineStr">
        <is>
          <t>SERVICIO DE APOYO FINANCIERO A LOS PLANES, PROGRAMAS Y PROYECTOS DE AGUA POTABLE Y SANEAMIENTO BÁSICO</t>
        </is>
      </c>
      <c r="G342" t="inlineStr">
        <is>
          <t>2024546600066</t>
        </is>
      </c>
      <c r="H342" t="inlineStr">
        <is>
          <t>FORTALECIMIENTO EN EL ACCESO DE LA POBLACIÓN A LOS SERVICIOS DE AGUA POTABLE Y SANEAMIENTO BÁSICO PDM UNIDOS SOMOS MÁS EN EL MUNICIPIO DE  SALAZAR</t>
        </is>
      </c>
      <c r="I342" t="inlineStr">
        <is>
          <t>54231</t>
        </is>
      </c>
      <c r="J342" t="inlineStr">
        <is>
          <t>Servicios generales de construcción de acueductos y otros conductos de suministro de agua, excepto gasoductos</t>
        </is>
      </c>
      <c r="K342" t="inlineStr">
        <is>
          <t>00</t>
        </is>
      </c>
      <c r="L342" t="inlineStr">
        <is>
          <t>SIN ATRIBUTO</t>
        </is>
      </c>
      <c r="N342" t="inlineStr">
        <is>
          <t>2.3.2.02.02.005.40.02</t>
        </is>
      </c>
      <c r="O342" t="inlineStr">
        <is>
          <t>Planes, programas y proyectos de Agua Potable y Saneamiento Básico</t>
        </is>
      </c>
      <c r="P342" t="inlineStr">
        <is>
          <t>300</t>
        </is>
      </c>
      <c r="Q342" t="inlineStr">
        <is>
          <t>SGP AGUA POTABLE Y SANEAMIENTO BASICO - RENDIMIENTOS FINANCIEROS</t>
        </is>
      </c>
      <c r="R342" t="n">
        <v>100000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100000</v>
      </c>
      <c r="Z342" t="n">
        <v>0</v>
      </c>
      <c r="AA342" t="n">
        <v>0</v>
      </c>
      <c r="AB342" t="n">
        <v>0</v>
      </c>
      <c r="AC342" t="n">
        <v>0</v>
      </c>
      <c r="AD342" t="n">
        <v>100000</v>
      </c>
      <c r="AE342" t="n">
        <v>0</v>
      </c>
    </row>
    <row r="343">
      <c r="A343" t="inlineStr">
        <is>
          <t>1 - ADMINISTRACIÓN CENTRAL</t>
        </is>
      </c>
      <c r="B343" t="inlineStr">
        <is>
          <t>40 - VIVIENDA, CIUDAD Y TERRITORIO</t>
        </is>
      </c>
      <c r="C343" t="inlineStr">
        <is>
          <t>1400</t>
        </is>
      </c>
      <c r="D343" t="inlineStr">
        <is>
          <t>4002</t>
        </is>
      </c>
      <c r="E343" t="inlineStr">
        <is>
          <t>4002020</t>
        </is>
      </c>
      <c r="F343" t="inlineStr">
        <is>
          <t>ESPACIO PUBLICO ADECUADO</t>
        </is>
      </c>
      <c r="G343" t="inlineStr">
        <is>
          <t>2024546600065</t>
        </is>
      </c>
      <c r="H343" t="inlineStr">
        <is>
          <t>ORDENAMIENTO TERRITORIAL Y DESARROLLO URBANO PDM UNIDOS SOMOS MÁS EN EL MUNICIPIO DE   SALAZAR</t>
        </is>
      </c>
      <c r="I343" t="inlineStr">
        <is>
          <t>53290</t>
        </is>
      </c>
      <c r="J343" t="inlineStr">
        <is>
          <t>Otras obras de ingeniería civil</t>
        </is>
      </c>
      <c r="K343" t="inlineStr">
        <is>
          <t>00</t>
        </is>
      </c>
      <c r="L343" t="inlineStr">
        <is>
          <t>SIN ATRIBUTO</t>
        </is>
      </c>
      <c r="N343" t="inlineStr">
        <is>
          <t>2.3.2.02.02.005.40.03</t>
        </is>
      </c>
      <c r="O343" t="inlineStr">
        <is>
          <t>Espacio publico adecuado</t>
        </is>
      </c>
      <c r="P343" t="inlineStr">
        <is>
          <t>420</t>
        </is>
      </c>
      <c r="Q343" t="inlineStr">
        <is>
          <t>SGP PROPOSITO GENERAL FORZOSA INVERSION LIBRE INVERSIÓN SGP ONCE DOCEAVAS VIGENCIA ACTUAL MAS ULTIMA DOCEAVA VIGENCIA AN</t>
        </is>
      </c>
      <c r="R343" t="n">
        <v>100000000</v>
      </c>
      <c r="S343" t="n">
        <v>0</v>
      </c>
      <c r="T343" t="n">
        <v>0</v>
      </c>
      <c r="U343" t="n">
        <v>0</v>
      </c>
      <c r="V343" t="n">
        <v>100000000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</row>
    <row r="344">
      <c r="A344" t="inlineStr">
        <is>
          <t>1 - ADMINISTRACIÓN CENTRAL</t>
        </is>
      </c>
      <c r="B344" t="inlineStr">
        <is>
          <t>40 - VIVIENDA, CIUDAD Y TERRITORIO</t>
        </is>
      </c>
      <c r="C344" t="inlineStr">
        <is>
          <t>1400</t>
        </is>
      </c>
      <c r="D344" t="inlineStr">
        <is>
          <t>4003</t>
        </is>
      </c>
      <c r="E344" t="inlineStr">
        <is>
          <t>4003008</t>
        </is>
      </c>
      <c r="F344" t="inlineStr">
        <is>
          <t>SERVICIO DE APOYO FINANCIERO A LOS PLANES, PROGRAMAS Y PROYECTOS DE AGUA POTABLE Y SANEAMIENTO BÁSICO</t>
        </is>
      </c>
      <c r="G344" t="inlineStr">
        <is>
          <t>2024546600066</t>
        </is>
      </c>
      <c r="H344" t="inlineStr">
        <is>
          <t>FORTALECIMIENTO EN EL ACCESO DE LA POBLACIÓN A LOS SERVICIOS DE AGUA POTABLE Y SANEAMIENTO BÁSICO PDM UNIDOS SOMOS MÁS EN EL MUNICIPIO DE  SALAZAR</t>
        </is>
      </c>
      <c r="I344" t="inlineStr">
        <is>
          <t>54231</t>
        </is>
      </c>
      <c r="J344" t="inlineStr">
        <is>
          <t>Servicios generales de construcción de acueductos y otros conductos de suministro de agua, excepto gasoductos</t>
        </is>
      </c>
      <c r="K344" t="inlineStr">
        <is>
          <t>00</t>
        </is>
      </c>
      <c r="L344" t="inlineStr">
        <is>
          <t>SIN ATRIBUTO</t>
        </is>
      </c>
      <c r="N344" t="inlineStr">
        <is>
          <t>2.3.2.02.02.005.40.04</t>
        </is>
      </c>
      <c r="O344" t="inlineStr">
        <is>
          <t>Planes, programas y proyectos de Agua Potable y Saneamiento Básico</t>
        </is>
      </c>
      <c r="P344" t="inlineStr">
        <is>
          <t>280</t>
        </is>
      </c>
      <c r="Q344" t="inlineStr">
        <is>
          <t>SGP AGUA POTABLE Y SANEAMIENTO BASICO - SALDOS NO EJECUTADOS VIGENCIAS ANTERIORES Y REINTEGROS</t>
        </is>
      </c>
      <c r="R344" t="n">
        <v>0</v>
      </c>
      <c r="S344" t="n">
        <v>10601391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10601391</v>
      </c>
      <c r="Z344" t="n">
        <v>0</v>
      </c>
      <c r="AA344" t="n">
        <v>0</v>
      </c>
      <c r="AB344" t="n">
        <v>0</v>
      </c>
      <c r="AC344" t="n">
        <v>0</v>
      </c>
      <c r="AD344" t="n">
        <v>10601391</v>
      </c>
      <c r="AE344" t="n">
        <v>0</v>
      </c>
    </row>
    <row r="345">
      <c r="A345" t="inlineStr">
        <is>
          <t>1 - ADMINISTRACIÓN CENTRAL</t>
        </is>
      </c>
      <c r="B345" t="inlineStr">
        <is>
          <t>40 - VIVIENDA, CIUDAD Y TERRITORIO</t>
        </is>
      </c>
      <c r="C345" t="inlineStr">
        <is>
          <t>1400</t>
        </is>
      </c>
      <c r="D345" t="inlineStr">
        <is>
          <t>4003</t>
        </is>
      </c>
      <c r="E345" t="inlineStr">
        <is>
          <t>4003008</t>
        </is>
      </c>
      <c r="F345" t="inlineStr">
        <is>
          <t>SERVICIO DE APOYO FINANCIERO A LOS PLANES, PROGRAMAS Y PROYECTOS DE AGUA POTABLE Y SANEAMIENTO BÁSICO</t>
        </is>
      </c>
      <c r="G345" t="inlineStr">
        <is>
          <t>2024546600066</t>
        </is>
      </c>
      <c r="H345" t="inlineStr">
        <is>
          <t>FORTALECIMIENTO EN EL ACCESO DE LA POBLACIÓN A LOS SERVICIOS DE AGUA POTABLE Y SANEAMIENTO BÁSICO PDM UNIDOS SOMOS MÁS EN EL MUNICIPIO DE  SALAZAR</t>
        </is>
      </c>
      <c r="I345" t="inlineStr">
        <is>
          <t>54231</t>
        </is>
      </c>
      <c r="J345" t="inlineStr">
        <is>
          <t>Servicios generales de construcción de acueductos y otros conductos de suministro de agua, excepto gasoductos</t>
        </is>
      </c>
      <c r="K345" t="inlineStr">
        <is>
          <t>00</t>
        </is>
      </c>
      <c r="L345" t="inlineStr">
        <is>
          <t>SIN ATRIBUTO</t>
        </is>
      </c>
      <c r="N345" t="inlineStr">
        <is>
          <t>2.3.2.02.02.005.40.05</t>
        </is>
      </c>
      <c r="O345" t="inlineStr">
        <is>
          <t>Planes, programas y proyectos de Agua Potable y Saneamiento Básico</t>
        </is>
      </c>
      <c r="P345" t="inlineStr">
        <is>
          <t>300.1</t>
        </is>
      </c>
      <c r="Q345" t="inlineStr">
        <is>
          <t>SGP APSB - RENDIMIENTOS FINANCIEROS RB</t>
        </is>
      </c>
      <c r="R345" t="n">
        <v>0</v>
      </c>
      <c r="S345" t="n">
        <v>32008200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32008200</v>
      </c>
      <c r="Z345" t="n">
        <v>0</v>
      </c>
      <c r="AA345" t="n">
        <v>0</v>
      </c>
      <c r="AB345" t="n">
        <v>0</v>
      </c>
      <c r="AC345" t="n">
        <v>0</v>
      </c>
      <c r="AD345" t="n">
        <v>32008200</v>
      </c>
      <c r="AE345" t="n">
        <v>0</v>
      </c>
    </row>
    <row r="346">
      <c r="A346" t="inlineStr">
        <is>
          <t>1 - ADMINISTRACIÓN CENTRAL</t>
        </is>
      </c>
      <c r="B346" t="inlineStr">
        <is>
          <t>40 - VIVIENDA, CIUDAD Y TERRITORIO</t>
        </is>
      </c>
      <c r="C346" t="inlineStr">
        <is>
          <t>1400</t>
        </is>
      </c>
      <c r="D346" t="inlineStr">
        <is>
          <t>4003</t>
        </is>
      </c>
      <c r="E346" t="inlineStr">
        <is>
          <t>4003008</t>
        </is>
      </c>
      <c r="F346" t="inlineStr">
        <is>
          <t>SERVICIO DE APOYO FINANCIERO A LOS PLANES, PROGRAMAS Y PROYECTOS DE AGUA POTABLE Y SANEAMIENTO BÁSICO</t>
        </is>
      </c>
      <c r="G346" t="inlineStr">
        <is>
          <t>2024546600066</t>
        </is>
      </c>
      <c r="H346" t="inlineStr">
        <is>
          <t>FORTALECIMIENTO EN EL ACCESO DE LA POBLACIÓN A LOS SERVICIOS DE AGUA POTABLE Y SANEAMIENTO BÁSICO PDM UNIDOS SOMOS MÁS EN EL MUNICIPIO DE  SALAZAR</t>
        </is>
      </c>
      <c r="I346" t="inlineStr">
        <is>
          <t>54231</t>
        </is>
      </c>
      <c r="J346" t="inlineStr">
        <is>
          <t>Servicios generales de construcción de acueductos y otros conductos de suministro de agua, excepto gasoductos</t>
        </is>
      </c>
      <c r="K346" t="inlineStr">
        <is>
          <t>00</t>
        </is>
      </c>
      <c r="L346" t="inlineStr">
        <is>
          <t>SIN ATRIBUTO</t>
        </is>
      </c>
      <c r="N346" t="inlineStr">
        <is>
          <t>2.3.2.02.02.005.40.06</t>
        </is>
      </c>
      <c r="O346" t="inlineStr">
        <is>
          <t>Planes, programas y proyectos de Agua Potable y Saneamiento Básico</t>
        </is>
      </c>
      <c r="P346" t="inlineStr">
        <is>
          <t>670.17.1</t>
        </is>
      </c>
      <c r="Q346" t="inlineStr">
        <is>
          <t>REND FCROS. DESEMBOLSO EMPRESTITO CIC RB</t>
        </is>
      </c>
      <c r="R346" t="n">
        <v>0</v>
      </c>
      <c r="S346" t="n">
        <v>444819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444819</v>
      </c>
      <c r="Z346" t="n">
        <v>0</v>
      </c>
      <c r="AA346" t="n">
        <v>0</v>
      </c>
      <c r="AB346" t="n">
        <v>0</v>
      </c>
      <c r="AC346" t="n">
        <v>0</v>
      </c>
      <c r="AD346" t="n">
        <v>444819</v>
      </c>
      <c r="AE346" t="n">
        <v>0</v>
      </c>
    </row>
    <row r="347">
      <c r="A347" t="inlineStr">
        <is>
          <t>1 - ADMINISTRACIÓN CENTRAL</t>
        </is>
      </c>
      <c r="B347" t="inlineStr">
        <is>
          <t>40 - VIVIENDA, CIUDAD Y TERRITORIO</t>
        </is>
      </c>
      <c r="C347" t="inlineStr">
        <is>
          <t>1400</t>
        </is>
      </c>
      <c r="D347" t="inlineStr">
        <is>
          <t>4002</t>
        </is>
      </c>
      <c r="E347" t="inlineStr">
        <is>
          <t>4002020</t>
        </is>
      </c>
      <c r="F347" t="inlineStr">
        <is>
          <t>ESPACIO PUBLICO ADECUADO</t>
        </is>
      </c>
      <c r="G347" t="inlineStr">
        <is>
          <t>2024546600065</t>
        </is>
      </c>
      <c r="H347" t="inlineStr">
        <is>
          <t>ORDENAMIENTO TERRITORIAL Y DESARROLLO URBANO PDM UNIDOS SOMOS MÁS EN EL MUNICIPIO DE   SALAZAR</t>
        </is>
      </c>
      <c r="I347" t="inlineStr">
        <is>
          <t>53290</t>
        </is>
      </c>
      <c r="J347" t="inlineStr">
        <is>
          <t>Otras obras de ingeniería civil</t>
        </is>
      </c>
      <c r="K347" t="inlineStr">
        <is>
          <t>00</t>
        </is>
      </c>
      <c r="L347" t="inlineStr">
        <is>
          <t>SIN ATRIBUTO</t>
        </is>
      </c>
      <c r="N347" t="inlineStr">
        <is>
          <t>2.3.2.02.02.005.40.07</t>
        </is>
      </c>
      <c r="O347" t="inlineStr">
        <is>
          <t>Espacio publico adecuado</t>
        </is>
      </c>
      <c r="P347" t="inlineStr">
        <is>
          <t>410</t>
        </is>
      </c>
      <c r="Q347" t="inlineStr">
        <is>
          <t>SGP PROPOSITO GENERAL FORZOSA INVERSION LIBRE INVERSIÓN SALDOS NO EJECUTADOS NI INCORPORADOS VIGENCIAS ANTERIORES Y REIN</t>
        </is>
      </c>
      <c r="R347" t="n">
        <v>0</v>
      </c>
      <c r="S347" t="n">
        <v>50000000</v>
      </c>
      <c r="T347" t="n">
        <v>0</v>
      </c>
      <c r="U347" t="n">
        <v>0</v>
      </c>
      <c r="V347" t="n">
        <v>50000000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</row>
    <row r="348">
      <c r="A348" t="inlineStr">
        <is>
          <t>1 - ADMINISTRACIÓN CENTRAL</t>
        </is>
      </c>
      <c r="B348" t="inlineStr">
        <is>
          <t>00 - SIN SECTOR</t>
        </is>
      </c>
      <c r="C348" t="inlineStr">
        <is>
          <t>00</t>
        </is>
      </c>
      <c r="D348" t="inlineStr">
        <is>
          <t>0000</t>
        </is>
      </c>
      <c r="E348" t="inlineStr">
        <is>
          <t>000000</t>
        </is>
      </c>
      <c r="F348" t="inlineStr">
        <is>
          <t>SIN PRODUCTO</t>
        </is>
      </c>
      <c r="G348" t="inlineStr">
        <is>
          <t>00</t>
        </is>
      </c>
      <c r="H348" t="inlineStr">
        <is>
          <t>00</t>
        </is>
      </c>
      <c r="I348" t="inlineStr">
        <is>
          <t>00</t>
        </is>
      </c>
      <c r="J348" t="inlineStr">
        <is>
          <t>SIN PRODUCTO DANE</t>
        </is>
      </c>
      <c r="K348" t="inlineStr">
        <is>
          <t>00</t>
        </is>
      </c>
      <c r="L348" t="inlineStr">
        <is>
          <t>SIN ATRIBUTO</t>
        </is>
      </c>
      <c r="N348" t="inlineStr">
        <is>
          <t>2.3.2.02.02.005.43</t>
        </is>
      </c>
      <c r="O348" t="inlineStr">
        <is>
          <t>DEPORTE</t>
        </is>
      </c>
      <c r="P348" t="inlineStr">
        <is>
          <t>00</t>
        </is>
      </c>
      <c r="Q348" t="inlineStr">
        <is>
          <t>RECURSOS</t>
        </is>
      </c>
      <c r="R348" t="n">
        <v>95992852</v>
      </c>
      <c r="S348" t="n">
        <v>207994776</v>
      </c>
      <c r="T348" t="n">
        <v>37228932</v>
      </c>
      <c r="U348" t="n">
        <v>0</v>
      </c>
      <c r="V348" t="n">
        <v>0</v>
      </c>
      <c r="W348" t="n">
        <v>0</v>
      </c>
      <c r="X348" t="n">
        <v>0</v>
      </c>
      <c r="Y348" t="n">
        <v>266758696</v>
      </c>
      <c r="Z348" t="n">
        <v>0</v>
      </c>
      <c r="AA348" t="n">
        <v>0</v>
      </c>
      <c r="AB348" t="n">
        <v>0</v>
      </c>
      <c r="AC348" t="n">
        <v>0</v>
      </c>
      <c r="AD348" t="n">
        <v>266758696</v>
      </c>
      <c r="AE348" t="n">
        <v>0</v>
      </c>
    </row>
    <row r="349">
      <c r="A349" t="inlineStr">
        <is>
          <t>1 - ADMINISTRACIÓN CENTRAL</t>
        </is>
      </c>
      <c r="B349" t="inlineStr">
        <is>
          <t>43 - DEPORTE Y RECREACIÓN</t>
        </is>
      </c>
      <c r="C349" t="inlineStr">
        <is>
          <t>1604</t>
        </is>
      </c>
      <c r="D349" t="inlineStr">
        <is>
          <t>4301</t>
        </is>
      </c>
      <c r="E349" t="inlineStr">
        <is>
          <t>4301004</t>
        </is>
      </c>
      <c r="F349" t="inlineStr">
        <is>
          <t>SERVICIO DE MANTENIMIENTO A LA INFRAESTRUCTURA DEPORTIVA</t>
        </is>
      </c>
      <c r="G349" t="inlineStr">
        <is>
          <t>2024546600071</t>
        </is>
      </c>
      <c r="H349" t="inlineStr">
        <is>
          <t>APOYO PARA EL FOMENTO A LA RECREACIÓN LA ACTIVIDAD FÍSICA Y EL DEPORTE PDM UNIDOS SOMOS MÁS EN EL MUNICIPIO DE   SALAZAR</t>
        </is>
      </c>
      <c r="I349" t="inlineStr">
        <is>
          <t>54270</t>
        </is>
      </c>
      <c r="J349" t="inlineStr">
        <is>
          <t>Servicios generales de construcción de instalaciones al aire libre para deportes y esparcimiento</t>
        </is>
      </c>
      <c r="K349" t="inlineStr">
        <is>
          <t>00</t>
        </is>
      </c>
      <c r="L349" t="inlineStr">
        <is>
          <t>SIN ATRIBUTO</t>
        </is>
      </c>
      <c r="N349" t="inlineStr">
        <is>
          <t>2.3.2.02.02.005.43.01</t>
        </is>
      </c>
      <c r="O349" t="inlineStr">
        <is>
          <t>Mantenimiento a la infraestructura deportiva</t>
        </is>
      </c>
      <c r="P349" t="inlineStr">
        <is>
          <t>117</t>
        </is>
      </c>
      <c r="Q349" t="inlineStr">
        <is>
          <t>TASA PRODEPORTE Y RECREACION</t>
        </is>
      </c>
      <c r="R349" t="n">
        <v>58663920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58663920</v>
      </c>
      <c r="Z349" t="n">
        <v>0</v>
      </c>
      <c r="AA349" t="n">
        <v>0</v>
      </c>
      <c r="AB349" t="n">
        <v>0</v>
      </c>
      <c r="AC349" t="n">
        <v>0</v>
      </c>
      <c r="AD349" t="n">
        <v>58663920</v>
      </c>
      <c r="AE349" t="n">
        <v>0</v>
      </c>
    </row>
    <row r="350">
      <c r="A350" t="inlineStr">
        <is>
          <t>1 - ADMINISTRACIÓN CENTRAL</t>
        </is>
      </c>
      <c r="B350" t="inlineStr">
        <is>
          <t>43 - DEPORTE Y RECREACIÓN</t>
        </is>
      </c>
      <c r="C350" t="inlineStr">
        <is>
          <t>1604</t>
        </is>
      </c>
      <c r="D350" t="inlineStr">
        <is>
          <t>4301</t>
        </is>
      </c>
      <c r="E350" t="inlineStr">
        <is>
          <t>4301011</t>
        </is>
      </c>
      <c r="F350" t="inlineStr">
        <is>
          <t>PARQUES RECREATIVOS ADECUADOS</t>
        </is>
      </c>
      <c r="G350" t="inlineStr">
        <is>
          <t>2024546600071</t>
        </is>
      </c>
      <c r="H350" t="inlineStr">
        <is>
          <t>APOYO PARA EL FOMENTO A LA RECREACIÓN LA ACTIVIDAD FÍSICA Y EL DEPORTE PDM UNIDOS SOMOS MÁS EN EL MUNICIPIO DE   SALAZAR</t>
        </is>
      </c>
      <c r="I350" t="inlineStr">
        <is>
          <t>54270</t>
        </is>
      </c>
      <c r="J350" t="inlineStr">
        <is>
          <t>Servicios generales de construcción de instalaciones al aire libre para deportes y esparcimiento</t>
        </is>
      </c>
      <c r="K350" t="inlineStr">
        <is>
          <t>00</t>
        </is>
      </c>
      <c r="L350" t="inlineStr">
        <is>
          <t>SIN ATRIBUTO</t>
        </is>
      </c>
      <c r="N350" t="inlineStr">
        <is>
          <t>2.3.2.02.02.005.43.02</t>
        </is>
      </c>
      <c r="O350" t="inlineStr">
        <is>
          <t>Adecuación parques recreativos</t>
        </is>
      </c>
      <c r="P350" t="inlineStr">
        <is>
          <t>380</t>
        </is>
      </c>
      <c r="Q350" t="inlineStr">
        <is>
          <t>SGP PROPOSITO GENERAL FORZOSA INVERSION DEPORTE SGP ONCE DOCEAVAS VIGENCIA ACTUAL MAS ULTIMA DOCEAVA VIGENCIA ANTERIOR</t>
        </is>
      </c>
      <c r="R350" t="n">
        <v>37228932</v>
      </c>
      <c r="S350" t="n">
        <v>0</v>
      </c>
      <c r="T350" t="n">
        <v>37228932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</row>
    <row r="351">
      <c r="A351" t="inlineStr">
        <is>
          <t>1 - ADMINISTRACIÓN CENTRAL</t>
        </is>
      </c>
      <c r="B351" t="inlineStr">
        <is>
          <t>43 - DEPORTE Y RECREACIÓN</t>
        </is>
      </c>
      <c r="C351" t="inlineStr">
        <is>
          <t>1604</t>
        </is>
      </c>
      <c r="D351" t="inlineStr">
        <is>
          <t>4301</t>
        </is>
      </c>
      <c r="E351" t="inlineStr">
        <is>
          <t>4301011</t>
        </is>
      </c>
      <c r="F351" t="inlineStr">
        <is>
          <t>PARQUES RECREATIVOS ADECUADOS</t>
        </is>
      </c>
      <c r="G351" t="inlineStr">
        <is>
          <t>2024546600071</t>
        </is>
      </c>
      <c r="H351" t="inlineStr">
        <is>
          <t>APOYO PARA EL FOMENTO A LA RECREACIÓN LA ACTIVIDAD FÍSICA Y EL DEPORTE PDM UNIDOS SOMOS MÁS EN EL MUNICIPIO DE   SALAZAR</t>
        </is>
      </c>
      <c r="I351" t="inlineStr">
        <is>
          <t>54270</t>
        </is>
      </c>
      <c r="J351" t="inlineStr">
        <is>
          <t>Servicios generales de construcción de instalaciones al aire libre para deportes y esparcimiento</t>
        </is>
      </c>
      <c r="K351" t="inlineStr">
        <is>
          <t>00</t>
        </is>
      </c>
      <c r="L351" t="inlineStr">
        <is>
          <t>SIN ATRIBUTO</t>
        </is>
      </c>
      <c r="N351" t="inlineStr">
        <is>
          <t>2.3.2.02.02.005.43.03</t>
        </is>
      </c>
      <c r="O351" t="inlineStr">
        <is>
          <t>Adecuación parques recreativos</t>
        </is>
      </c>
      <c r="P351" t="inlineStr">
        <is>
          <t>117.2</t>
        </is>
      </c>
      <c r="Q351" t="inlineStr">
        <is>
          <t>RB RF TASA PRODEPORTE</t>
        </is>
      </c>
      <c r="R351" t="n">
        <v>100000</v>
      </c>
      <c r="S351" t="n">
        <v>305089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405089</v>
      </c>
      <c r="Z351" t="n">
        <v>0</v>
      </c>
      <c r="AA351" t="n">
        <v>0</v>
      </c>
      <c r="AB351" t="n">
        <v>0</v>
      </c>
      <c r="AC351" t="n">
        <v>0</v>
      </c>
      <c r="AD351" t="n">
        <v>405089</v>
      </c>
      <c r="AE351" t="n">
        <v>0</v>
      </c>
    </row>
    <row r="352">
      <c r="A352" t="inlineStr">
        <is>
          <t>1 - ADMINISTRACIÓN CENTRAL</t>
        </is>
      </c>
      <c r="B352" t="inlineStr">
        <is>
          <t>43 - DEPORTE Y RECREACIÓN</t>
        </is>
      </c>
      <c r="C352" t="inlineStr">
        <is>
          <t>1604</t>
        </is>
      </c>
      <c r="D352" t="inlineStr">
        <is>
          <t>4301</t>
        </is>
      </c>
      <c r="E352" t="inlineStr">
        <is>
          <t>4301004</t>
        </is>
      </c>
      <c r="F352" t="inlineStr">
        <is>
          <t>SERVICIO DE MANTENIMIENTO A LA INFRAESTRUCTURA DEPORTIVA</t>
        </is>
      </c>
      <c r="G352" t="inlineStr">
        <is>
          <t>2024546600071</t>
        </is>
      </c>
      <c r="H352" t="inlineStr">
        <is>
          <t>APOYO PARA EL FOMENTO A LA RECREACIÓN LA ACTIVIDAD FÍSICA Y EL DEPORTE PDM UNIDOS SOMOS MÁS EN EL MUNICIPIO DE   SALAZAR</t>
        </is>
      </c>
      <c r="I352" t="inlineStr">
        <is>
          <t>54270</t>
        </is>
      </c>
      <c r="J352" t="inlineStr">
        <is>
          <t>Servicios generales de construcción de instalaciones al aire libre para deportes y esparcimiento</t>
        </is>
      </c>
      <c r="K352" t="inlineStr">
        <is>
          <t>00</t>
        </is>
      </c>
      <c r="L352" t="inlineStr">
        <is>
          <t>SIN ATRIBUTO</t>
        </is>
      </c>
      <c r="N352" t="inlineStr">
        <is>
          <t>2.3.2.02.02.005.43.04</t>
        </is>
      </c>
      <c r="O352" t="inlineStr">
        <is>
          <t>Mantenimiento a la infraestructura deportiva</t>
        </is>
      </c>
      <c r="P352" t="inlineStr">
        <is>
          <t>370</t>
        </is>
      </c>
      <c r="Q352" t="inlineStr">
        <is>
          <t>RB SGP DEPORTE SALDOS NO EJECUTADOS NI INCORPORADOS VIGENCIAS ANTERIORES Y REINTEGROS</t>
        </is>
      </c>
      <c r="R352" t="n">
        <v>0</v>
      </c>
      <c r="S352" t="n">
        <v>70460755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70460755</v>
      </c>
      <c r="Z352" t="n">
        <v>0</v>
      </c>
      <c r="AA352" t="n">
        <v>0</v>
      </c>
      <c r="AB352" t="n">
        <v>0</v>
      </c>
      <c r="AC352" t="n">
        <v>0</v>
      </c>
      <c r="AD352" t="n">
        <v>70460755</v>
      </c>
      <c r="AE352" t="n">
        <v>0</v>
      </c>
    </row>
    <row r="353">
      <c r="A353" t="inlineStr">
        <is>
          <t>1 - ADMINISTRACIÓN CENTRAL</t>
        </is>
      </c>
      <c r="B353" t="inlineStr">
        <is>
          <t>43 - DEPORTE Y RECREACIÓN</t>
        </is>
      </c>
      <c r="C353" t="inlineStr">
        <is>
          <t>1604</t>
        </is>
      </c>
      <c r="D353" t="inlineStr">
        <is>
          <t>4301</t>
        </is>
      </c>
      <c r="E353" t="inlineStr">
        <is>
          <t>4301004</t>
        </is>
      </c>
      <c r="F353" t="inlineStr">
        <is>
          <t>SERVICIO DE MANTENIMIENTO A LA INFRAESTRUCTURA DEPORTIVA</t>
        </is>
      </c>
      <c r="G353" t="inlineStr">
        <is>
          <t>2024546600071</t>
        </is>
      </c>
      <c r="H353" t="inlineStr">
        <is>
          <t>APOYO PARA EL FOMENTO A LA RECREACIÓN LA ACTIVIDAD FÍSICA Y EL DEPORTE PDM UNIDOS SOMOS MÁS EN EL MUNICIPIO DE   SALAZAR</t>
        </is>
      </c>
      <c r="I353" t="inlineStr">
        <is>
          <t>54270</t>
        </is>
      </c>
      <c r="J353" t="inlineStr">
        <is>
          <t>Servicios generales de construcción de instalaciones al aire libre para deportes y esparcimiento</t>
        </is>
      </c>
      <c r="K353" t="inlineStr">
        <is>
          <t>00</t>
        </is>
      </c>
      <c r="L353" t="inlineStr">
        <is>
          <t>SIN ATRIBUTO</t>
        </is>
      </c>
      <c r="N353" t="inlineStr">
        <is>
          <t>2.3.2.02.02.005.43.05</t>
        </is>
      </c>
      <c r="O353" t="inlineStr">
        <is>
          <t>Mantenimiento a la infraestructura deportiva</t>
        </is>
      </c>
      <c r="P353" t="inlineStr">
        <is>
          <t>410</t>
        </is>
      </c>
      <c r="Q353" t="inlineStr">
        <is>
          <t>SGP PROPOSITO GENERAL FORZOSA INVERSION LIBRE INVERSIÓN SALDOS NO EJECUTADOS NI INCORPORADOS VIGENCIAS ANTERIORES Y REIN</t>
        </is>
      </c>
      <c r="R353" t="n">
        <v>0</v>
      </c>
      <c r="S353" t="n">
        <v>100000000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100000000</v>
      </c>
      <c r="Z353" t="n">
        <v>0</v>
      </c>
      <c r="AA353" t="n">
        <v>0</v>
      </c>
      <c r="AB353" t="n">
        <v>0</v>
      </c>
      <c r="AC353" t="n">
        <v>0</v>
      </c>
      <c r="AD353" t="n">
        <v>100000000</v>
      </c>
      <c r="AE353" t="n">
        <v>0</v>
      </c>
    </row>
    <row r="354">
      <c r="A354" t="inlineStr">
        <is>
          <t>1 - ADMINISTRACIÓN CENTRAL</t>
        </is>
      </c>
      <c r="B354" t="inlineStr">
        <is>
          <t>43 - DEPORTE Y RECREACIÓN</t>
        </is>
      </c>
      <c r="C354" t="inlineStr">
        <is>
          <t>1604</t>
        </is>
      </c>
      <c r="D354" t="inlineStr">
        <is>
          <t>4301</t>
        </is>
      </c>
      <c r="E354" t="inlineStr">
        <is>
          <t>4301011</t>
        </is>
      </c>
      <c r="F354" t="inlineStr">
        <is>
          <t>PARQUES RECREATIVOS ADECUADOS</t>
        </is>
      </c>
      <c r="G354" t="inlineStr">
        <is>
          <t>2024546600071</t>
        </is>
      </c>
      <c r="H354" t="inlineStr">
        <is>
          <t>APOYO PARA EL FOMENTO A LA RECREACIÓN LA ACTIVIDAD FÍSICA Y EL DEPORTE PDM UNIDOS SOMOS MÁS EN EL MUNICIPIO DE   SALAZAR</t>
        </is>
      </c>
      <c r="I354" t="inlineStr">
        <is>
          <t>54270</t>
        </is>
      </c>
      <c r="J354" t="inlineStr">
        <is>
          <t>Servicios generales de construcción de instalaciones al aire libre para deportes y esparcimiento</t>
        </is>
      </c>
      <c r="K354" t="inlineStr">
        <is>
          <t>00</t>
        </is>
      </c>
      <c r="L354" t="inlineStr">
        <is>
          <t>SIN ATRIBUTO</t>
        </is>
      </c>
      <c r="N354" t="inlineStr">
        <is>
          <t>2.3.2.02.02.005.43.06</t>
        </is>
      </c>
      <c r="O354" t="inlineStr">
        <is>
          <t>Adecuación parques recreativos</t>
        </is>
      </c>
      <c r="P354" t="inlineStr">
        <is>
          <t>117.1</t>
        </is>
      </c>
      <c r="Q354" t="inlineStr">
        <is>
          <t>TASA PRODEPORTE RB</t>
        </is>
      </c>
      <c r="R354" t="n">
        <v>0</v>
      </c>
      <c r="S354" t="n">
        <v>37228932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37228932</v>
      </c>
      <c r="Z354" t="n">
        <v>0</v>
      </c>
      <c r="AA354" t="n">
        <v>0</v>
      </c>
      <c r="AB354" t="n">
        <v>0</v>
      </c>
      <c r="AC354" t="n">
        <v>0</v>
      </c>
      <c r="AD354" t="n">
        <v>37228932</v>
      </c>
      <c r="AE354" t="n">
        <v>0</v>
      </c>
    </row>
    <row r="355">
      <c r="A355" t="inlineStr">
        <is>
          <t>1 - ADMINISTRACIÓN CENTRAL</t>
        </is>
      </c>
      <c r="B355" t="inlineStr">
        <is>
          <t>00 - SIN SECTOR</t>
        </is>
      </c>
      <c r="C355" t="inlineStr">
        <is>
          <t>00</t>
        </is>
      </c>
      <c r="D355" t="inlineStr">
        <is>
          <t>0000</t>
        </is>
      </c>
      <c r="E355" t="inlineStr">
        <is>
          <t>000000</t>
        </is>
      </c>
      <c r="F355" t="inlineStr">
        <is>
          <t>SIN PRODUCTO</t>
        </is>
      </c>
      <c r="G355" t="inlineStr">
        <is>
          <t>00</t>
        </is>
      </c>
      <c r="H355" t="inlineStr">
        <is>
          <t>00</t>
        </is>
      </c>
      <c r="I355" t="inlineStr">
        <is>
          <t>00</t>
        </is>
      </c>
      <c r="J355" t="inlineStr">
        <is>
          <t>SIN PRODUCTO DANE</t>
        </is>
      </c>
      <c r="K355" t="inlineStr">
        <is>
          <t>00</t>
        </is>
      </c>
      <c r="L355" t="inlineStr">
        <is>
          <t>SIN ATRIBUTO</t>
        </is>
      </c>
      <c r="N355" t="inlineStr">
        <is>
          <t>2.3.2.02.02.005.45</t>
        </is>
      </c>
      <c r="O355" t="inlineStr">
        <is>
          <t>GOBIERNO TERRITORIAL</t>
        </is>
      </c>
      <c r="P355" t="inlineStr">
        <is>
          <t>00</t>
        </is>
      </c>
      <c r="Q355" t="inlineStr">
        <is>
          <t>RECURSOS</t>
        </is>
      </c>
      <c r="R355" t="n">
        <v>133605462</v>
      </c>
      <c r="S355" t="n">
        <v>60000000</v>
      </c>
      <c r="T355" t="n">
        <v>0</v>
      </c>
      <c r="U355" t="n">
        <v>0</v>
      </c>
      <c r="V355" t="n">
        <v>46485000</v>
      </c>
      <c r="W355" t="n">
        <v>0</v>
      </c>
      <c r="X355" t="n">
        <v>0</v>
      </c>
      <c r="Y355" t="n">
        <v>147120462</v>
      </c>
      <c r="Z355" t="n">
        <v>0</v>
      </c>
      <c r="AA355" t="n">
        <v>0</v>
      </c>
      <c r="AB355" t="n">
        <v>0</v>
      </c>
      <c r="AC355" t="n">
        <v>0</v>
      </c>
      <c r="AD355" t="n">
        <v>147120462</v>
      </c>
      <c r="AE355" t="n">
        <v>0</v>
      </c>
    </row>
    <row r="356">
      <c r="A356" t="inlineStr">
        <is>
          <t>1 - ADMINISTRACIÓN CENTRAL</t>
        </is>
      </c>
      <c r="B356" t="inlineStr">
        <is>
          <t>45 - GOBIERNO TERRITORIAL</t>
        </is>
      </c>
      <c r="C356" t="inlineStr">
        <is>
          <t>1000</t>
        </is>
      </c>
      <c r="D356" t="inlineStr">
        <is>
          <t>4503</t>
        </is>
      </c>
      <c r="E356" t="inlineStr">
        <is>
          <t>4503022</t>
        </is>
      </c>
      <c r="F356" t="inlineStr">
        <is>
          <t>OBRAS DE INFRAESTRUCTURA PARA LA REDUCCIÓN DEL RIESGO DE DESASTRES</t>
        </is>
      </c>
      <c r="G356" t="inlineStr">
        <is>
          <t>2024546600074</t>
        </is>
      </c>
      <c r="H356" t="inlineStr">
        <is>
          <t>FORTALECIMIENTO PARA LA GESTIÓN DEL RIESGO DE DESASTRES Y EMERGENCIAS DEL MUNICIPIO DE  SALAZAR</t>
        </is>
      </c>
      <c r="I356" t="inlineStr">
        <is>
          <t>53290</t>
        </is>
      </c>
      <c r="J356" t="inlineStr">
        <is>
          <t>Otras obras de ingeniería civil</t>
        </is>
      </c>
      <c r="K356" t="inlineStr">
        <is>
          <t>00</t>
        </is>
      </c>
      <c r="L356" t="inlineStr">
        <is>
          <t>SIN ATRIBUTO</t>
        </is>
      </c>
      <c r="N356" t="inlineStr">
        <is>
          <t>2.3.2.02.02.005.45.01</t>
        </is>
      </c>
      <c r="O356" t="inlineStr">
        <is>
          <t>Obras de infraestructura para la reducción del riesgo de desastres</t>
        </is>
      </c>
      <c r="P356" t="inlineStr">
        <is>
          <t>420</t>
        </is>
      </c>
      <c r="Q356" t="inlineStr">
        <is>
          <t>SGP PROPOSITO GENERAL FORZOSA INVERSION LIBRE INVERSIÓN SGP ONCE DOCEAVAS VIGENCIA ACTUAL MAS ULTIMA DOCEAVA VIGENCIA AN</t>
        </is>
      </c>
      <c r="R356" t="n">
        <v>40000000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40000000</v>
      </c>
      <c r="Z356" t="n">
        <v>0</v>
      </c>
      <c r="AA356" t="n">
        <v>0</v>
      </c>
      <c r="AB356" t="n">
        <v>0</v>
      </c>
      <c r="AC356" t="n">
        <v>0</v>
      </c>
      <c r="AD356" t="n">
        <v>40000000</v>
      </c>
      <c r="AE356" t="n">
        <v>0</v>
      </c>
    </row>
    <row r="357">
      <c r="A357" t="inlineStr">
        <is>
          <t>1 - ADMINISTRACIÓN CENTRAL</t>
        </is>
      </c>
      <c r="B357" t="inlineStr">
        <is>
          <t>45 - GOBIERNO TERRITORIAL</t>
        </is>
      </c>
      <c r="C357" t="inlineStr">
        <is>
          <t>1000</t>
        </is>
      </c>
      <c r="D357" t="inlineStr">
        <is>
          <t>4599</t>
        </is>
      </c>
      <c r="E357" t="inlineStr">
        <is>
          <t>4599011</t>
        </is>
      </c>
      <c r="F357" t="inlineStr">
        <is>
          <t>SEDES ADECUADAS</t>
        </is>
      </c>
      <c r="G357" t="inlineStr">
        <is>
          <t>2024546600075</t>
        </is>
      </c>
      <c r="H357" t="inlineStr">
        <is>
          <t>FORTALECIMIENTO A LA GESTIÓN Y DIRECCIÓN DE LA ADMINISTRACIÓN PÚBLICA TERRITORIAL PDM UNIDOS SOMOS MÁS EN EL MUNICIPIO DE  SALAZAR</t>
        </is>
      </c>
      <c r="I357" t="inlineStr">
        <is>
          <t>53290</t>
        </is>
      </c>
      <c r="J357" t="inlineStr">
        <is>
          <t>Otras obras de ingeniería civil</t>
        </is>
      </c>
      <c r="K357" t="inlineStr">
        <is>
          <t>00</t>
        </is>
      </c>
      <c r="L357" t="inlineStr">
        <is>
          <t>SIN ATRIBUTO</t>
        </is>
      </c>
      <c r="N357" t="inlineStr">
        <is>
          <t>2.3.2.02.02.005.45.02</t>
        </is>
      </c>
      <c r="O357" t="inlineStr">
        <is>
          <t>Sedes Adecuadas</t>
        </is>
      </c>
      <c r="P357" t="inlineStr">
        <is>
          <t>420</t>
        </is>
      </c>
      <c r="Q357" t="inlineStr">
        <is>
          <t>SGP PROPOSITO GENERAL FORZOSA INVERSION LIBRE INVERSIÓN SGP ONCE DOCEAVAS VIGENCIA ACTUAL MAS ULTIMA DOCEAVA VIGENCIA AN</t>
        </is>
      </c>
      <c r="R357" t="n">
        <v>93605462</v>
      </c>
      <c r="S357" t="n">
        <v>0</v>
      </c>
      <c r="T357" t="n">
        <v>0</v>
      </c>
      <c r="U357" t="n">
        <v>0</v>
      </c>
      <c r="V357" t="n">
        <v>46485000</v>
      </c>
      <c r="W357" t="n">
        <v>0</v>
      </c>
      <c r="X357" t="n">
        <v>0</v>
      </c>
      <c r="Y357" t="n">
        <v>47120462</v>
      </c>
      <c r="Z357" t="n">
        <v>0</v>
      </c>
      <c r="AA357" t="n">
        <v>0</v>
      </c>
      <c r="AB357" t="n">
        <v>0</v>
      </c>
      <c r="AC357" t="n">
        <v>0</v>
      </c>
      <c r="AD357" t="n">
        <v>47120462</v>
      </c>
      <c r="AE357" t="n">
        <v>0</v>
      </c>
    </row>
    <row r="358">
      <c r="A358" t="inlineStr">
        <is>
          <t>1 - ADMINISTRACIÓN CENTRAL</t>
        </is>
      </c>
      <c r="B358" t="inlineStr">
        <is>
          <t>45 - GOBIERNO TERRITORIAL</t>
        </is>
      </c>
      <c r="C358" t="inlineStr">
        <is>
          <t>1000</t>
        </is>
      </c>
      <c r="D358" t="inlineStr">
        <is>
          <t>4599</t>
        </is>
      </c>
      <c r="E358" t="inlineStr">
        <is>
          <t>4599011</t>
        </is>
      </c>
      <c r="F358" t="inlineStr">
        <is>
          <t>SEDES ADECUADAS</t>
        </is>
      </c>
      <c r="G358" t="inlineStr">
        <is>
          <t>2024546600075</t>
        </is>
      </c>
      <c r="H358" t="inlineStr">
        <is>
          <t>FORTALECIMIENTO A LA GESTIÓN Y DIRECCIÓN DE LA ADMINISTRACIÓN PÚBLICA TERRITORIAL PDM UNIDOS SOMOS MÁS EN EL MUNICIPIO DE  SALAZAR</t>
        </is>
      </c>
      <c r="I358" t="inlineStr">
        <is>
          <t>53290</t>
        </is>
      </c>
      <c r="J358" t="inlineStr">
        <is>
          <t>Otras obras de ingeniería civil</t>
        </is>
      </c>
      <c r="K358" t="inlineStr">
        <is>
          <t>00</t>
        </is>
      </c>
      <c r="L358" t="inlineStr">
        <is>
          <t>SIN ATRIBUTO</t>
        </is>
      </c>
      <c r="N358" t="inlineStr">
        <is>
          <t>2.3.2.02.02.005.45.03</t>
        </is>
      </c>
      <c r="O358" t="inlineStr">
        <is>
          <t>Sedes Adecuadas</t>
        </is>
      </c>
      <c r="P358" t="inlineStr">
        <is>
          <t>410</t>
        </is>
      </c>
      <c r="Q358" t="inlineStr">
        <is>
          <t>SGP PROPOSITO GENERAL FORZOSA INVERSION LIBRE INVERSIÓN SALDOS NO EJECUTADOS NI INCORPORADOS VIGENCIAS ANTERIORES Y REIN</t>
        </is>
      </c>
      <c r="R358" t="n">
        <v>0</v>
      </c>
      <c r="S358" t="n">
        <v>60000000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60000000</v>
      </c>
      <c r="Z358" t="n">
        <v>0</v>
      </c>
      <c r="AA358" t="n">
        <v>0</v>
      </c>
      <c r="AB358" t="n">
        <v>0</v>
      </c>
      <c r="AC358" t="n">
        <v>0</v>
      </c>
      <c r="AD358" t="n">
        <v>60000000</v>
      </c>
      <c r="AE358" t="n">
        <v>0</v>
      </c>
    </row>
    <row r="359">
      <c r="A359" t="inlineStr">
        <is>
          <t>1 - ADMINISTRACIÓN CENTRAL</t>
        </is>
      </c>
      <c r="B359" t="inlineStr">
        <is>
          <t>00 - SIN SECTOR</t>
        </is>
      </c>
      <c r="C359" t="inlineStr">
        <is>
          <t>00</t>
        </is>
      </c>
      <c r="D359" t="inlineStr">
        <is>
          <t>0000</t>
        </is>
      </c>
      <c r="E359" t="inlineStr">
        <is>
          <t>000000</t>
        </is>
      </c>
      <c r="F359" t="inlineStr">
        <is>
          <t>SIN PRODUCTO</t>
        </is>
      </c>
      <c r="G359" t="inlineStr">
        <is>
          <t>00</t>
        </is>
      </c>
      <c r="H359" t="inlineStr">
        <is>
          <t>00</t>
        </is>
      </c>
      <c r="I359" t="inlineStr">
        <is>
          <t>00</t>
        </is>
      </c>
      <c r="J359" t="inlineStr">
        <is>
          <t>SIN PRODUCTO DANE</t>
        </is>
      </c>
      <c r="K359" t="inlineStr">
        <is>
          <t>00</t>
        </is>
      </c>
      <c r="L359" t="inlineStr">
        <is>
          <t>SIN ATRIBUTO</t>
        </is>
      </c>
      <c r="N359" t="inlineStr">
        <is>
          <t>2.3.2.02.02.006</t>
        </is>
      </c>
      <c r="O359" t="inlineStr">
        <is>
          <t>COMERCIO Y DISTRIBUCION; ALOJAMIENTO; SERVICIOS DE SUMINISTRO DE COMIDAS Y BEBIDAS; SERVICIOS DE TRANSPORTE; Y SERVICIOS DE DISTRIBUCION DE ELECTRICIDAD, GAS Y AGUA</t>
        </is>
      </c>
      <c r="P359" t="inlineStr">
        <is>
          <t>00</t>
        </is>
      </c>
      <c r="Q359" t="inlineStr">
        <is>
          <t>RECURSOS</t>
        </is>
      </c>
      <c r="R359" t="n">
        <v>836892064</v>
      </c>
      <c r="S359" t="n">
        <v>24542096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861434160</v>
      </c>
      <c r="Z359" t="n">
        <v>836792064</v>
      </c>
      <c r="AA359" t="n">
        <v>746550000</v>
      </c>
      <c r="AB359" t="n">
        <v>162949250</v>
      </c>
      <c r="AC359" t="n">
        <v>162949250</v>
      </c>
      <c r="AD359" t="n">
        <v>24642096</v>
      </c>
      <c r="AE359" t="n">
        <v>97.14</v>
      </c>
    </row>
    <row r="360">
      <c r="A360" t="inlineStr">
        <is>
          <t>1 - ADMINISTRACIÓN CENTRAL</t>
        </is>
      </c>
      <c r="B360" t="inlineStr">
        <is>
          <t>22 - EDUCACIÓN</t>
        </is>
      </c>
      <c r="C360" t="inlineStr">
        <is>
          <t>0700</t>
        </is>
      </c>
      <c r="D360" t="inlineStr">
        <is>
          <t>2201</t>
        </is>
      </c>
      <c r="E360" t="inlineStr">
        <is>
          <t>2201029</t>
        </is>
      </c>
      <c r="F360" t="inlineStr">
        <is>
          <t>SERVICIO DE APOYO A LA PERMANENCIA CON TRANSPORTE ESCOLAR</t>
        </is>
      </c>
      <c r="G360" t="inlineStr">
        <is>
          <t>2024546600038</t>
        </is>
      </c>
      <c r="H360" t="inlineStr">
        <is>
          <t>FORTALECIMIENTO DE LA CALIDAD Y COBERTURA DE LA EDUCACION BASICA Y MEDA EN EL MUNICIPIO DE SALAZAR DE LAS PALMAS</t>
        </is>
      </c>
      <c r="I360" t="inlineStr">
        <is>
          <t>64114</t>
        </is>
      </c>
      <c r="J360" t="inlineStr">
        <is>
          <t>Servicios de transporte terrestre especial local de pasajeros</t>
        </is>
      </c>
      <c r="K360" t="inlineStr">
        <is>
          <t>00</t>
        </is>
      </c>
      <c r="L360" t="inlineStr">
        <is>
          <t>SIN ATRIBUTO</t>
        </is>
      </c>
      <c r="N360" t="inlineStr">
        <is>
          <t>2.3.2.02.02.006.22.01</t>
        </is>
      </c>
      <c r="O360" t="inlineStr">
        <is>
          <t>Servicio de transporte escolar</t>
        </is>
      </c>
      <c r="P360" t="inlineStr">
        <is>
          <t>230</t>
        </is>
      </c>
      <c r="Q360" t="inlineStr">
        <is>
          <t>SGP EDUCACION CALIDAD DOCE DOCEAVAS VIGENCIA ACTUAL</t>
        </is>
      </c>
      <c r="R360" t="n">
        <v>94655711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94655711</v>
      </c>
      <c r="Z360" t="n">
        <v>94655711</v>
      </c>
      <c r="AA360" t="n">
        <v>91205711</v>
      </c>
      <c r="AB360" t="n">
        <v>0</v>
      </c>
      <c r="AC360" t="n">
        <v>0</v>
      </c>
      <c r="AD360" t="n">
        <v>0</v>
      </c>
      <c r="AE360" t="n">
        <v>100</v>
      </c>
    </row>
    <row r="361">
      <c r="A361" t="inlineStr">
        <is>
          <t>1 - ADMINISTRACIÓN CENTRAL</t>
        </is>
      </c>
      <c r="B361" t="inlineStr">
        <is>
          <t>22 - EDUCACIÓN</t>
        </is>
      </c>
      <c r="C361" t="inlineStr">
        <is>
          <t>0700</t>
        </is>
      </c>
      <c r="D361" t="inlineStr">
        <is>
          <t>2201</t>
        </is>
      </c>
      <c r="E361" t="inlineStr">
        <is>
          <t>2201029</t>
        </is>
      </c>
      <c r="F361" t="inlineStr">
        <is>
          <t>SERVICIO DE APOYO A LA PERMANENCIA CON TRANSPORTE ESCOLAR</t>
        </is>
      </c>
      <c r="G361" t="inlineStr">
        <is>
          <t>2024546600038</t>
        </is>
      </c>
      <c r="H361" t="inlineStr">
        <is>
          <t>FORTALECIMIENTO DE LA CALIDAD Y COBERTURA DE LA EDUCACION BASICA Y MEDA EN EL MUNICIPIO DE SALAZAR DE LAS PALMAS</t>
        </is>
      </c>
      <c r="I361" t="inlineStr">
        <is>
          <t>64114</t>
        </is>
      </c>
      <c r="J361" t="inlineStr">
        <is>
          <t>Servicios de transporte terrestre especial local de pasajeros</t>
        </is>
      </c>
      <c r="K361" t="inlineStr">
        <is>
          <t>00</t>
        </is>
      </c>
      <c r="L361" t="inlineStr">
        <is>
          <t>SIN ATRIBUTO</t>
        </is>
      </c>
      <c r="N361" t="inlineStr">
        <is>
          <t>2.3.2.02.02.006.22.02</t>
        </is>
      </c>
      <c r="O361" t="inlineStr">
        <is>
          <t>Servicio de transporte escolar</t>
        </is>
      </c>
      <c r="P361" t="inlineStr">
        <is>
          <t>420</t>
        </is>
      </c>
      <c r="Q361" t="inlineStr">
        <is>
          <t>SGP PROPOSITO GENERAL FORZOSA INVERSION LIBRE INVERSIÓN SGP ONCE DOCEAVAS VIGENCIA ACTUAL MAS ULTIMA DOCEAVA VIGENCIA AN</t>
        </is>
      </c>
      <c r="R361" t="n">
        <v>655344289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655344289</v>
      </c>
      <c r="Z361" t="n">
        <v>655344289</v>
      </c>
      <c r="AA361" t="n">
        <v>655344289</v>
      </c>
      <c r="AB361" t="n">
        <v>162949250</v>
      </c>
      <c r="AC361" t="n">
        <v>162949250</v>
      </c>
      <c r="AD361" t="n">
        <v>0</v>
      </c>
      <c r="AE361" t="n">
        <v>100</v>
      </c>
    </row>
    <row r="362">
      <c r="A362" t="inlineStr">
        <is>
          <t>1 - ADMINISTRACIÓN CENTRAL</t>
        </is>
      </c>
      <c r="B362" t="inlineStr">
        <is>
          <t>22 - EDUCACIÓN</t>
        </is>
      </c>
      <c r="C362" t="inlineStr">
        <is>
          <t>0700</t>
        </is>
      </c>
      <c r="D362" t="inlineStr">
        <is>
          <t>2201</t>
        </is>
      </c>
      <c r="E362" t="inlineStr">
        <is>
          <t>2201028</t>
        </is>
      </c>
      <c r="F362" t="inlineStr">
        <is>
          <t>SERVICIO DE APOYO A LA PERMANENCIA CON ALIMENTACIÓN ESCOLAR</t>
        </is>
      </c>
      <c r="G362" t="inlineStr">
        <is>
          <t>2024546600038</t>
        </is>
      </c>
      <c r="H362" t="inlineStr">
        <is>
          <t>FORTALECIMIENTO DE LA CALIDAD Y COBERTURA DE LA EDUCACION BASICA Y MEDA EN EL MUNICIPIO DE SALAZAR DE LAS PALMAS</t>
        </is>
      </c>
      <c r="I362" t="inlineStr">
        <is>
          <t>63399</t>
        </is>
      </c>
      <c r="J362" t="inlineStr">
        <is>
          <t>Otros servicios de suministro de comidas</t>
        </is>
      </c>
      <c r="K362" t="inlineStr">
        <is>
          <t>00</t>
        </is>
      </c>
      <c r="L362" t="inlineStr">
        <is>
          <t>SIN ATRIBUTO</t>
        </is>
      </c>
      <c r="N362" t="inlineStr">
        <is>
          <t>2.3.2.02.02.006.22.03</t>
        </is>
      </c>
      <c r="O362" t="inlineStr">
        <is>
          <t>Menaje para comedores escolares</t>
        </is>
      </c>
      <c r="P362" t="inlineStr">
        <is>
          <t>130</t>
        </is>
      </c>
      <c r="Q362" t="inlineStr">
        <is>
          <t>SGP ALIMENTACION ESCOLAR ONCE DOCEAVAS VIGENCIA ACTUAL MAS ULTIMA DOCEAVA VIGENCIA ANTERIOR</t>
        </is>
      </c>
      <c r="R362" t="n">
        <v>86792064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86792064</v>
      </c>
      <c r="Z362" t="n">
        <v>86792064</v>
      </c>
      <c r="AA362" t="n">
        <v>0</v>
      </c>
      <c r="AB362" t="n">
        <v>0</v>
      </c>
      <c r="AC362" t="n">
        <v>0</v>
      </c>
      <c r="AD362" t="n">
        <v>0</v>
      </c>
      <c r="AE362" t="n">
        <v>100</v>
      </c>
    </row>
    <row r="363">
      <c r="A363" t="inlineStr">
        <is>
          <t>1 - ADMINISTRACIÓN CENTRAL</t>
        </is>
      </c>
      <c r="B363" t="inlineStr">
        <is>
          <t>22 - EDUCACIÓN</t>
        </is>
      </c>
      <c r="C363" t="inlineStr">
        <is>
          <t>0700</t>
        </is>
      </c>
      <c r="D363" t="inlineStr">
        <is>
          <t>2201</t>
        </is>
      </c>
      <c r="E363" t="inlineStr">
        <is>
          <t>2201028</t>
        </is>
      </c>
      <c r="F363" t="inlineStr">
        <is>
          <t>SERVICIO DE APOYO A LA PERMANENCIA CON ALIMENTACIÓN ESCOLAR</t>
        </is>
      </c>
      <c r="G363" t="inlineStr">
        <is>
          <t>2024546600038</t>
        </is>
      </c>
      <c r="H363" t="inlineStr">
        <is>
          <t>FORTALECIMIENTO DE LA CALIDAD Y COBERTURA DE LA EDUCACION BASICA Y MEDA EN EL MUNICIPIO DE SALAZAR DE LAS PALMAS</t>
        </is>
      </c>
      <c r="I363" t="inlineStr">
        <is>
          <t>63399</t>
        </is>
      </c>
      <c r="J363" t="inlineStr">
        <is>
          <t>Otros servicios de suministro de comidas</t>
        </is>
      </c>
      <c r="K363" t="inlineStr">
        <is>
          <t>00</t>
        </is>
      </c>
      <c r="L363" t="inlineStr">
        <is>
          <t>SIN ATRIBUTO</t>
        </is>
      </c>
      <c r="N363" t="inlineStr">
        <is>
          <t>2.3.2.02.02.006.22.04</t>
        </is>
      </c>
      <c r="O363" t="inlineStr">
        <is>
          <t>Menaje para comedores escolares</t>
        </is>
      </c>
      <c r="P363" t="inlineStr">
        <is>
          <t>140</t>
        </is>
      </c>
      <c r="Q363" t="inlineStr">
        <is>
          <t>SGP ALIMENTACION ESCOLAR RENDIMIENTOS FINANCIEROS</t>
        </is>
      </c>
      <c r="R363" t="n">
        <v>100000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100000</v>
      </c>
      <c r="Z363" t="n">
        <v>0</v>
      </c>
      <c r="AA363" t="n">
        <v>0</v>
      </c>
      <c r="AB363" t="n">
        <v>0</v>
      </c>
      <c r="AC363" t="n">
        <v>0</v>
      </c>
      <c r="AD363" t="n">
        <v>100000</v>
      </c>
      <c r="AE363" t="n">
        <v>0</v>
      </c>
    </row>
    <row r="364">
      <c r="A364" t="inlineStr">
        <is>
          <t>1 - ADMINISTRACIÓN CENTRAL</t>
        </is>
      </c>
      <c r="B364" t="inlineStr">
        <is>
          <t>22 - EDUCACIÓN</t>
        </is>
      </c>
      <c r="C364" t="inlineStr">
        <is>
          <t>0700</t>
        </is>
      </c>
      <c r="D364" t="inlineStr">
        <is>
          <t>2201</t>
        </is>
      </c>
      <c r="E364" t="inlineStr">
        <is>
          <t>2201028</t>
        </is>
      </c>
      <c r="F364" t="inlineStr">
        <is>
          <t>SERVICIO DE APOYO A LA PERMANENCIA CON ALIMENTACIÓN ESCOLAR</t>
        </is>
      </c>
      <c r="G364" t="inlineStr">
        <is>
          <t>2024546600038</t>
        </is>
      </c>
      <c r="H364" t="inlineStr">
        <is>
          <t>FORTALECIMIENTO DE LA CALIDAD Y COBERTURA DE LA EDUCACION BASICA Y MEDA EN EL MUNICIPIO DE SALAZAR DE LAS PALMAS</t>
        </is>
      </c>
      <c r="I364" t="inlineStr">
        <is>
          <t>91121</t>
        </is>
      </c>
      <c r="J364" t="inlineStr">
        <is>
          <t>Servicios de la administración pública relacionados con la educación</t>
        </is>
      </c>
      <c r="K364" t="inlineStr">
        <is>
          <t>00</t>
        </is>
      </c>
      <c r="L364" t="inlineStr">
        <is>
          <t>SIN ATRIBUTO</t>
        </is>
      </c>
      <c r="N364" t="inlineStr">
        <is>
          <t>2.3.2.02.02.006.22.05</t>
        </is>
      </c>
      <c r="O364" t="inlineStr">
        <is>
          <t>Menaje para comedores escolares</t>
        </is>
      </c>
      <c r="P364" t="inlineStr">
        <is>
          <t>130.1</t>
        </is>
      </c>
      <c r="Q364" t="inlineStr">
        <is>
          <t>RB SGP ALIMENTACION ESCOLAR</t>
        </is>
      </c>
      <c r="R364" t="n">
        <v>0</v>
      </c>
      <c r="S364" t="n">
        <v>21598014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21598014</v>
      </c>
      <c r="Z364" t="n">
        <v>0</v>
      </c>
      <c r="AA364" t="n">
        <v>0</v>
      </c>
      <c r="AB364" t="n">
        <v>0</v>
      </c>
      <c r="AC364" t="n">
        <v>0</v>
      </c>
      <c r="AD364" t="n">
        <v>21598014</v>
      </c>
      <c r="AE364" t="n">
        <v>0</v>
      </c>
    </row>
    <row r="365">
      <c r="A365" t="inlineStr">
        <is>
          <t>1 - ADMINISTRACIÓN CENTRAL</t>
        </is>
      </c>
      <c r="B365" t="inlineStr">
        <is>
          <t>22 - EDUCACIÓN</t>
        </is>
      </c>
      <c r="C365" t="inlineStr">
        <is>
          <t>0700</t>
        </is>
      </c>
      <c r="D365" t="inlineStr">
        <is>
          <t>2201</t>
        </is>
      </c>
      <c r="E365" t="inlineStr">
        <is>
          <t>2201028</t>
        </is>
      </c>
      <c r="F365" t="inlineStr">
        <is>
          <t>SERVICIO DE APOYO A LA PERMANENCIA CON ALIMENTACIÓN ESCOLAR</t>
        </is>
      </c>
      <c r="G365" t="inlineStr">
        <is>
          <t>2024546600038</t>
        </is>
      </c>
      <c r="H365" t="inlineStr">
        <is>
          <t>FORTALECIMIENTO DE LA CALIDAD Y COBERTURA DE LA EDUCACION BASICA Y MEDA EN EL MUNICIPIO DE SALAZAR DE LAS PALMAS</t>
        </is>
      </c>
      <c r="I365" t="inlineStr">
        <is>
          <t>63399</t>
        </is>
      </c>
      <c r="J365" t="inlineStr">
        <is>
          <t>Otros servicios de suministro de comidas</t>
        </is>
      </c>
      <c r="K365" t="inlineStr">
        <is>
          <t>00</t>
        </is>
      </c>
      <c r="L365" t="inlineStr">
        <is>
          <t>SIN ATRIBUTO</t>
        </is>
      </c>
      <c r="N365" t="inlineStr">
        <is>
          <t>2.3.2.02.02.006.22.06</t>
        </is>
      </c>
      <c r="O365" t="inlineStr">
        <is>
          <t>Servicio de apoyo a la permanencia con alimentación escolar</t>
        </is>
      </c>
      <c r="P365" t="inlineStr">
        <is>
          <t>140.1</t>
        </is>
      </c>
      <c r="Q365" t="inlineStr">
        <is>
          <t>BALANCE SGP ALIMENTACION ESCOLAR RENDIMIENTOS FINANCIEROS</t>
        </is>
      </c>
      <c r="R365" t="n">
        <v>0</v>
      </c>
      <c r="S365" t="n">
        <v>2944082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2944082</v>
      </c>
      <c r="Z365" t="n">
        <v>0</v>
      </c>
      <c r="AA365" t="n">
        <v>0</v>
      </c>
      <c r="AB365" t="n">
        <v>0</v>
      </c>
      <c r="AC365" t="n">
        <v>0</v>
      </c>
      <c r="AD365" t="n">
        <v>2944082</v>
      </c>
      <c r="AE365" t="n">
        <v>0</v>
      </c>
    </row>
    <row r="366">
      <c r="A366" t="inlineStr">
        <is>
          <t>1 - ADMINISTRACIÓN CENTRAL</t>
        </is>
      </c>
      <c r="B366" t="inlineStr">
        <is>
          <t>00 - SIN SECTOR</t>
        </is>
      </c>
      <c r="C366" t="inlineStr">
        <is>
          <t>00</t>
        </is>
      </c>
      <c r="D366" t="inlineStr">
        <is>
          <t>0000</t>
        </is>
      </c>
      <c r="E366" t="inlineStr">
        <is>
          <t>000000</t>
        </is>
      </c>
      <c r="F366" t="inlineStr">
        <is>
          <t>SIN PRODUCTO</t>
        </is>
      </c>
      <c r="G366" t="inlineStr">
        <is>
          <t>00</t>
        </is>
      </c>
      <c r="H366" t="inlineStr">
        <is>
          <t>00</t>
        </is>
      </c>
      <c r="I366" t="inlineStr">
        <is>
          <t>00</t>
        </is>
      </c>
      <c r="J366" t="inlineStr">
        <is>
          <t>SIN PRODUCTO DANE</t>
        </is>
      </c>
      <c r="K366" t="inlineStr">
        <is>
          <t>00</t>
        </is>
      </c>
      <c r="L366" t="inlineStr">
        <is>
          <t>SIN ATRIBUTO</t>
        </is>
      </c>
      <c r="N366" t="inlineStr">
        <is>
          <t>2.3.2.02.02.007</t>
        </is>
      </c>
      <c r="O366" t="inlineStr">
        <is>
          <t>SERVICIOS FINANCIEROS Y SERVICIOS CONEXOS; SERVICIOS INMOBILIARIOS; Y SERVICIOS DE ARRENDAMIENTO Y LEASING</t>
        </is>
      </c>
      <c r="P366" t="inlineStr">
        <is>
          <t>00</t>
        </is>
      </c>
      <c r="Q366" t="inlineStr">
        <is>
          <t>RECURSOS</t>
        </is>
      </c>
      <c r="R366" t="n">
        <v>0</v>
      </c>
      <c r="S366" t="n">
        <v>0</v>
      </c>
      <c r="T366" t="n">
        <v>0</v>
      </c>
      <c r="U366" t="n">
        <v>70000000</v>
      </c>
      <c r="V366" t="n">
        <v>0</v>
      </c>
      <c r="W366" t="n">
        <v>0</v>
      </c>
      <c r="X366" t="n">
        <v>0</v>
      </c>
      <c r="Y366" t="n">
        <v>70000000</v>
      </c>
      <c r="Z366" t="n">
        <v>69025340</v>
      </c>
      <c r="AA366" t="n">
        <v>69007079</v>
      </c>
      <c r="AB366" t="n">
        <v>14040006.75</v>
      </c>
      <c r="AC366" t="n">
        <v>14040006.75</v>
      </c>
      <c r="AD366" t="n">
        <v>974660</v>
      </c>
      <c r="AE366" t="n">
        <v>98.61</v>
      </c>
    </row>
    <row r="367">
      <c r="A367" t="inlineStr">
        <is>
          <t>1 - ADMINISTRACIÓN CENTRAL</t>
        </is>
      </c>
      <c r="B367" t="inlineStr">
        <is>
          <t>00 - SIN SECTOR</t>
        </is>
      </c>
      <c r="C367" t="inlineStr">
        <is>
          <t>00</t>
        </is>
      </c>
      <c r="D367" t="inlineStr">
        <is>
          <t>0000</t>
        </is>
      </c>
      <c r="E367" t="inlineStr">
        <is>
          <t>000000</t>
        </is>
      </c>
      <c r="F367" t="inlineStr">
        <is>
          <t>SIN PRODUCTO</t>
        </is>
      </c>
      <c r="G367" t="inlineStr">
        <is>
          <t>00</t>
        </is>
      </c>
      <c r="H367" t="inlineStr">
        <is>
          <t>00</t>
        </is>
      </c>
      <c r="I367" t="inlineStr">
        <is>
          <t>00</t>
        </is>
      </c>
      <c r="J367" t="inlineStr">
        <is>
          <t>SIN PRODUCTO DANE</t>
        </is>
      </c>
      <c r="K367" t="inlineStr">
        <is>
          <t>00</t>
        </is>
      </c>
      <c r="L367" t="inlineStr">
        <is>
          <t>SIN ATRIBUTO</t>
        </is>
      </c>
      <c r="N367" t="inlineStr">
        <is>
          <t>2.3.2.02.02.007.24</t>
        </is>
      </c>
      <c r="O367" t="inlineStr">
        <is>
          <t>TRANSPORTE</t>
        </is>
      </c>
      <c r="P367" t="inlineStr">
        <is>
          <t>00</t>
        </is>
      </c>
      <c r="Q367" t="inlineStr">
        <is>
          <t>RECURSOS</t>
        </is>
      </c>
      <c r="R367" t="n">
        <v>0</v>
      </c>
      <c r="S367" t="n">
        <v>0</v>
      </c>
      <c r="T367" t="n">
        <v>0</v>
      </c>
      <c r="U367" t="n">
        <v>50000000</v>
      </c>
      <c r="V367" t="n">
        <v>0</v>
      </c>
      <c r="W367" t="n">
        <v>0</v>
      </c>
      <c r="X367" t="n">
        <v>0</v>
      </c>
      <c r="Y367" t="n">
        <v>50000000</v>
      </c>
      <c r="Z367" t="n">
        <v>49025340</v>
      </c>
      <c r="AA367" t="n">
        <v>49007079</v>
      </c>
      <c r="AB367" t="n">
        <v>0</v>
      </c>
      <c r="AC367" t="n">
        <v>0</v>
      </c>
      <c r="AD367" t="n">
        <v>974660</v>
      </c>
      <c r="AE367" t="n">
        <v>98.05</v>
      </c>
    </row>
    <row r="368">
      <c r="A368" t="inlineStr">
        <is>
          <t>1 - ADMINISTRACIÓN CENTRAL</t>
        </is>
      </c>
      <c r="B368" t="inlineStr">
        <is>
          <t>24 - TRANSPORTE</t>
        </is>
      </c>
      <c r="C368" t="inlineStr">
        <is>
          <t>0600</t>
        </is>
      </c>
      <c r="D368" t="inlineStr">
        <is>
          <t>2402</t>
        </is>
      </c>
      <c r="E368" t="inlineStr">
        <is>
          <t>2402041</t>
        </is>
      </c>
      <c r="F368" t="inlineStr">
        <is>
          <t>VÍA TERCIARIA MEJORADA</t>
        </is>
      </c>
      <c r="G368" t="inlineStr">
        <is>
          <t>2024546600055</t>
        </is>
      </c>
      <c r="H368" t="inlineStr">
        <is>
          <t>MODERNIZACIÓN DE LA INFRAESTRUCTURA VIAL MUNICIPAL URBANA Y RURAL PDM UNIDOS SOMOS MÁS EN EL MUNICIPIO DE SALAZAR</t>
        </is>
      </c>
      <c r="I368" t="inlineStr">
        <is>
          <t>73122</t>
        </is>
      </c>
      <c r="J368" t="inlineStr">
        <is>
          <t>Servicios de arrendamiento o de alquiler de maquinaria y equipo de construcción sin operario</t>
        </is>
      </c>
      <c r="K368" t="inlineStr">
        <is>
          <t>00</t>
        </is>
      </c>
      <c r="L368" t="inlineStr">
        <is>
          <t>SIN ATRIBUTO</t>
        </is>
      </c>
      <c r="N368" t="inlineStr">
        <is>
          <t>2.3.2.02.02.007.24.01</t>
        </is>
      </c>
      <c r="O368" t="inlineStr">
        <is>
          <t>Alquiler de maquinaria amarilla</t>
        </is>
      </c>
      <c r="P368" t="inlineStr">
        <is>
          <t>420</t>
        </is>
      </c>
      <c r="Q368" t="inlineStr">
        <is>
          <t>SGP PROPOSITO GENERAL FORZOSA INVERSION LIBRE INVERSIÓN SGP ONCE DOCEAVAS VIGENCIA ACTUAL MAS ULTIMA DOCEAVA VIGENCIA AN</t>
        </is>
      </c>
      <c r="R368" t="n">
        <v>0</v>
      </c>
      <c r="S368" t="n">
        <v>0</v>
      </c>
      <c r="T368" t="n">
        <v>0</v>
      </c>
      <c r="U368" t="n">
        <v>50000000</v>
      </c>
      <c r="V368" t="n">
        <v>0</v>
      </c>
      <c r="W368" t="n">
        <v>0</v>
      </c>
      <c r="X368" t="n">
        <v>0</v>
      </c>
      <c r="Y368" t="n">
        <v>50000000</v>
      </c>
      <c r="Z368" t="n">
        <v>49025340</v>
      </c>
      <c r="AA368" t="n">
        <v>49007079</v>
      </c>
      <c r="AB368" t="n">
        <v>0</v>
      </c>
      <c r="AC368" t="n">
        <v>0</v>
      </c>
      <c r="AD368" t="n">
        <v>974660</v>
      </c>
      <c r="AE368" t="n">
        <v>98.05</v>
      </c>
    </row>
    <row r="369">
      <c r="A369" t="inlineStr">
        <is>
          <t>1 - ADMINISTRACIÓN CENTRAL</t>
        </is>
      </c>
      <c r="B369" t="inlineStr">
        <is>
          <t>00 - SIN SECTOR</t>
        </is>
      </c>
      <c r="C369" t="inlineStr">
        <is>
          <t>00</t>
        </is>
      </c>
      <c r="D369" t="inlineStr">
        <is>
          <t>0000</t>
        </is>
      </c>
      <c r="E369" t="inlineStr">
        <is>
          <t>000000</t>
        </is>
      </c>
      <c r="F369" t="inlineStr">
        <is>
          <t>SIN PRODUCTO</t>
        </is>
      </c>
      <c r="G369" t="inlineStr">
        <is>
          <t>00</t>
        </is>
      </c>
      <c r="H369" t="inlineStr">
        <is>
          <t>00</t>
        </is>
      </c>
      <c r="I369" t="inlineStr">
        <is>
          <t>00</t>
        </is>
      </c>
      <c r="J369" t="inlineStr">
        <is>
          <t>SIN PRODUCTO DANE</t>
        </is>
      </c>
      <c r="K369" t="inlineStr">
        <is>
          <t>00</t>
        </is>
      </c>
      <c r="L369" t="inlineStr">
        <is>
          <t>SIN ATRIBUTO</t>
        </is>
      </c>
      <c r="N369" t="inlineStr">
        <is>
          <t>2.3.2.02.02.007.45</t>
        </is>
      </c>
      <c r="O369" t="inlineStr">
        <is>
          <t>GOBIERNO TERRITORIAL</t>
        </is>
      </c>
      <c r="P369" t="inlineStr">
        <is>
          <t>00</t>
        </is>
      </c>
      <c r="Q369" t="inlineStr">
        <is>
          <t>RECURSOS</t>
        </is>
      </c>
      <c r="R369" t="n">
        <v>0</v>
      </c>
      <c r="S369" t="n">
        <v>0</v>
      </c>
      <c r="T369" t="n">
        <v>0</v>
      </c>
      <c r="U369" t="n">
        <v>20000000</v>
      </c>
      <c r="V369" t="n">
        <v>0</v>
      </c>
      <c r="W369" t="n">
        <v>0</v>
      </c>
      <c r="X369" t="n">
        <v>0</v>
      </c>
      <c r="Y369" t="n">
        <v>20000000</v>
      </c>
      <c r="Z369" t="n">
        <v>20000000</v>
      </c>
      <c r="AA369" t="n">
        <v>20000000</v>
      </c>
      <c r="AB369" t="n">
        <v>14040006.75</v>
      </c>
      <c r="AC369" t="n">
        <v>14040006.75</v>
      </c>
      <c r="AD369" t="n">
        <v>0</v>
      </c>
      <c r="AE369" t="n">
        <v>100</v>
      </c>
    </row>
    <row r="370">
      <c r="A370" t="inlineStr">
        <is>
          <t>1 - ADMINISTRACIÓN CENTRAL</t>
        </is>
      </c>
      <c r="B370" t="inlineStr">
        <is>
          <t>45 - GOBIERNO TERRITORIAL</t>
        </is>
      </c>
      <c r="C370" t="inlineStr">
        <is>
          <t>1000</t>
        </is>
      </c>
      <c r="D370" t="inlineStr">
        <is>
          <t>4503</t>
        </is>
      </c>
      <c r="E370" t="inlineStr">
        <is>
          <t>4503004</t>
        </is>
      </c>
      <c r="F370" t="inlineStr">
        <is>
          <t>SERVICIO DE ATENCIÓN A EMERGENCIAS Y DESASTRES</t>
        </is>
      </c>
      <c r="G370" t="inlineStr">
        <is>
          <t>2024546600074</t>
        </is>
      </c>
      <c r="H370" t="inlineStr">
        <is>
          <t>FORTALECIMIENTO PARA LA GESTIÓN DEL RIESGO DE DESASTRES Y EMERGENCIAS DEL MUNICIPIO DE  SALAZAR</t>
        </is>
      </c>
      <c r="I370" t="inlineStr">
        <is>
          <t>73122</t>
        </is>
      </c>
      <c r="J370" t="inlineStr">
        <is>
          <t>Servicios de arrendamiento o de alquiler de maquinaria y equipo de construcción sin operario</t>
        </is>
      </c>
      <c r="K370" t="inlineStr">
        <is>
          <t>00</t>
        </is>
      </c>
      <c r="L370" t="inlineStr">
        <is>
          <t>SIN ATRIBUTO</t>
        </is>
      </c>
      <c r="N370" t="inlineStr">
        <is>
          <t>2.3.2.02.02.007.45.01</t>
        </is>
      </c>
      <c r="O370" t="inlineStr">
        <is>
          <t>Alquiler de maquinaria amarilla</t>
        </is>
      </c>
      <c r="P370" t="inlineStr">
        <is>
          <t>420</t>
        </is>
      </c>
      <c r="Q370" t="inlineStr">
        <is>
          <t>SGP PROPOSITO GENERAL FORZOSA INVERSION LIBRE INVERSIÓN SGP ONCE DOCEAVAS VIGENCIA ACTUAL MAS ULTIMA DOCEAVA VIGENCIA AN</t>
        </is>
      </c>
      <c r="R370" t="n">
        <v>0</v>
      </c>
      <c r="S370" t="n">
        <v>0</v>
      </c>
      <c r="T370" t="n">
        <v>0</v>
      </c>
      <c r="U370" t="n">
        <v>20000000</v>
      </c>
      <c r="V370" t="n">
        <v>0</v>
      </c>
      <c r="W370" t="n">
        <v>0</v>
      </c>
      <c r="X370" t="n">
        <v>0</v>
      </c>
      <c r="Y370" t="n">
        <v>20000000</v>
      </c>
      <c r="Z370" t="n">
        <v>20000000</v>
      </c>
      <c r="AA370" t="n">
        <v>20000000</v>
      </c>
      <c r="AB370" t="n">
        <v>14040006.75</v>
      </c>
      <c r="AC370" t="n">
        <v>14040006.75</v>
      </c>
      <c r="AD370" t="n">
        <v>0</v>
      </c>
      <c r="AE370" t="n">
        <v>100</v>
      </c>
    </row>
    <row r="371">
      <c r="A371" t="inlineStr">
        <is>
          <t>1 - ADMINISTRACIÓN CENTRAL</t>
        </is>
      </c>
      <c r="B371" t="inlineStr">
        <is>
          <t>00 - SIN SECTOR</t>
        </is>
      </c>
      <c r="C371" t="inlineStr">
        <is>
          <t>00</t>
        </is>
      </c>
      <c r="D371" t="inlineStr">
        <is>
          <t>0000</t>
        </is>
      </c>
      <c r="E371" t="inlineStr">
        <is>
          <t>000000</t>
        </is>
      </c>
      <c r="F371" t="inlineStr">
        <is>
          <t>SIN PRODUCTO</t>
        </is>
      </c>
      <c r="G371" t="inlineStr">
        <is>
          <t>00</t>
        </is>
      </c>
      <c r="H371" t="inlineStr">
        <is>
          <t>00</t>
        </is>
      </c>
      <c r="I371" t="inlineStr">
        <is>
          <t>00</t>
        </is>
      </c>
      <c r="J371" t="inlineStr">
        <is>
          <t>SIN PRODUCTO DANE</t>
        </is>
      </c>
      <c r="K371" t="inlineStr">
        <is>
          <t>00</t>
        </is>
      </c>
      <c r="L371" t="inlineStr">
        <is>
          <t>SIN ATRIBUTO</t>
        </is>
      </c>
      <c r="N371" t="inlineStr">
        <is>
          <t>2.3.2.02.02.008</t>
        </is>
      </c>
      <c r="O371" t="inlineStr">
        <is>
          <t xml:space="preserve">SERVICIOS PRESTADOS A LAS EMPRESAS Y SERVICIOS DE PRODUCCION </t>
        </is>
      </c>
      <c r="P371" t="inlineStr">
        <is>
          <t>00</t>
        </is>
      </c>
      <c r="Q371" t="inlineStr">
        <is>
          <t>RECURSOS</t>
        </is>
      </c>
      <c r="R371" t="n">
        <v>2237570344</v>
      </c>
      <c r="S371" t="n">
        <v>1482301891</v>
      </c>
      <c r="T371" t="n">
        <v>75250034</v>
      </c>
      <c r="U371" t="n">
        <v>351300000</v>
      </c>
      <c r="V371" t="n">
        <v>90415000</v>
      </c>
      <c r="W371" t="n">
        <v>0</v>
      </c>
      <c r="X371" t="n">
        <v>0</v>
      </c>
      <c r="Y371" t="n">
        <v>3905507201</v>
      </c>
      <c r="Z371" t="n">
        <v>2278584048</v>
      </c>
      <c r="AA371" t="n">
        <v>2118114252.91</v>
      </c>
      <c r="AB371" t="n">
        <v>863673110</v>
      </c>
      <c r="AC371" t="n">
        <v>863673110</v>
      </c>
      <c r="AD371" t="n">
        <v>1626923153</v>
      </c>
      <c r="AE371" t="n">
        <v>58.34</v>
      </c>
    </row>
    <row r="372">
      <c r="A372" t="inlineStr">
        <is>
          <t>1 - ADMINISTRACIÓN CENTRAL</t>
        </is>
      </c>
      <c r="B372" t="inlineStr">
        <is>
          <t>00 - SIN SECTOR</t>
        </is>
      </c>
      <c r="C372" t="inlineStr">
        <is>
          <t>00</t>
        </is>
      </c>
      <c r="D372" t="inlineStr">
        <is>
          <t>0000</t>
        </is>
      </c>
      <c r="E372" t="inlineStr">
        <is>
          <t>000000</t>
        </is>
      </c>
      <c r="F372" t="inlineStr">
        <is>
          <t>SIN PRODUCTO</t>
        </is>
      </c>
      <c r="G372" t="inlineStr">
        <is>
          <t>00</t>
        </is>
      </c>
      <c r="H372" t="inlineStr">
        <is>
          <t>00</t>
        </is>
      </c>
      <c r="I372" t="inlineStr">
        <is>
          <t>00</t>
        </is>
      </c>
      <c r="J372" t="inlineStr">
        <is>
          <t>SIN PRODUCTO DANE</t>
        </is>
      </c>
      <c r="K372" t="inlineStr">
        <is>
          <t>00</t>
        </is>
      </c>
      <c r="L372" t="inlineStr">
        <is>
          <t>SIN ATRIBUTO</t>
        </is>
      </c>
      <c r="N372" t="inlineStr">
        <is>
          <t>2.3.2.02.02.008.24</t>
        </is>
      </c>
      <c r="O372" t="inlineStr">
        <is>
          <t>SECTOR TRANSPORTE</t>
        </is>
      </c>
      <c r="P372" t="inlineStr">
        <is>
          <t>00</t>
        </is>
      </c>
      <c r="Q372" t="inlineStr">
        <is>
          <t>RECURSOS</t>
        </is>
      </c>
      <c r="R372" t="n">
        <v>0</v>
      </c>
      <c r="S372" t="n">
        <v>0</v>
      </c>
      <c r="T372" t="n">
        <v>0</v>
      </c>
      <c r="U372" t="n">
        <v>40000000</v>
      </c>
      <c r="V372" t="n">
        <v>0</v>
      </c>
      <c r="W372" t="n">
        <v>0</v>
      </c>
      <c r="X372" t="n">
        <v>0</v>
      </c>
      <c r="Y372" t="n">
        <v>40000000</v>
      </c>
      <c r="Z372" t="n">
        <v>40000000</v>
      </c>
      <c r="AA372" t="n">
        <v>40000000</v>
      </c>
      <c r="AB372" t="n">
        <v>40000000</v>
      </c>
      <c r="AC372" t="n">
        <v>40000000</v>
      </c>
      <c r="AD372" t="n">
        <v>0</v>
      </c>
      <c r="AE372" t="n">
        <v>100</v>
      </c>
    </row>
    <row r="373">
      <c r="A373" t="inlineStr">
        <is>
          <t>1 - ADMINISTRACIÓN CENTRAL</t>
        </is>
      </c>
      <c r="B373" t="inlineStr">
        <is>
          <t>24 - TRANSPORTE</t>
        </is>
      </c>
      <c r="C373" t="inlineStr">
        <is>
          <t>0600</t>
        </is>
      </c>
      <c r="D373" t="inlineStr">
        <is>
          <t>2402</t>
        </is>
      </c>
      <c r="E373" t="inlineStr">
        <is>
          <t>2402041</t>
        </is>
      </c>
      <c r="F373" t="inlineStr">
        <is>
          <t>VÍA TERCIARIA MEJORADA</t>
        </is>
      </c>
      <c r="G373" t="inlineStr">
        <is>
          <t>2024546600055</t>
        </is>
      </c>
      <c r="H373" t="inlineStr">
        <is>
          <t>MODERNIZACIÓN DE LA INFRAESTRUCTURA VIAL MUNICIPAL URBANA Y RURAL PDM UNIDOS SOMOS MÁS EN EL MUNICIPIO DE SALAZAR</t>
        </is>
      </c>
      <c r="I373" t="inlineStr">
        <is>
          <t>83939</t>
        </is>
      </c>
      <c r="J373" t="inlineStr">
        <is>
          <t>Otros servicios de consultoría científica y técnica n.c.p.</t>
        </is>
      </c>
      <c r="K373" t="inlineStr">
        <is>
          <t>00</t>
        </is>
      </c>
      <c r="L373" t="inlineStr">
        <is>
          <t>SIN ATRIBUTO</t>
        </is>
      </c>
      <c r="N373" t="inlineStr">
        <is>
          <t>2.3.2.02.02.008.24.01</t>
        </is>
      </c>
      <c r="O373" t="inlineStr">
        <is>
          <t>Estudios de preinversion</t>
        </is>
      </c>
      <c r="P373" t="inlineStr">
        <is>
          <t>420</t>
        </is>
      </c>
      <c r="Q373" t="inlineStr">
        <is>
          <t>SGP PROPOSITO GENERAL FORZOSA INVERSION LIBRE INVERSIÓN SGP ONCE DOCEAVAS VIGENCIA ACTUAL MAS ULTIMA DOCEAVA VIGENCIA AN</t>
        </is>
      </c>
      <c r="R373" t="n">
        <v>0</v>
      </c>
      <c r="S373" t="n">
        <v>0</v>
      </c>
      <c r="T373" t="n">
        <v>0</v>
      </c>
      <c r="U373" t="n">
        <v>40000000</v>
      </c>
      <c r="V373" t="n">
        <v>0</v>
      </c>
      <c r="W373" t="n">
        <v>0</v>
      </c>
      <c r="X373" t="n">
        <v>0</v>
      </c>
      <c r="Y373" t="n">
        <v>40000000</v>
      </c>
      <c r="Z373" t="n">
        <v>40000000</v>
      </c>
      <c r="AA373" t="n">
        <v>40000000</v>
      </c>
      <c r="AB373" t="n">
        <v>40000000</v>
      </c>
      <c r="AC373" t="n">
        <v>40000000</v>
      </c>
      <c r="AD373" t="n">
        <v>0</v>
      </c>
      <c r="AE373" t="n">
        <v>100</v>
      </c>
    </row>
    <row r="374">
      <c r="A374" t="inlineStr">
        <is>
          <t>1 - ADMINISTRACIÓN CENTRAL</t>
        </is>
      </c>
      <c r="B374" t="inlineStr">
        <is>
          <t>00 - SIN SECTOR</t>
        </is>
      </c>
      <c r="C374" t="inlineStr">
        <is>
          <t>00</t>
        </is>
      </c>
      <c r="D374" t="inlineStr">
        <is>
          <t>0000</t>
        </is>
      </c>
      <c r="E374" t="inlineStr">
        <is>
          <t>000000</t>
        </is>
      </c>
      <c r="F374" t="inlineStr">
        <is>
          <t>SIN PRODUCTO</t>
        </is>
      </c>
      <c r="G374" t="inlineStr">
        <is>
          <t>00</t>
        </is>
      </c>
      <c r="H374" t="inlineStr">
        <is>
          <t>00</t>
        </is>
      </c>
      <c r="I374" t="inlineStr">
        <is>
          <t>00</t>
        </is>
      </c>
      <c r="J374" t="inlineStr">
        <is>
          <t>SIN PRODUCTO DANE</t>
        </is>
      </c>
      <c r="K374" t="inlineStr">
        <is>
          <t>00</t>
        </is>
      </c>
      <c r="L374" t="inlineStr">
        <is>
          <t>SIN ATRIBUTO</t>
        </is>
      </c>
      <c r="N374" t="inlineStr">
        <is>
          <t>2.3.2.02.02.008.40</t>
        </is>
      </c>
      <c r="O374" t="inlineStr">
        <is>
          <t>VIVIENDA CIUDAD Y TERRITORIO</t>
        </is>
      </c>
      <c r="P374" t="inlineStr">
        <is>
          <t>00</t>
        </is>
      </c>
      <c r="Q374" t="inlineStr">
        <is>
          <t>RECURSOS</t>
        </is>
      </c>
      <c r="R374" t="n">
        <v>0</v>
      </c>
      <c r="S374" t="n">
        <v>0</v>
      </c>
      <c r="T374" t="n">
        <v>0</v>
      </c>
      <c r="U374" t="n">
        <v>208300000</v>
      </c>
      <c r="V374" t="n">
        <v>0</v>
      </c>
      <c r="W374" t="n">
        <v>0</v>
      </c>
      <c r="X374" t="n">
        <v>0</v>
      </c>
      <c r="Y374" t="n">
        <v>208300000</v>
      </c>
      <c r="Z374" t="n">
        <v>208136597</v>
      </c>
      <c r="AA374" t="n">
        <v>98035098</v>
      </c>
      <c r="AB374" t="n">
        <v>60935098</v>
      </c>
      <c r="AC374" t="n">
        <v>60935098</v>
      </c>
      <c r="AD374" t="n">
        <v>163403</v>
      </c>
      <c r="AE374" t="n">
        <v>99.92</v>
      </c>
    </row>
    <row r="375">
      <c r="A375" t="inlineStr">
        <is>
          <t>1 - ADMINISTRACIÓN CENTRAL</t>
        </is>
      </c>
      <c r="B375" t="inlineStr">
        <is>
          <t>40 - VIVIENDA, CIUDAD Y TERRITORIO</t>
        </is>
      </c>
      <c r="C375" t="inlineStr">
        <is>
          <t>1400</t>
        </is>
      </c>
      <c r="D375" t="inlineStr">
        <is>
          <t>4002</t>
        </is>
      </c>
      <c r="E375" t="inlineStr">
        <is>
          <t>4002034</t>
        </is>
      </c>
      <c r="F375" t="inlineStr">
        <is>
          <t>ESTUDIOS DE PRE INVERSIÓN E INVERSIÓN</t>
        </is>
      </c>
      <c r="G375" t="inlineStr">
        <is>
          <t>2024546600065</t>
        </is>
      </c>
      <c r="H375" t="inlineStr">
        <is>
          <t>ORDENAMIENTO TERRITORIAL Y DESARROLLO URBANO PDM UNIDOS SOMOS MÁS EN EL MUNICIPIO DE   SALAZAR</t>
        </is>
      </c>
      <c r="I375" t="inlineStr">
        <is>
          <t>83939</t>
        </is>
      </c>
      <c r="J375" t="inlineStr">
        <is>
          <t>Otros servicios de consultoría científica y técnica n.c.p.</t>
        </is>
      </c>
      <c r="K375" t="inlineStr">
        <is>
          <t>00</t>
        </is>
      </c>
      <c r="L375" t="inlineStr">
        <is>
          <t>SIN ATRIBUTO</t>
        </is>
      </c>
      <c r="N375" t="inlineStr">
        <is>
          <t>2.3.2.02.02.008.40.01</t>
        </is>
      </c>
      <c r="O375" t="inlineStr">
        <is>
          <t>Estudios de preinversion</t>
        </is>
      </c>
      <c r="P375" t="inlineStr">
        <is>
          <t>420</t>
        </is>
      </c>
      <c r="Q375" t="inlineStr">
        <is>
          <t>SGP PROPOSITO GENERAL FORZOSA INVERSION LIBRE INVERSIÓN SGP ONCE DOCEAVAS VIGENCIA ACTUAL MAS ULTIMA DOCEAVA VIGENCIA AN</t>
        </is>
      </c>
      <c r="R375" t="n">
        <v>0</v>
      </c>
      <c r="S375" t="n">
        <v>0</v>
      </c>
      <c r="T375" t="n">
        <v>0</v>
      </c>
      <c r="U375" t="n">
        <v>100000000</v>
      </c>
      <c r="V375" t="n">
        <v>0</v>
      </c>
      <c r="W375" t="n">
        <v>0</v>
      </c>
      <c r="X375" t="n">
        <v>0</v>
      </c>
      <c r="Y375" t="n">
        <v>100000000</v>
      </c>
      <c r="Z375" t="n">
        <v>99836597</v>
      </c>
      <c r="AA375" t="n">
        <v>39735098</v>
      </c>
      <c r="AB375" t="n">
        <v>39735098</v>
      </c>
      <c r="AC375" t="n">
        <v>39735098</v>
      </c>
      <c r="AD375" t="n">
        <v>163403</v>
      </c>
      <c r="AE375" t="n">
        <v>99.84</v>
      </c>
    </row>
    <row r="376">
      <c r="A376" t="inlineStr">
        <is>
          <t>1 - ADMINISTRACIÓN CENTRAL</t>
        </is>
      </c>
      <c r="B376" t="inlineStr">
        <is>
          <t>40 - VIVIENDA, CIUDAD Y TERRITORIO</t>
        </is>
      </c>
      <c r="C376" t="inlineStr">
        <is>
          <t>1400</t>
        </is>
      </c>
      <c r="D376" t="inlineStr">
        <is>
          <t>4002</t>
        </is>
      </c>
      <c r="E376" t="inlineStr">
        <is>
          <t>4002034</t>
        </is>
      </c>
      <c r="F376" t="inlineStr">
        <is>
          <t>ESTUDIOS DE PRE INVERSIÓN E INVERSIÓN</t>
        </is>
      </c>
      <c r="G376" t="inlineStr">
        <is>
          <t>2024546600065</t>
        </is>
      </c>
      <c r="H376" t="inlineStr">
        <is>
          <t>ORDENAMIENTO TERRITORIAL Y DESARROLLO URBANO PDM UNIDOS SOMOS MÁS EN EL MUNICIPIO DE   SALAZAR</t>
        </is>
      </c>
      <c r="I376" t="inlineStr">
        <is>
          <t>83939</t>
        </is>
      </c>
      <c r="J376" t="inlineStr">
        <is>
          <t>Otros servicios de consultoría científica y técnica n.c.p.</t>
        </is>
      </c>
      <c r="K376" t="inlineStr">
        <is>
          <t>00</t>
        </is>
      </c>
      <c r="L376" t="inlineStr">
        <is>
          <t>SIN ATRIBUTO</t>
        </is>
      </c>
      <c r="N376" t="inlineStr">
        <is>
          <t>2.3.2.02.02.008.40.01</t>
        </is>
      </c>
      <c r="O376" t="inlineStr">
        <is>
          <t>Estudios de preinversion</t>
        </is>
      </c>
      <c r="P376" t="inlineStr">
        <is>
          <t>410</t>
        </is>
      </c>
      <c r="Q376" t="inlineStr">
        <is>
          <t>SGP PROPOSITO GENERAL FORZOSA INVERSION LIBRE INVERSIÓN SALDOS NO EJECUTADOS NI INCORPORADOS VIGENCIAS ANTERIORES Y REIN</t>
        </is>
      </c>
      <c r="R376" t="n">
        <v>0</v>
      </c>
      <c r="S376" t="n">
        <v>0</v>
      </c>
      <c r="T376" t="n">
        <v>0</v>
      </c>
      <c r="U376" t="n">
        <v>50000000</v>
      </c>
      <c r="V376" t="n">
        <v>0</v>
      </c>
      <c r="W376" t="n">
        <v>0</v>
      </c>
      <c r="X376" t="n">
        <v>0</v>
      </c>
      <c r="Y376" t="n">
        <v>50000000</v>
      </c>
      <c r="Z376" t="n">
        <v>50000000</v>
      </c>
      <c r="AA376" t="n">
        <v>0</v>
      </c>
      <c r="AB376" t="n">
        <v>0</v>
      </c>
      <c r="AC376" t="n">
        <v>0</v>
      </c>
      <c r="AD376" t="n">
        <v>0</v>
      </c>
      <c r="AE376" t="n">
        <v>100</v>
      </c>
    </row>
    <row r="377">
      <c r="A377" t="inlineStr">
        <is>
          <t>1 - ADMINISTRACIÓN CENTRAL</t>
        </is>
      </c>
      <c r="B377" t="inlineStr">
        <is>
          <t>40 - VIVIENDA, CIUDAD Y TERRITORIO</t>
        </is>
      </c>
      <c r="C377" t="inlineStr">
        <is>
          <t>1400</t>
        </is>
      </c>
      <c r="D377" t="inlineStr">
        <is>
          <t>4003</t>
        </is>
      </c>
      <c r="E377" t="inlineStr">
        <is>
          <t>4003052</t>
        </is>
      </c>
      <c r="F377" t="inlineStr">
        <is>
          <t>SERVICIO DE ASISTENCIA TECNICA PARA LA ADMINISTRACION Y OPERACION DE LOS SERVICIOS PUBLICOS DOMICILIARIOS</t>
        </is>
      </c>
      <c r="G377" t="inlineStr">
        <is>
          <t>2024546600066</t>
        </is>
      </c>
      <c r="H377" t="inlineStr">
        <is>
          <t>FORTALECIMIENTO EN EL ACCESO DE LA POBLACIÓN A LOS SERVICIOS DE AGUA POTABLE Y SANEAMIENTO BÁSICO PDM UNIDOS SOMOS MÁS EN EL MUNICIPIO DE  SALAZAR</t>
        </is>
      </c>
      <c r="I377" t="inlineStr">
        <is>
          <t>83990</t>
        </is>
      </c>
      <c r="J377" t="inlineStr">
        <is>
          <t>Otros servicios profesionales, técnicos y empresariales n.c.p.</t>
        </is>
      </c>
      <c r="K377" t="inlineStr">
        <is>
          <t>00</t>
        </is>
      </c>
      <c r="L377" t="inlineStr">
        <is>
          <t>SIN ATRIBUTO</t>
        </is>
      </c>
      <c r="N377" t="inlineStr">
        <is>
          <t>2.3.2.02.02.008.40.02</t>
        </is>
      </c>
      <c r="O377" t="inlineStr">
        <is>
          <t>Formulación, implantación y acciones de fortalecimiento de esquemas organizacionales para la administración y operación de los servicios de acueducto, alcantarillado y aseo, en las zonas urbana y rural</t>
        </is>
      </c>
      <c r="P377" t="inlineStr">
        <is>
          <t>290</t>
        </is>
      </c>
      <c r="Q377" t="inlineStr">
        <is>
          <t>SGP AGUA POTABLE Y SANEAMIENTO BASICO - ONCE DOCEAVAS VIGENCIA ACTUAL MAS ULTIMA DOCEAVA VIGENCIA ANTERIOR</t>
        </is>
      </c>
      <c r="R377" t="n">
        <v>0</v>
      </c>
      <c r="S377" t="n">
        <v>0</v>
      </c>
      <c r="T377" t="n">
        <v>0</v>
      </c>
      <c r="U377" t="n">
        <v>58300000</v>
      </c>
      <c r="V377" t="n">
        <v>0</v>
      </c>
      <c r="W377" t="n">
        <v>0</v>
      </c>
      <c r="X377" t="n">
        <v>0</v>
      </c>
      <c r="Y377" t="n">
        <v>58300000</v>
      </c>
      <c r="Z377" t="n">
        <v>58300000</v>
      </c>
      <c r="AA377" t="n">
        <v>58300000</v>
      </c>
      <c r="AB377" t="n">
        <v>21200000</v>
      </c>
      <c r="AC377" t="n">
        <v>21200000</v>
      </c>
      <c r="AD377" t="n">
        <v>0</v>
      </c>
      <c r="AE377" t="n">
        <v>100</v>
      </c>
    </row>
    <row r="378">
      <c r="A378" t="inlineStr">
        <is>
          <t>1 - ADMINISTRACIÓN CENTRAL</t>
        </is>
      </c>
      <c r="B378" t="inlineStr">
        <is>
          <t>00 - SIN SECTOR</t>
        </is>
      </c>
      <c r="C378" t="inlineStr">
        <is>
          <t>00</t>
        </is>
      </c>
      <c r="D378" t="inlineStr">
        <is>
          <t>0000</t>
        </is>
      </c>
      <c r="E378" t="inlineStr">
        <is>
          <t>000000</t>
        </is>
      </c>
      <c r="F378" t="inlineStr">
        <is>
          <t>SIN PRODUCTO</t>
        </is>
      </c>
      <c r="G378" t="inlineStr">
        <is>
          <t>00</t>
        </is>
      </c>
      <c r="H378" t="inlineStr">
        <is>
          <t>00</t>
        </is>
      </c>
      <c r="I378" t="inlineStr">
        <is>
          <t>00</t>
        </is>
      </c>
      <c r="J378" t="inlineStr">
        <is>
          <t>SIN PRODUCTO DANE</t>
        </is>
      </c>
      <c r="K378" t="inlineStr">
        <is>
          <t>00</t>
        </is>
      </c>
      <c r="L378" t="inlineStr">
        <is>
          <t>SIN ATRIBUTO</t>
        </is>
      </c>
      <c r="N378" t="inlineStr">
        <is>
          <t>2.3.2.02.02.008.43</t>
        </is>
      </c>
      <c r="O378" t="inlineStr">
        <is>
          <t>DEPORTE Y RECREACION</t>
        </is>
      </c>
      <c r="P378" t="inlineStr">
        <is>
          <t>00</t>
        </is>
      </c>
      <c r="Q378" t="inlineStr">
        <is>
          <t>RECURSOS</t>
        </is>
      </c>
      <c r="R378" t="n">
        <v>35000000</v>
      </c>
      <c r="S378" t="n">
        <v>23190945</v>
      </c>
      <c r="T378" t="n">
        <v>22292216</v>
      </c>
      <c r="U378" t="n">
        <v>36400000</v>
      </c>
      <c r="V378" t="n">
        <v>0</v>
      </c>
      <c r="W378" t="n">
        <v>0</v>
      </c>
      <c r="X378" t="n">
        <v>0</v>
      </c>
      <c r="Y378" t="n">
        <v>72298729</v>
      </c>
      <c r="Z378" t="n">
        <v>48400000</v>
      </c>
      <c r="AA378" t="n">
        <v>48400000</v>
      </c>
      <c r="AB378" t="n">
        <v>15400000</v>
      </c>
      <c r="AC378" t="n">
        <v>15400000</v>
      </c>
      <c r="AD378" t="n">
        <v>23898729</v>
      </c>
      <c r="AE378" t="n">
        <v>66.94</v>
      </c>
    </row>
    <row r="379">
      <c r="A379" t="inlineStr">
        <is>
          <t>1 - ADMINISTRACIÓN CENTRAL</t>
        </is>
      </c>
      <c r="B379" t="inlineStr">
        <is>
          <t>43 - DEPORTE Y RECREACIÓN</t>
        </is>
      </c>
      <c r="C379" t="inlineStr">
        <is>
          <t>1604</t>
        </is>
      </c>
      <c r="D379" t="inlineStr">
        <is>
          <t>4301</t>
        </is>
      </c>
      <c r="E379" t="inlineStr">
        <is>
          <t>4301004</t>
        </is>
      </c>
      <c r="F379" t="inlineStr">
        <is>
          <t>SERVICIO DE MANTENIMIENTO A LA INFRAESTRUCTURA DEPORTIVA</t>
        </is>
      </c>
      <c r="G379" t="inlineStr">
        <is>
          <t>2024546600071</t>
        </is>
      </c>
      <c r="H379" t="inlineStr">
        <is>
          <t>APOYO PARA EL FOMENTO A LA RECREACIÓN LA ACTIVIDAD FÍSICA Y EL DEPORTE PDM UNIDOS SOMOS MÁS EN EL MUNICIPIO DE   SALAZAR</t>
        </is>
      </c>
      <c r="I379" t="inlineStr">
        <is>
          <t>85999</t>
        </is>
      </c>
      <c r="J379" t="inlineStr">
        <is>
          <t>Otros servicios de apoyo n.c.p.</t>
        </is>
      </c>
      <c r="K379" t="inlineStr">
        <is>
          <t>00</t>
        </is>
      </c>
      <c r="L379" t="inlineStr">
        <is>
          <t>SIN ATRIBUTO</t>
        </is>
      </c>
      <c r="N379" t="inlineStr">
        <is>
          <t>2.3.2.02.02.008.43.01</t>
        </is>
      </c>
      <c r="O379" t="inlineStr">
        <is>
          <t>Servicio de mantenimiento a la infraestructura deportiva</t>
        </is>
      </c>
      <c r="P379" t="inlineStr">
        <is>
          <t>380</t>
        </is>
      </c>
      <c r="Q379" t="inlineStr">
        <is>
          <t>SGP PROPOSITO GENERAL FORZOSA INVERSION DEPORTE SGP ONCE DOCEAVAS VIGENCIA ACTUAL MAS ULTIMA DOCEAVA VIGENCIA ANTERIOR</t>
        </is>
      </c>
      <c r="R379" t="n">
        <v>23000000</v>
      </c>
      <c r="S379" t="n">
        <v>0</v>
      </c>
      <c r="T379" t="n">
        <v>22292216</v>
      </c>
      <c r="U379" t="n">
        <v>0</v>
      </c>
      <c r="V379" t="n">
        <v>0</v>
      </c>
      <c r="W379" t="n">
        <v>0</v>
      </c>
      <c r="X379" t="n">
        <v>0</v>
      </c>
      <c r="Y379" t="n">
        <v>707784</v>
      </c>
      <c r="Z379" t="n">
        <v>0</v>
      </c>
      <c r="AA379" t="n">
        <v>0</v>
      </c>
      <c r="AB379" t="n">
        <v>0</v>
      </c>
      <c r="AC379" t="n">
        <v>0</v>
      </c>
      <c r="AD379" t="n">
        <v>707784</v>
      </c>
      <c r="AE379" t="n">
        <v>0</v>
      </c>
    </row>
    <row r="380">
      <c r="A380" t="inlineStr">
        <is>
          <t>1 - ADMINISTRACIÓN CENTRAL</t>
        </is>
      </c>
      <c r="B380" t="inlineStr">
        <is>
          <t>43 - DEPORTE Y RECREACIÓN</t>
        </is>
      </c>
      <c r="C380" t="inlineStr">
        <is>
          <t>1604</t>
        </is>
      </c>
      <c r="D380" t="inlineStr">
        <is>
          <t>4301</t>
        </is>
      </c>
      <c r="E380" t="inlineStr">
        <is>
          <t>4301037</t>
        </is>
      </c>
      <c r="F380" t="inlineStr">
        <is>
          <t>SERVICIO DE PROMOCIÓN DE LA ACTIVIDAD FÍSICA, LA RECREACIÓN Y EL DEPORTE</t>
        </is>
      </c>
      <c r="G380" t="inlineStr">
        <is>
          <t>2024546600071</t>
        </is>
      </c>
      <c r="H380" t="inlineStr">
        <is>
          <t>APOYO PARA EL FOMENTO A LA RECREACIÓN LA ACTIVIDAD FÍSICA Y EL DEPORTE PDM UNIDOS SOMOS MÁS EN EL MUNICIPIO DE   SALAZAR</t>
        </is>
      </c>
      <c r="I380" t="inlineStr">
        <is>
          <t>85999</t>
        </is>
      </c>
      <c r="J380" t="inlineStr">
        <is>
          <t>Otros servicios de apoyo n.c.p.</t>
        </is>
      </c>
      <c r="K380" t="inlineStr">
        <is>
          <t>00</t>
        </is>
      </c>
      <c r="L380" t="inlineStr">
        <is>
          <t>SIN ATRIBUTO</t>
        </is>
      </c>
      <c r="N380" t="inlineStr">
        <is>
          <t>2.3.2.02.02.008.43.02</t>
        </is>
      </c>
      <c r="O380" t="inlineStr">
        <is>
          <t>Servicio de promoción de la actividad física, la recreación y el deporte</t>
        </is>
      </c>
      <c r="P380" t="inlineStr">
        <is>
          <t>380</t>
        </is>
      </c>
      <c r="Q380" t="inlineStr">
        <is>
          <t>SGP PROPOSITO GENERAL FORZOSA INVERSION DEPORTE SGP ONCE DOCEAVAS VIGENCIA ACTUAL MAS ULTIMA DOCEAVA VIGENCIA ANTERIOR</t>
        </is>
      </c>
      <c r="R380" t="n">
        <v>12000000</v>
      </c>
      <c r="S380" t="n">
        <v>0</v>
      </c>
      <c r="T380" t="n">
        <v>0</v>
      </c>
      <c r="U380" t="n">
        <v>36400000</v>
      </c>
      <c r="V380" t="n">
        <v>0</v>
      </c>
      <c r="W380" t="n">
        <v>0</v>
      </c>
      <c r="X380" t="n">
        <v>0</v>
      </c>
      <c r="Y380" t="n">
        <v>48400000</v>
      </c>
      <c r="Z380" t="n">
        <v>48400000</v>
      </c>
      <c r="AA380" t="n">
        <v>48400000</v>
      </c>
      <c r="AB380" t="n">
        <v>15400000</v>
      </c>
      <c r="AC380" t="n">
        <v>15400000</v>
      </c>
      <c r="AD380" t="n">
        <v>0</v>
      </c>
      <c r="AE380" t="n">
        <v>100</v>
      </c>
    </row>
    <row r="381">
      <c r="A381" t="inlineStr">
        <is>
          <t>1 - ADMINISTRACIÓN CENTRAL</t>
        </is>
      </c>
      <c r="B381" t="inlineStr">
        <is>
          <t>43 - DEPORTE Y RECREACIÓN</t>
        </is>
      </c>
      <c r="C381" t="inlineStr">
        <is>
          <t>1604</t>
        </is>
      </c>
      <c r="D381" t="inlineStr">
        <is>
          <t>4301</t>
        </is>
      </c>
      <c r="E381" t="inlineStr">
        <is>
          <t>4301004</t>
        </is>
      </c>
      <c r="F381" t="inlineStr">
        <is>
          <t>SERVICIO DE MANTENIMIENTO A LA INFRAESTRUCTURA DEPORTIVA</t>
        </is>
      </c>
      <c r="G381" t="inlineStr">
        <is>
          <t>2024546600071</t>
        </is>
      </c>
      <c r="H381" t="inlineStr">
        <is>
          <t>APOYO PARA EL FOMENTO A LA RECREACIÓN LA ACTIVIDAD FÍSICA Y EL DEPORTE PDM UNIDOS SOMOS MÁS EN EL MUNICIPIO DE   SALAZAR</t>
        </is>
      </c>
      <c r="I381" t="inlineStr">
        <is>
          <t>85999</t>
        </is>
      </c>
      <c r="J381" t="inlineStr">
        <is>
          <t>Otros servicios de apoyo n.c.p.</t>
        </is>
      </c>
      <c r="K381" t="inlineStr">
        <is>
          <t>00</t>
        </is>
      </c>
      <c r="L381" t="inlineStr">
        <is>
          <t>SIN ATRIBUTO</t>
        </is>
      </c>
      <c r="N381" t="inlineStr">
        <is>
          <t>2.3.2.02.02.008.43.03</t>
        </is>
      </c>
      <c r="O381" t="inlineStr">
        <is>
          <t>Servicio de mantenimiento a la infraestructura deportiva</t>
        </is>
      </c>
      <c r="P381" t="inlineStr">
        <is>
          <t>117.1</t>
        </is>
      </c>
      <c r="Q381" t="inlineStr">
        <is>
          <t>TASA PRODEPORTE RB</t>
        </is>
      </c>
      <c r="R381" t="n">
        <v>0</v>
      </c>
      <c r="S381" t="n">
        <v>6708930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6708930</v>
      </c>
      <c r="Z381" t="n">
        <v>0</v>
      </c>
      <c r="AA381" t="n">
        <v>0</v>
      </c>
      <c r="AB381" t="n">
        <v>0</v>
      </c>
      <c r="AC381" t="n">
        <v>0</v>
      </c>
      <c r="AD381" t="n">
        <v>6708930</v>
      </c>
      <c r="AE381" t="n">
        <v>0</v>
      </c>
    </row>
    <row r="382">
      <c r="A382" t="inlineStr">
        <is>
          <t>1 - ADMINISTRACIÓN CENTRAL</t>
        </is>
      </c>
      <c r="B382" t="inlineStr">
        <is>
          <t>43 - DEPORTE Y RECREACIÓN</t>
        </is>
      </c>
      <c r="C382" t="inlineStr">
        <is>
          <t>1604</t>
        </is>
      </c>
      <c r="D382" t="inlineStr">
        <is>
          <t>4301</t>
        </is>
      </c>
      <c r="E382" t="inlineStr">
        <is>
          <t>4301004</t>
        </is>
      </c>
      <c r="F382" t="inlineStr">
        <is>
          <t>SERVICIO DE MANTENIMIENTO A LA INFRAESTRUCTURA DEPORTIVA</t>
        </is>
      </c>
      <c r="G382" t="inlineStr">
        <is>
          <t>2024546600071</t>
        </is>
      </c>
      <c r="H382" t="inlineStr">
        <is>
          <t>APOYO PARA EL FOMENTO A LA RECREACIÓN LA ACTIVIDAD FÍSICA Y EL DEPORTE PDM UNIDOS SOMOS MÁS EN EL MUNICIPIO DE   SALAZAR</t>
        </is>
      </c>
      <c r="I382" t="inlineStr">
        <is>
          <t>85999</t>
        </is>
      </c>
      <c r="J382" t="inlineStr">
        <is>
          <t>Otros servicios de apoyo n.c.p.</t>
        </is>
      </c>
      <c r="K382" t="inlineStr">
        <is>
          <t>00</t>
        </is>
      </c>
      <c r="L382" t="inlineStr">
        <is>
          <t>SIN ATRIBUTO</t>
        </is>
      </c>
      <c r="N382" t="inlineStr">
        <is>
          <t>2.3.2.02.02.008.43.04</t>
        </is>
      </c>
      <c r="O382" t="inlineStr">
        <is>
          <t>Servicio de mantenimiento a la infraestructura deportiva</t>
        </is>
      </c>
      <c r="P382" t="inlineStr">
        <is>
          <t>370</t>
        </is>
      </c>
      <c r="Q382" t="inlineStr">
        <is>
          <t>RB SGP DEPORTE SALDOS NO EJECUTADOS NI INCORPORADOS VIGENCIAS ANTERIORES Y REINTEGROS</t>
        </is>
      </c>
      <c r="R382" t="n">
        <v>0</v>
      </c>
      <c r="S382" t="n">
        <v>16291070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16291070</v>
      </c>
      <c r="Z382" t="n">
        <v>0</v>
      </c>
      <c r="AA382" t="n">
        <v>0</v>
      </c>
      <c r="AB382" t="n">
        <v>0</v>
      </c>
      <c r="AC382" t="n">
        <v>0</v>
      </c>
      <c r="AD382" t="n">
        <v>16291070</v>
      </c>
      <c r="AE382" t="n">
        <v>0</v>
      </c>
    </row>
    <row r="383">
      <c r="A383" t="inlineStr">
        <is>
          <t>1 - ADMINISTRACIÓN CENTRAL</t>
        </is>
      </c>
      <c r="B383" t="inlineStr">
        <is>
          <t>43 - DEPORTE Y RECREACIÓN</t>
        </is>
      </c>
      <c r="C383" t="inlineStr">
        <is>
          <t>1604</t>
        </is>
      </c>
      <c r="D383" t="inlineStr">
        <is>
          <t>4301</t>
        </is>
      </c>
      <c r="E383" t="inlineStr">
        <is>
          <t>4301037</t>
        </is>
      </c>
      <c r="F383" t="inlineStr">
        <is>
          <t>SERVICIO DE PROMOCIÓN DE LA ACTIVIDAD FÍSICA, LA RECREACIÓN Y EL DEPORTE</t>
        </is>
      </c>
      <c r="G383" t="inlineStr">
        <is>
          <t>2024546600071</t>
        </is>
      </c>
      <c r="H383" t="inlineStr">
        <is>
          <t>APOYO PARA EL FOMENTO A LA RECREACIÓN LA ACTIVIDAD FÍSICA Y EL DEPORTE PDM UNIDOS SOMOS MÁS EN EL MUNICIPIO DE   SALAZAR</t>
        </is>
      </c>
      <c r="I383" t="inlineStr">
        <is>
          <t>85999</t>
        </is>
      </c>
      <c r="J383" t="inlineStr">
        <is>
          <t>Otros servicios de apoyo n.c.p.</t>
        </is>
      </c>
      <c r="K383" t="inlineStr">
        <is>
          <t>00</t>
        </is>
      </c>
      <c r="L383" t="inlineStr">
        <is>
          <t>SIN ATRIBUTO</t>
        </is>
      </c>
      <c r="N383" t="inlineStr">
        <is>
          <t>2.3.2.02.02.008.43.05</t>
        </is>
      </c>
      <c r="O383" t="inlineStr">
        <is>
          <t>Servicio de promoción de la actividad física, la recreación y el deporte</t>
        </is>
      </c>
      <c r="P383" t="inlineStr">
        <is>
          <t>670.19.1</t>
        </is>
      </c>
      <c r="Q383" t="inlineStr">
        <is>
          <t>RB REND FCROS. TASA AL DEPORTE</t>
        </is>
      </c>
      <c r="R383" t="n">
        <v>0</v>
      </c>
      <c r="S383" t="n">
        <v>190945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190945</v>
      </c>
      <c r="Z383" t="n">
        <v>0</v>
      </c>
      <c r="AA383" t="n">
        <v>0</v>
      </c>
      <c r="AB383" t="n">
        <v>0</v>
      </c>
      <c r="AC383" t="n">
        <v>0</v>
      </c>
      <c r="AD383" t="n">
        <v>190945</v>
      </c>
      <c r="AE383" t="n">
        <v>0</v>
      </c>
    </row>
    <row r="384">
      <c r="A384" t="inlineStr">
        <is>
          <t>1 - ADMINISTRACIÓN CENTRAL</t>
        </is>
      </c>
      <c r="B384" t="inlineStr">
        <is>
          <t>00 - SIN SECTOR</t>
        </is>
      </c>
      <c r="C384" t="inlineStr">
        <is>
          <t>00</t>
        </is>
      </c>
      <c r="D384" t="inlineStr">
        <is>
          <t>0000</t>
        </is>
      </c>
      <c r="E384" t="inlineStr">
        <is>
          <t>000000</t>
        </is>
      </c>
      <c r="F384" t="inlineStr">
        <is>
          <t>SIN PRODUCTO</t>
        </is>
      </c>
      <c r="G384" t="inlineStr">
        <is>
          <t>00</t>
        </is>
      </c>
      <c r="H384" t="inlineStr">
        <is>
          <t>00</t>
        </is>
      </c>
      <c r="I384" t="inlineStr">
        <is>
          <t>00</t>
        </is>
      </c>
      <c r="J384" t="inlineStr">
        <is>
          <t>SIN PRODUCTO DANE</t>
        </is>
      </c>
      <c r="K384" t="inlineStr">
        <is>
          <t>00</t>
        </is>
      </c>
      <c r="L384" t="inlineStr">
        <is>
          <t>SIN ATRIBUTO</t>
        </is>
      </c>
      <c r="N384" t="inlineStr">
        <is>
          <t>2.3.2.02.02.008.45</t>
        </is>
      </c>
      <c r="O384" t="inlineStr">
        <is>
          <t>GOBIERNO TERRITORIAL</t>
        </is>
      </c>
      <c r="P384" t="inlineStr">
        <is>
          <t>00</t>
        </is>
      </c>
      <c r="Q384" t="inlineStr">
        <is>
          <t>RECURSOS</t>
        </is>
      </c>
      <c r="R384" t="n">
        <v>0</v>
      </c>
      <c r="S384" t="n">
        <v>0</v>
      </c>
      <c r="T384" t="n">
        <v>0</v>
      </c>
      <c r="U384" t="n">
        <v>46485000</v>
      </c>
      <c r="V384" t="n">
        <v>0</v>
      </c>
      <c r="W384" t="n">
        <v>0</v>
      </c>
      <c r="X384" t="n">
        <v>0</v>
      </c>
      <c r="Y384" t="n">
        <v>46485000</v>
      </c>
      <c r="Z384" t="n">
        <v>46485000</v>
      </c>
      <c r="AA384" t="n">
        <v>0</v>
      </c>
      <c r="AB384" t="n">
        <v>0</v>
      </c>
      <c r="AC384" t="n">
        <v>0</v>
      </c>
      <c r="AD384" t="n">
        <v>0</v>
      </c>
      <c r="AE384" t="n">
        <v>100</v>
      </c>
    </row>
    <row r="385">
      <c r="A385" t="inlineStr">
        <is>
          <t>1 - ADMINISTRACIÓN CENTRAL</t>
        </is>
      </c>
      <c r="B385" t="inlineStr">
        <is>
          <t>45 - GOBIERNO TERRITORIAL</t>
        </is>
      </c>
      <c r="C385" t="inlineStr">
        <is>
          <t>1000</t>
        </is>
      </c>
      <c r="D385" t="inlineStr">
        <is>
          <t>4599</t>
        </is>
      </c>
      <c r="E385" t="inlineStr">
        <is>
          <t>4599019</t>
        </is>
      </c>
      <c r="F385" t="inlineStr">
        <is>
          <t>DOCUMENTOS DE PLANEACIÓN</t>
        </is>
      </c>
      <c r="G385" t="inlineStr">
        <is>
          <t>2024546600075</t>
        </is>
      </c>
      <c r="H385" t="inlineStr">
        <is>
          <t>FORTALECIMIENTO A LA GESTIÓN Y DIRECCIÓN DE LA ADMINISTRACIÓN PÚBLICA TERRITORIAL PDM UNIDOS SOMOS MÁS EN EL MUNICIPIO DE  SALAZAR</t>
        </is>
      </c>
      <c r="I385" t="inlineStr">
        <is>
          <t>83939</t>
        </is>
      </c>
      <c r="J385" t="inlineStr">
        <is>
          <t>Otros servicios de consultoría científica y técnica n.c.p.</t>
        </is>
      </c>
      <c r="K385" t="inlineStr">
        <is>
          <t>00</t>
        </is>
      </c>
      <c r="L385" t="inlineStr">
        <is>
          <t>SIN ATRIBUTO</t>
        </is>
      </c>
      <c r="N385" t="inlineStr">
        <is>
          <t>2.3.2.02.02.008.45.01</t>
        </is>
      </c>
      <c r="O385" t="inlineStr">
        <is>
          <t>Estudios de preinversion</t>
        </is>
      </c>
      <c r="P385" t="inlineStr">
        <is>
          <t>420</t>
        </is>
      </c>
      <c r="Q385" t="inlineStr">
        <is>
          <t>SGP PROPOSITO GENERAL FORZOSA INVERSION LIBRE INVERSIÓN SGP ONCE DOCEAVAS VIGENCIA ACTUAL MAS ULTIMA DOCEAVA VIGENCIA AN</t>
        </is>
      </c>
      <c r="R385" t="n">
        <v>0</v>
      </c>
      <c r="S385" t="n">
        <v>0</v>
      </c>
      <c r="T385" t="n">
        <v>0</v>
      </c>
      <c r="U385" t="n">
        <v>46485000</v>
      </c>
      <c r="V385" t="n">
        <v>0</v>
      </c>
      <c r="W385" t="n">
        <v>0</v>
      </c>
      <c r="X385" t="n">
        <v>0</v>
      </c>
      <c r="Y385" t="n">
        <v>46485000</v>
      </c>
      <c r="Z385" t="n">
        <v>46485000</v>
      </c>
      <c r="AA385" t="n">
        <v>0</v>
      </c>
      <c r="AB385" t="n">
        <v>0</v>
      </c>
      <c r="AC385" t="n">
        <v>0</v>
      </c>
      <c r="AD385" t="n">
        <v>0</v>
      </c>
      <c r="AE385" t="n">
        <v>100</v>
      </c>
    </row>
    <row r="386">
      <c r="A386" t="inlineStr">
        <is>
          <t>1 - ADMINISTRACIÓN CENTRAL</t>
        </is>
      </c>
      <c r="B386" t="inlineStr">
        <is>
          <t>00 - SIN SECTOR</t>
        </is>
      </c>
      <c r="C386" t="inlineStr">
        <is>
          <t>00</t>
        </is>
      </c>
      <c r="D386" t="inlineStr">
        <is>
          <t>0000</t>
        </is>
      </c>
      <c r="E386" t="inlineStr">
        <is>
          <t>000000</t>
        </is>
      </c>
      <c r="F386" t="inlineStr">
        <is>
          <t>SIN PRODUCTO</t>
        </is>
      </c>
      <c r="G386" t="inlineStr">
        <is>
          <t>00</t>
        </is>
      </c>
      <c r="H386" t="inlineStr">
        <is>
          <t>00</t>
        </is>
      </c>
      <c r="I386" t="inlineStr">
        <is>
          <t>00</t>
        </is>
      </c>
      <c r="J386" t="inlineStr">
        <is>
          <t>SIN PRODUCTO DANE</t>
        </is>
      </c>
      <c r="K386" t="inlineStr">
        <is>
          <t>00</t>
        </is>
      </c>
      <c r="L386" t="inlineStr">
        <is>
          <t>SIN ATRIBUTO</t>
        </is>
      </c>
      <c r="N386" t="inlineStr">
        <is>
          <t>2.3.2.02.02.009</t>
        </is>
      </c>
      <c r="O386" t="inlineStr">
        <is>
          <t>SERVICIOS PARA LA COMUNIDAD, SOCIALES Y PERSONALES</t>
        </is>
      </c>
      <c r="P386" t="inlineStr">
        <is>
          <t>00</t>
        </is>
      </c>
      <c r="Q386" t="inlineStr">
        <is>
          <t>RECURSOS</t>
        </is>
      </c>
      <c r="R386" t="n">
        <v>2202570344</v>
      </c>
      <c r="S386" t="n">
        <v>1459110946</v>
      </c>
      <c r="T386" t="n">
        <v>52957818</v>
      </c>
      <c r="U386" t="n">
        <v>20115000</v>
      </c>
      <c r="V386" t="n">
        <v>90415000</v>
      </c>
      <c r="W386" t="n">
        <v>0</v>
      </c>
      <c r="X386" t="n">
        <v>0</v>
      </c>
      <c r="Y386" t="n">
        <v>3538423472</v>
      </c>
      <c r="Z386" t="n">
        <v>1935562451</v>
      </c>
      <c r="AA386" t="n">
        <v>1931679154.91</v>
      </c>
      <c r="AB386" t="n">
        <v>747338012</v>
      </c>
      <c r="AC386" t="n">
        <v>747338012</v>
      </c>
      <c r="AD386" t="n">
        <v>1602861021</v>
      </c>
      <c r="AE386" t="n">
        <v>54.7</v>
      </c>
    </row>
    <row r="387">
      <c r="A387" t="inlineStr">
        <is>
          <t>1 - ADMINISTRACIÓN CENTRAL</t>
        </is>
      </c>
      <c r="B387" t="inlineStr">
        <is>
          <t>00 - SIN SECTOR</t>
        </is>
      </c>
      <c r="C387" t="inlineStr">
        <is>
          <t>00</t>
        </is>
      </c>
      <c r="D387" t="inlineStr">
        <is>
          <t>0000</t>
        </is>
      </c>
      <c r="E387" t="inlineStr">
        <is>
          <t>000000</t>
        </is>
      </c>
      <c r="F387" t="inlineStr">
        <is>
          <t>SIN PRODUCTO</t>
        </is>
      </c>
      <c r="G387" t="inlineStr">
        <is>
          <t>00</t>
        </is>
      </c>
      <c r="H387" t="inlineStr">
        <is>
          <t>00</t>
        </is>
      </c>
      <c r="I387" t="inlineStr">
        <is>
          <t>00</t>
        </is>
      </c>
      <c r="J387" t="inlineStr">
        <is>
          <t>SIN PRODUCTO DANE</t>
        </is>
      </c>
      <c r="K387" t="inlineStr">
        <is>
          <t>00</t>
        </is>
      </c>
      <c r="L387" t="inlineStr">
        <is>
          <t>SIN ATRIBUTO</t>
        </is>
      </c>
      <c r="N387" t="inlineStr">
        <is>
          <t>2.3.2.02.02.009.04</t>
        </is>
      </c>
      <c r="O387" t="inlineStr">
        <is>
          <t>INFORMACION ESTADISTICA</t>
        </is>
      </c>
      <c r="P387" t="inlineStr">
        <is>
          <t>00</t>
        </is>
      </c>
      <c r="Q387" t="inlineStr">
        <is>
          <t>RECURSOS</t>
        </is>
      </c>
      <c r="R387" t="n">
        <v>0</v>
      </c>
      <c r="S387" t="n">
        <v>12255460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12255460</v>
      </c>
      <c r="Z387" t="n">
        <v>0</v>
      </c>
      <c r="AA387" t="n">
        <v>0</v>
      </c>
      <c r="AB387" t="n">
        <v>0</v>
      </c>
      <c r="AC387" t="n">
        <v>0</v>
      </c>
      <c r="AD387" t="n">
        <v>12255460</v>
      </c>
      <c r="AE387" t="n">
        <v>0</v>
      </c>
    </row>
    <row r="388">
      <c r="A388" t="inlineStr">
        <is>
          <t>1 - ADMINISTRACIÓN CENTRAL</t>
        </is>
      </c>
      <c r="B388" t="inlineStr">
        <is>
          <t>04 - INFORMACIÓN ESTADÍSTICA</t>
        </is>
      </c>
      <c r="C388" t="inlineStr">
        <is>
          <t>1003</t>
        </is>
      </c>
      <c r="D388" t="inlineStr">
        <is>
          <t>0401</t>
        </is>
      </c>
      <c r="E388" t="inlineStr">
        <is>
          <t>0401105</t>
        </is>
      </c>
      <c r="F388" t="inlineStr">
        <is>
          <t>SERVICIO DE ESTRATIFICACION SOCIOECONOMICA</t>
        </is>
      </c>
      <c r="G388" t="inlineStr">
        <is>
          <t>2024546600039</t>
        </is>
      </c>
      <c r="H388" t="inlineStr">
        <is>
          <t>SERVICIO DE LEVANTAMIENTO Y ACTUALIZACIÓN DE INFORMACIÓN ESTADÍSTICA DE CALIDAD PDM UNIDOS SOMOS MÁS EN EL MUNICIPIO DE  SALAZAR</t>
        </is>
      </c>
      <c r="I388" t="inlineStr">
        <is>
          <t>91119</t>
        </is>
      </c>
      <c r="J388" t="inlineStr">
        <is>
          <t>Otros servicios de la administración pública n.c.p.</t>
        </is>
      </c>
      <c r="K388" t="inlineStr">
        <is>
          <t>00</t>
        </is>
      </c>
      <c r="L388" t="inlineStr">
        <is>
          <t>SIN ATRIBUTO</t>
        </is>
      </c>
      <c r="N388" t="inlineStr">
        <is>
          <t>2.3.2.02.02.009.04.01</t>
        </is>
      </c>
      <c r="O388" t="inlineStr">
        <is>
          <t>Servicio de estratificacion socio economica</t>
        </is>
      </c>
      <c r="P388" t="inlineStr">
        <is>
          <t>690.</t>
        </is>
      </c>
      <c r="Q388" t="inlineStr">
        <is>
          <t>CONCURSOS ECONOMICO DE ESTRATIFICACION</t>
        </is>
      </c>
      <c r="R388" t="n">
        <v>0</v>
      </c>
      <c r="S388" t="n">
        <v>12255460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12255460</v>
      </c>
      <c r="Z388" t="n">
        <v>0</v>
      </c>
      <c r="AA388" t="n">
        <v>0</v>
      </c>
      <c r="AB388" t="n">
        <v>0</v>
      </c>
      <c r="AC388" t="n">
        <v>0</v>
      </c>
      <c r="AD388" t="n">
        <v>12255460</v>
      </c>
      <c r="AE388" t="n">
        <v>0</v>
      </c>
    </row>
    <row r="389">
      <c r="A389" t="inlineStr">
        <is>
          <t>1 - ADMINISTRACIÓN CENTRAL</t>
        </is>
      </c>
      <c r="B389" t="inlineStr">
        <is>
          <t>00 - SIN SECTOR</t>
        </is>
      </c>
      <c r="C389" t="inlineStr">
        <is>
          <t>00</t>
        </is>
      </c>
      <c r="D389" t="inlineStr">
        <is>
          <t>0000</t>
        </is>
      </c>
      <c r="E389" t="inlineStr">
        <is>
          <t>000000</t>
        </is>
      </c>
      <c r="F389" t="inlineStr">
        <is>
          <t>SIN PRODUCTO</t>
        </is>
      </c>
      <c r="G389" t="inlineStr">
        <is>
          <t>00</t>
        </is>
      </c>
      <c r="H389" t="inlineStr">
        <is>
          <t>00</t>
        </is>
      </c>
      <c r="I389" t="inlineStr">
        <is>
          <t>00</t>
        </is>
      </c>
      <c r="J389" t="inlineStr">
        <is>
          <t>SIN PRODUCTO DANE</t>
        </is>
      </c>
      <c r="K389" t="inlineStr">
        <is>
          <t>00</t>
        </is>
      </c>
      <c r="L389" t="inlineStr">
        <is>
          <t>SIN ATRIBUTO</t>
        </is>
      </c>
      <c r="N389" t="inlineStr">
        <is>
          <t>2.3.2.02.02.009.17</t>
        </is>
      </c>
      <c r="O389" t="inlineStr">
        <is>
          <t>AGRICULTURA Y DESARROLLO RURAL</t>
        </is>
      </c>
      <c r="P389" t="inlineStr">
        <is>
          <t>00</t>
        </is>
      </c>
      <c r="Q389" t="inlineStr">
        <is>
          <t>RECURSOS</t>
        </is>
      </c>
      <c r="R389" t="n">
        <v>80000000</v>
      </c>
      <c r="S389" t="n">
        <v>20037110</v>
      </c>
      <c r="T389" t="n">
        <v>0</v>
      </c>
      <c r="U389" t="n">
        <v>10000000</v>
      </c>
      <c r="V389" t="n">
        <v>0</v>
      </c>
      <c r="W389" t="n">
        <v>0</v>
      </c>
      <c r="X389" t="n">
        <v>0</v>
      </c>
      <c r="Y389" t="n">
        <v>110037110</v>
      </c>
      <c r="Z389" t="n">
        <v>39189600</v>
      </c>
      <c r="AA389" t="n">
        <v>39189600</v>
      </c>
      <c r="AB389" t="n">
        <v>8645600</v>
      </c>
      <c r="AC389" t="n">
        <v>8645600</v>
      </c>
      <c r="AD389" t="n">
        <v>70847510</v>
      </c>
      <c r="AE389" t="n">
        <v>35.61</v>
      </c>
    </row>
    <row r="390">
      <c r="A390" t="inlineStr">
        <is>
          <t>1 - ADMINISTRACIÓN CENTRAL</t>
        </is>
      </c>
      <c r="B390" t="inlineStr">
        <is>
          <t>17 - AGRICULTURA Y DESARROLLO RURAL</t>
        </is>
      </c>
      <c r="C390" t="inlineStr">
        <is>
          <t>1100</t>
        </is>
      </c>
      <c r="D390" t="inlineStr">
        <is>
          <t>1702</t>
        </is>
      </c>
      <c r="E390" t="inlineStr">
        <is>
          <t>1702010</t>
        </is>
      </c>
      <c r="F390" t="inlineStr">
        <is>
          <t>SERVICIO DE ASISTENCIA TÉCNICA AGROPECUARIA DIRIGIDA A PEQUEÑOS PRODUCTORES</t>
        </is>
      </c>
      <c r="G390" t="inlineStr">
        <is>
          <t>2024546600043</t>
        </is>
      </c>
      <c r="H390" t="inlineStr">
        <is>
          <t>APOYO PARA LA INCLUSIÓN PRODUCTIVA DE PEQUEÑOS PRODUCTORES RURALES PDM UNIDOS SOMOS MÁS EN EL MUNICIPIO DE  SALAZAR</t>
        </is>
      </c>
      <c r="I390" t="inlineStr">
        <is>
          <t>91131</t>
        </is>
      </c>
      <c r="J390" t="inlineStr">
        <is>
          <t>Servicios de la administración pública relacionados con la agricultura, silvicultura, pesca y caza</t>
        </is>
      </c>
      <c r="K390" t="inlineStr">
        <is>
          <t>00</t>
        </is>
      </c>
      <c r="L390" t="inlineStr">
        <is>
          <t>SIN ATRIBUTO</t>
        </is>
      </c>
      <c r="N390" t="inlineStr">
        <is>
          <t>2.3.2.02.02.009.17.01</t>
        </is>
      </c>
      <c r="O390" t="inlineStr">
        <is>
          <t>Servicio de asistencia técnica agropecuaria dirigida a pequeños productores</t>
        </is>
      </c>
      <c r="P390" t="inlineStr">
        <is>
          <t>420</t>
        </is>
      </c>
      <c r="Q390" t="inlineStr">
        <is>
          <t>SGP PROPOSITO GENERAL FORZOSA INVERSION LIBRE INVERSIÓN SGP ONCE DOCEAVAS VIGENCIA ACTUAL MAS ULTIMA DOCEAVA VIGENCIA AN</t>
        </is>
      </c>
      <c r="R390" t="n">
        <v>30000000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30000000</v>
      </c>
      <c r="Z390" t="n">
        <v>29189600</v>
      </c>
      <c r="AA390" t="n">
        <v>29189600</v>
      </c>
      <c r="AB390" t="n">
        <v>8645600</v>
      </c>
      <c r="AC390" t="n">
        <v>8645600</v>
      </c>
      <c r="AD390" t="n">
        <v>810400</v>
      </c>
      <c r="AE390" t="n">
        <v>97.3</v>
      </c>
    </row>
    <row r="391">
      <c r="A391" t="inlineStr">
        <is>
          <t>1 - ADMINISTRACIÓN CENTRAL</t>
        </is>
      </c>
      <c r="B391" t="inlineStr">
        <is>
          <t>17 - AGRICULTURA Y DESARROLLO RURAL</t>
        </is>
      </c>
      <c r="C391" t="inlineStr">
        <is>
          <t>1100</t>
        </is>
      </c>
      <c r="D391" t="inlineStr">
        <is>
          <t>1709</t>
        </is>
      </c>
      <c r="E391" t="inlineStr">
        <is>
          <t>1709105</t>
        </is>
      </c>
      <c r="F391" t="inlineStr">
        <is>
          <t>SERVICIO DE APOYO A LA PRODUCCIÓN DE LAS CADENAS AGRÍCOLAS, FORESTALES, PECUARIAS, PESQUERAS Y ACUÍCOLAS</t>
        </is>
      </c>
      <c r="G391" t="inlineStr">
        <is>
          <t>2024546600045</t>
        </is>
      </c>
      <c r="H391" t="inlineStr">
        <is>
          <t>FORTALECIMIENTO DE LA INFRAESTRUCTURA PRODUCTIVA Y COMERCIALIZACIÓN DE PRODUCTOS AGROPECUARIOS PDM UNIDOS SOMOS MÁS EN EL MUNICIPIO DE   SALAZAR</t>
        </is>
      </c>
      <c r="I391" t="inlineStr">
        <is>
          <t>91131</t>
        </is>
      </c>
      <c r="J391" t="inlineStr">
        <is>
          <t>Servicios de la administración pública relacionados con la agricultura, silvicultura, pesca y caza</t>
        </is>
      </c>
      <c r="K391" t="inlineStr">
        <is>
          <t>00</t>
        </is>
      </c>
      <c r="L391" t="inlineStr">
        <is>
          <t>SIN ATRIBUTO</t>
        </is>
      </c>
      <c r="N391" t="inlineStr">
        <is>
          <t>2.3.2.02.02.009.17.02</t>
        </is>
      </c>
      <c r="O391" t="inlineStr">
        <is>
          <t>Servicio de apoyo a la producción de las cadenas agrícolas, forestales, pecuarias, pesqueras y acuícolas</t>
        </is>
      </c>
      <c r="P391" t="inlineStr">
        <is>
          <t>420</t>
        </is>
      </c>
      <c r="Q391" t="inlineStr">
        <is>
          <t>SGP PROPOSITO GENERAL FORZOSA INVERSION LIBRE INVERSIÓN SGP ONCE DOCEAVAS VIGENCIA ACTUAL MAS ULTIMA DOCEAVA VIGENCIA AN</t>
        </is>
      </c>
      <c r="R391" t="n">
        <v>50000000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50000000</v>
      </c>
      <c r="Z391" t="n">
        <v>0</v>
      </c>
      <c r="AA391" t="n">
        <v>0</v>
      </c>
      <c r="AB391" t="n">
        <v>0</v>
      </c>
      <c r="AC391" t="n">
        <v>0</v>
      </c>
      <c r="AD391" t="n">
        <v>50000000</v>
      </c>
      <c r="AE391" t="n">
        <v>0</v>
      </c>
    </row>
    <row r="392">
      <c r="A392" t="inlineStr">
        <is>
          <t>1 - ADMINISTRACIÓN CENTRAL</t>
        </is>
      </c>
      <c r="B392" t="inlineStr">
        <is>
          <t>17 - AGRICULTURA Y DESARROLLO RURAL</t>
        </is>
      </c>
      <c r="C392" t="inlineStr">
        <is>
          <t>1100</t>
        </is>
      </c>
      <c r="D392" t="inlineStr">
        <is>
          <t>1702</t>
        </is>
      </c>
      <c r="E392" t="inlineStr">
        <is>
          <t>1702038</t>
        </is>
      </c>
      <c r="F392" t="inlineStr">
        <is>
          <t>SERVICIO DE APOYO A LA COMERCIALIZACIÓN</t>
        </is>
      </c>
      <c r="G392" t="inlineStr">
        <is>
          <t>2024546600043</t>
        </is>
      </c>
      <c r="H392" t="inlineStr">
        <is>
          <t>APOYO PARA LA INCLUSIÓN PRODUCTIVA DE PEQUEÑOS PRODUCTORES RURALES PDM UNIDOS SOMOS MÁS EN EL MUNICIPIO DE  SALAZAR</t>
        </is>
      </c>
      <c r="I392" t="inlineStr">
        <is>
          <t>91131</t>
        </is>
      </c>
      <c r="J392" t="inlineStr">
        <is>
          <t>Servicios de la administración pública relacionados con la agricultura, silvicultura, pesca y caza</t>
        </is>
      </c>
      <c r="K392" t="inlineStr">
        <is>
          <t>00</t>
        </is>
      </c>
      <c r="L392" t="inlineStr">
        <is>
          <t>SIN ATRIBUTO</t>
        </is>
      </c>
      <c r="N392" t="inlineStr">
        <is>
          <t>2.3.2.02.02.009.17.03</t>
        </is>
      </c>
      <c r="O392" t="inlineStr">
        <is>
          <t>servicio de apoyo a la comercializacion</t>
        </is>
      </c>
      <c r="P392" t="inlineStr">
        <is>
          <t>420</t>
        </is>
      </c>
      <c r="Q392" t="inlineStr">
        <is>
          <t>SGP PROPOSITO GENERAL FORZOSA INVERSION LIBRE INVERSIÓN SGP ONCE DOCEAVAS VIGENCIA ACTUAL MAS ULTIMA DOCEAVA VIGENCIA AN</t>
        </is>
      </c>
      <c r="R392" t="n">
        <v>0</v>
      </c>
      <c r="S392" t="n">
        <v>0</v>
      </c>
      <c r="T392" t="n">
        <v>0</v>
      </c>
      <c r="U392" t="n">
        <v>10000000</v>
      </c>
      <c r="V392" t="n">
        <v>0</v>
      </c>
      <c r="W392" t="n">
        <v>0</v>
      </c>
      <c r="X392" t="n">
        <v>0</v>
      </c>
      <c r="Y392" t="n">
        <v>10000000</v>
      </c>
      <c r="Z392" t="n">
        <v>10000000</v>
      </c>
      <c r="AA392" t="n">
        <v>10000000</v>
      </c>
      <c r="AB392" t="n">
        <v>0</v>
      </c>
      <c r="AC392" t="n">
        <v>0</v>
      </c>
      <c r="AD392" t="n">
        <v>0</v>
      </c>
      <c r="AE392" t="n">
        <v>100</v>
      </c>
    </row>
    <row r="393">
      <c r="A393" t="inlineStr">
        <is>
          <t>1 - ADMINISTRACIÓN CENTRAL</t>
        </is>
      </c>
      <c r="B393" t="inlineStr">
        <is>
          <t>17 - AGRICULTURA Y DESARROLLO RURAL</t>
        </is>
      </c>
      <c r="C393" t="inlineStr">
        <is>
          <t>1100</t>
        </is>
      </c>
      <c r="D393" t="inlineStr">
        <is>
          <t>1702</t>
        </is>
      </c>
      <c r="E393" t="inlineStr">
        <is>
          <t>1702010</t>
        </is>
      </c>
      <c r="F393" t="inlineStr">
        <is>
          <t>SERVICIO DE ASISTENCIA TÉCNICA AGROPECUARIA DIRIGIDA A PEQUEÑOS PRODUCTORES</t>
        </is>
      </c>
      <c r="G393" t="inlineStr">
        <is>
          <t>2024546600043</t>
        </is>
      </c>
      <c r="H393" t="inlineStr">
        <is>
          <t>APOYO PARA LA INCLUSIÓN PRODUCTIVA DE PEQUEÑOS PRODUCTORES RURALES PDM UNIDOS SOMOS MÁS EN EL MUNICIPIO DE  SALAZAR</t>
        </is>
      </c>
      <c r="I393" t="inlineStr">
        <is>
          <t>91131</t>
        </is>
      </c>
      <c r="J393" t="inlineStr">
        <is>
          <t>Servicios de la administración pública relacionados con la agricultura, silvicultura, pesca y caza</t>
        </is>
      </c>
      <c r="K393" t="inlineStr">
        <is>
          <t>00</t>
        </is>
      </c>
      <c r="L393" t="inlineStr">
        <is>
          <t>SIN ATRIBUTO</t>
        </is>
      </c>
      <c r="N393" t="inlineStr">
        <is>
          <t>2.3.2.02.02.009.17.04</t>
        </is>
      </c>
      <c r="O393" t="inlineStr">
        <is>
          <t>Servicio de asistencia técnica agropecuaria dirigida a pequeños productores</t>
        </is>
      </c>
      <c r="P393" t="inlineStr">
        <is>
          <t>64.1.1</t>
        </is>
      </c>
      <c r="Q393" t="inlineStr">
        <is>
          <t>CONVENIO COPORNOR RB</t>
        </is>
      </c>
      <c r="R393" t="n">
        <v>0</v>
      </c>
      <c r="S393" t="n">
        <v>32037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32037</v>
      </c>
      <c r="Z393" t="n">
        <v>0</v>
      </c>
      <c r="AA393" t="n">
        <v>0</v>
      </c>
      <c r="AB393" t="n">
        <v>0</v>
      </c>
      <c r="AC393" t="n">
        <v>0</v>
      </c>
      <c r="AD393" t="n">
        <v>32037</v>
      </c>
      <c r="AE393" t="n">
        <v>0</v>
      </c>
    </row>
    <row r="394">
      <c r="A394" t="inlineStr">
        <is>
          <t>1 - ADMINISTRACIÓN CENTRAL</t>
        </is>
      </c>
      <c r="B394" t="inlineStr">
        <is>
          <t>17 - AGRICULTURA Y DESARROLLO RURAL</t>
        </is>
      </c>
      <c r="C394" t="inlineStr">
        <is>
          <t>1100</t>
        </is>
      </c>
      <c r="D394" t="inlineStr">
        <is>
          <t>1702</t>
        </is>
      </c>
      <c r="E394" t="inlineStr">
        <is>
          <t>1702010</t>
        </is>
      </c>
      <c r="F394" t="inlineStr">
        <is>
          <t>SERVICIO DE ASISTENCIA TÉCNICA AGROPECUARIA DIRIGIDA A PEQUEÑOS PRODUCTORES</t>
        </is>
      </c>
      <c r="G394" t="inlineStr">
        <is>
          <t>2024546600043</t>
        </is>
      </c>
      <c r="H394" t="inlineStr">
        <is>
          <t>APOYO PARA LA INCLUSIÓN PRODUCTIVA DE PEQUEÑOS PRODUCTORES RURALES PDM UNIDOS SOMOS MÁS EN EL MUNICIPIO DE  SALAZAR</t>
        </is>
      </c>
      <c r="I394" t="inlineStr">
        <is>
          <t>91131</t>
        </is>
      </c>
      <c r="J394" t="inlineStr">
        <is>
          <t>Servicios de la administración pública relacionados con la agricultura, silvicultura, pesca y caza</t>
        </is>
      </c>
      <c r="K394" t="inlineStr">
        <is>
          <t>00</t>
        </is>
      </c>
      <c r="L394" t="inlineStr">
        <is>
          <t>SIN ATRIBUTO</t>
        </is>
      </c>
      <c r="N394" t="inlineStr">
        <is>
          <t>2.3.2.02.02.009.17.05</t>
        </is>
      </c>
      <c r="O394" t="inlineStr">
        <is>
          <t>Servicio de asistencia técnica agropecuaria dirigida a pequeños productores</t>
        </is>
      </c>
      <c r="P394" t="inlineStr">
        <is>
          <t>670.12.1</t>
        </is>
      </c>
      <c r="Q394" t="inlineStr">
        <is>
          <t>REND. FCROS.BANCO DE SEMILLA UMATA L.I</t>
        </is>
      </c>
      <c r="R394" t="n">
        <v>0</v>
      </c>
      <c r="S394" t="n">
        <v>5073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5073</v>
      </c>
      <c r="Z394" t="n">
        <v>0</v>
      </c>
      <c r="AA394" t="n">
        <v>0</v>
      </c>
      <c r="AB394" t="n">
        <v>0</v>
      </c>
      <c r="AC394" t="n">
        <v>0</v>
      </c>
      <c r="AD394" t="n">
        <v>5073</v>
      </c>
      <c r="AE394" t="n">
        <v>0</v>
      </c>
    </row>
    <row r="395">
      <c r="A395" t="inlineStr">
        <is>
          <t>1 - ADMINISTRACIÓN CENTRAL</t>
        </is>
      </c>
      <c r="B395" t="inlineStr">
        <is>
          <t>17 - AGRICULTURA Y DESARROLLO RURAL</t>
        </is>
      </c>
      <c r="C395" t="inlineStr">
        <is>
          <t>1100</t>
        </is>
      </c>
      <c r="D395" t="inlineStr">
        <is>
          <t>1709</t>
        </is>
      </c>
      <c r="E395" t="inlineStr">
        <is>
          <t>1709105</t>
        </is>
      </c>
      <c r="F395" t="inlineStr">
        <is>
          <t>SERVICIO DE APOYO A LA PRODUCCIÓN DE LAS CADENAS AGRÍCOLAS, FORESTALES, PECUARIAS, PESQUERAS Y ACUÍCOLAS</t>
        </is>
      </c>
      <c r="G395" t="inlineStr">
        <is>
          <t>2024546600045</t>
        </is>
      </c>
      <c r="H395" t="inlineStr">
        <is>
          <t>FORTALECIMIENTO DE LA INFRAESTRUCTURA PRODUCTIVA Y COMERCIALIZACIÓN DE PRODUCTOS AGROPECUARIOS PDM UNIDOS SOMOS MÁS EN EL MUNICIPIO DE   SALAZAR</t>
        </is>
      </c>
      <c r="I395" t="inlineStr">
        <is>
          <t>91131</t>
        </is>
      </c>
      <c r="J395" t="inlineStr">
        <is>
          <t>Servicios de la administración pública relacionados con la agricultura, silvicultura, pesca y caza</t>
        </is>
      </c>
      <c r="K395" t="inlineStr">
        <is>
          <t>00</t>
        </is>
      </c>
      <c r="L395" t="inlineStr">
        <is>
          <t>SIN ATRIBUTO</t>
        </is>
      </c>
      <c r="N395" t="inlineStr">
        <is>
          <t>2.3.2.02.02.009.17.06</t>
        </is>
      </c>
      <c r="O395" t="inlineStr">
        <is>
          <t>Servicio de apoyo a la producción de las cadenas agrícolas, forestales, pecuarias, pesqueras y acuícolas</t>
        </is>
      </c>
      <c r="P395" t="inlineStr">
        <is>
          <t>410</t>
        </is>
      </c>
      <c r="Q395" t="inlineStr">
        <is>
          <t>SGP PROPOSITO GENERAL FORZOSA INVERSION LIBRE INVERSIÓN SALDOS NO EJECUTADOS NI INCORPORADOS VIGENCIAS ANTERIORES Y REIN</t>
        </is>
      </c>
      <c r="R395" t="n">
        <v>0</v>
      </c>
      <c r="S395" t="n">
        <v>20000000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20000000</v>
      </c>
      <c r="Z395" t="n">
        <v>0</v>
      </c>
      <c r="AA395" t="n">
        <v>0</v>
      </c>
      <c r="AB395" t="n">
        <v>0</v>
      </c>
      <c r="AC395" t="n">
        <v>0</v>
      </c>
      <c r="AD395" t="n">
        <v>20000000</v>
      </c>
      <c r="AE395" t="n">
        <v>0</v>
      </c>
    </row>
    <row r="396">
      <c r="A396" t="inlineStr">
        <is>
          <t>1 - ADMINISTRACIÓN CENTRAL</t>
        </is>
      </c>
      <c r="B396" t="inlineStr">
        <is>
          <t>00 - SIN SECTOR</t>
        </is>
      </c>
      <c r="C396" t="inlineStr">
        <is>
          <t>00</t>
        </is>
      </c>
      <c r="D396" t="inlineStr">
        <is>
          <t>0000</t>
        </is>
      </c>
      <c r="E396" t="inlineStr">
        <is>
          <t>000000</t>
        </is>
      </c>
      <c r="F396" t="inlineStr">
        <is>
          <t>SIN PRODUCTO</t>
        </is>
      </c>
      <c r="G396" t="inlineStr">
        <is>
          <t>00</t>
        </is>
      </c>
      <c r="H396" t="inlineStr">
        <is>
          <t>00</t>
        </is>
      </c>
      <c r="I396" t="inlineStr">
        <is>
          <t>00</t>
        </is>
      </c>
      <c r="J396" t="inlineStr">
        <is>
          <t>SIN PRODUCTO DANE</t>
        </is>
      </c>
      <c r="K396" t="inlineStr">
        <is>
          <t>00</t>
        </is>
      </c>
      <c r="L396" t="inlineStr">
        <is>
          <t>SIN ATRIBUTO</t>
        </is>
      </c>
      <c r="N396" t="inlineStr">
        <is>
          <t>2.3.2.02.02.009.21</t>
        </is>
      </c>
      <c r="O396" t="inlineStr">
        <is>
          <t>MINAS Y ENERGIA</t>
        </is>
      </c>
      <c r="P396" t="inlineStr">
        <is>
          <t>00</t>
        </is>
      </c>
      <c r="Q396" t="inlineStr">
        <is>
          <t>RECURSOS</t>
        </is>
      </c>
      <c r="R396" t="n">
        <v>39745508</v>
      </c>
      <c r="S396" t="n">
        <v>618954316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658699824</v>
      </c>
      <c r="Z396" t="n">
        <v>658699824</v>
      </c>
      <c r="AA396" t="n">
        <v>658699824</v>
      </c>
      <c r="AB396" t="n">
        <v>0</v>
      </c>
      <c r="AC396" t="n">
        <v>0</v>
      </c>
      <c r="AD396" t="n">
        <v>0</v>
      </c>
      <c r="AE396" t="n">
        <v>100</v>
      </c>
    </row>
    <row r="397">
      <c r="A397" t="inlineStr">
        <is>
          <t>1 - ADMINISTRACIÓN CENTRAL</t>
        </is>
      </c>
      <c r="B397" t="inlineStr">
        <is>
          <t>21 - MINAS Y ENERGÍA</t>
        </is>
      </c>
      <c r="C397" t="inlineStr">
        <is>
          <t>1900</t>
        </is>
      </c>
      <c r="D397" t="inlineStr">
        <is>
          <t>2102</t>
        </is>
      </c>
      <c r="E397" t="inlineStr">
        <is>
          <t>2102069</t>
        </is>
      </c>
      <c r="F397" t="inlineStr">
        <is>
          <t>SERVICIO DE ALUMBRADO PÚBLICO</t>
        </is>
      </c>
      <c r="G397" t="inlineStr">
        <is>
          <t>2024546600050</t>
        </is>
      </c>
      <c r="H397" t="inlineStr">
        <is>
          <t>APOYO A LA CONSOLIDACIÓN PRODUCTIVA DEL SECTOR DE ENERGÍA ELÉCTRICA PDM UNIDOS SOMOS MÁS EN EL MUNICIPIO DE  SALAZAR</t>
        </is>
      </c>
      <c r="I397" t="inlineStr">
        <is>
          <t>91123</t>
        </is>
      </c>
      <c r="J397" t="inlineStr">
        <is>
          <t>Servicios de la administración pública relacionados con la vivienda e infraestructura de servicios públicos</t>
        </is>
      </c>
      <c r="K397" t="inlineStr">
        <is>
          <t>00</t>
        </is>
      </c>
      <c r="L397" t="inlineStr">
        <is>
          <t>SIN ATRIBUTO</t>
        </is>
      </c>
      <c r="N397" t="inlineStr">
        <is>
          <t>2.3.2.02.02.009.21.01</t>
        </is>
      </c>
      <c r="O397" t="inlineStr">
        <is>
          <t>Servicio de alumbrado público</t>
        </is>
      </c>
      <c r="P397" t="inlineStr">
        <is>
          <t>115</t>
        </is>
      </c>
      <c r="Q397" t="inlineStr">
        <is>
          <t>ALUMBRADO PUBLICO SSF</t>
        </is>
      </c>
      <c r="R397" t="n">
        <v>39745508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39745508</v>
      </c>
      <c r="Z397" t="n">
        <v>39745508</v>
      </c>
      <c r="AA397" t="n">
        <v>39745508</v>
      </c>
      <c r="AB397" t="n">
        <v>0</v>
      </c>
      <c r="AC397" t="n">
        <v>0</v>
      </c>
      <c r="AD397" t="n">
        <v>0</v>
      </c>
      <c r="AE397" t="n">
        <v>100</v>
      </c>
    </row>
    <row r="398">
      <c r="A398" t="inlineStr">
        <is>
          <t>1 - ADMINISTRACIÓN CENTRAL</t>
        </is>
      </c>
      <c r="B398" t="inlineStr">
        <is>
          <t>21 - MINAS Y ENERGÍA</t>
        </is>
      </c>
      <c r="C398" t="inlineStr">
        <is>
          <t>1900</t>
        </is>
      </c>
      <c r="D398" t="inlineStr">
        <is>
          <t>2102</t>
        </is>
      </c>
      <c r="E398" t="inlineStr">
        <is>
          <t>2102069</t>
        </is>
      </c>
      <c r="F398" t="inlineStr">
        <is>
          <t>SERVICIO DE ALUMBRADO PÚBLICO</t>
        </is>
      </c>
      <c r="G398" t="inlineStr">
        <is>
          <t>2024546600050</t>
        </is>
      </c>
      <c r="H398" t="inlineStr">
        <is>
          <t>APOYO A LA CONSOLIDACIÓN PRODUCTIVA DEL SECTOR DE ENERGÍA ELÉCTRICA PDM UNIDOS SOMOS MÁS EN EL MUNICIPIO DE  SALAZAR</t>
        </is>
      </c>
      <c r="I398" t="inlineStr">
        <is>
          <t>91132</t>
        </is>
      </c>
      <c r="J398" t="inlineStr">
        <is>
          <t>Servicios de la administración pública relacionados con la energía y los combustibles</t>
        </is>
      </c>
      <c r="K398" t="inlineStr">
        <is>
          <t>00</t>
        </is>
      </c>
      <c r="L398" t="inlineStr">
        <is>
          <t>SIN ATRIBUTO</t>
        </is>
      </c>
      <c r="N398" t="inlineStr">
        <is>
          <t>2.3.2.02.02.009.21.02</t>
        </is>
      </c>
      <c r="O398" t="inlineStr">
        <is>
          <t>Servicio de alumbrado público</t>
        </is>
      </c>
      <c r="P398" t="inlineStr">
        <is>
          <t>115.3</t>
        </is>
      </c>
      <c r="Q398" t="inlineStr">
        <is>
          <t>RB IMPUESTO DE ALUMBRADO PUBLICO OSSF</t>
        </is>
      </c>
      <c r="R398" t="n">
        <v>0</v>
      </c>
      <c r="S398" t="n">
        <v>618954316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618954316</v>
      </c>
      <c r="Z398" t="n">
        <v>618954316</v>
      </c>
      <c r="AA398" t="n">
        <v>618954316</v>
      </c>
      <c r="AB398" t="n">
        <v>0</v>
      </c>
      <c r="AC398" t="n">
        <v>0</v>
      </c>
      <c r="AD398" t="n">
        <v>0</v>
      </c>
      <c r="AE398" t="n">
        <v>100</v>
      </c>
    </row>
    <row r="399">
      <c r="A399" t="inlineStr">
        <is>
          <t>1 - ADMINISTRACIÓN CENTRAL</t>
        </is>
      </c>
      <c r="B399" t="inlineStr">
        <is>
          <t>00 - SIN SECTOR</t>
        </is>
      </c>
      <c r="C399" t="inlineStr">
        <is>
          <t>00</t>
        </is>
      </c>
      <c r="D399" t="inlineStr">
        <is>
          <t>0000</t>
        </is>
      </c>
      <c r="E399" t="inlineStr">
        <is>
          <t>000000</t>
        </is>
      </c>
      <c r="F399" t="inlineStr">
        <is>
          <t>SIN PRODUCTO</t>
        </is>
      </c>
      <c r="G399" t="inlineStr">
        <is>
          <t>00</t>
        </is>
      </c>
      <c r="H399" t="inlineStr">
        <is>
          <t>00</t>
        </is>
      </c>
      <c r="I399" t="inlineStr">
        <is>
          <t>00</t>
        </is>
      </c>
      <c r="J399" t="inlineStr">
        <is>
          <t>SIN PRODUCTO DANE</t>
        </is>
      </c>
      <c r="K399" t="inlineStr">
        <is>
          <t>00</t>
        </is>
      </c>
      <c r="L399" t="inlineStr">
        <is>
          <t>SIN ATRIBUTO</t>
        </is>
      </c>
      <c r="N399" t="inlineStr">
        <is>
          <t>2.3.2.02.02.009.22</t>
        </is>
      </c>
      <c r="O399" t="inlineStr">
        <is>
          <t>EDUCACION</t>
        </is>
      </c>
      <c r="P399" t="inlineStr">
        <is>
          <t>00</t>
        </is>
      </c>
      <c r="Q399" t="inlineStr">
        <is>
          <t>RECURSOS</t>
        </is>
      </c>
      <c r="R399" t="n">
        <v>530653125</v>
      </c>
      <c r="S399" t="n">
        <v>70000000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600653125</v>
      </c>
      <c r="Z399" t="n">
        <v>320670507</v>
      </c>
      <c r="AA399" t="n">
        <v>320669625.91</v>
      </c>
      <c r="AB399" t="n">
        <v>250670507</v>
      </c>
      <c r="AC399" t="n">
        <v>250670507</v>
      </c>
      <c r="AD399" t="n">
        <v>279982618</v>
      </c>
      <c r="AE399" t="n">
        <v>53.39</v>
      </c>
    </row>
    <row r="400">
      <c r="A400" t="inlineStr">
        <is>
          <t>1 - ADMINISTRACIÓN CENTRAL</t>
        </is>
      </c>
      <c r="B400" t="inlineStr">
        <is>
          <t>22 - EDUCACIÓN</t>
        </is>
      </c>
      <c r="C400" t="inlineStr">
        <is>
          <t>0700</t>
        </is>
      </c>
      <c r="D400" t="inlineStr">
        <is>
          <t>2201</t>
        </is>
      </c>
      <c r="E400" t="inlineStr">
        <is>
          <t>2201071</t>
        </is>
      </c>
      <c r="F400" t="inlineStr">
        <is>
          <t>SERVICIO EDUCATIVO</t>
        </is>
      </c>
      <c r="G400" t="inlineStr">
        <is>
          <t>2024546600038</t>
        </is>
      </c>
      <c r="H400" t="inlineStr">
        <is>
          <t>FORTALECIMIENTO DE LA CALIDAD Y COBERTURA DE LA EDUCACION BASICA Y MEDA EN EL MUNICIPIO DE SALAZAR DE LAS PALMAS</t>
        </is>
      </c>
      <c r="I400" t="inlineStr">
        <is>
          <t>91121</t>
        </is>
      </c>
      <c r="J400" t="inlineStr">
        <is>
          <t>Servicios de la administración pública relacionados con la educación</t>
        </is>
      </c>
      <c r="K400" t="inlineStr">
        <is>
          <t>00</t>
        </is>
      </c>
      <c r="L400" t="inlineStr">
        <is>
          <t>SIN ATRIBUTO</t>
        </is>
      </c>
      <c r="N400" t="inlineStr">
        <is>
          <t>2.3.2.02.02.009.22.01</t>
        </is>
      </c>
      <c r="O400" t="inlineStr">
        <is>
          <t>Financiación de gratuidad en la educación oficial</t>
        </is>
      </c>
      <c r="P400" t="inlineStr">
        <is>
          <t>231</t>
        </is>
      </c>
      <c r="Q400" t="inlineStr">
        <is>
          <t>EDUCACION SGP CALIDAD GRATUIDAD</t>
        </is>
      </c>
      <c r="R400" t="n">
        <v>450553125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450553125</v>
      </c>
      <c r="Z400" t="n">
        <v>218684835</v>
      </c>
      <c r="AA400" t="n">
        <v>218684835</v>
      </c>
      <c r="AB400" t="n">
        <v>218684835</v>
      </c>
      <c r="AC400" t="n">
        <v>218684835</v>
      </c>
      <c r="AD400" t="n">
        <v>231868290</v>
      </c>
      <c r="AE400" t="n">
        <v>48.54</v>
      </c>
    </row>
    <row r="401">
      <c r="A401" t="inlineStr">
        <is>
          <t>1 - ADMINISTRACIÓN CENTRAL</t>
        </is>
      </c>
      <c r="B401" t="inlineStr">
        <is>
          <t>22 - EDUCACIÓN</t>
        </is>
      </c>
      <c r="C401" t="inlineStr">
        <is>
          <t>0700</t>
        </is>
      </c>
      <c r="D401" t="inlineStr">
        <is>
          <t>2201</t>
        </is>
      </c>
      <c r="E401" t="inlineStr">
        <is>
          <t>2201071</t>
        </is>
      </c>
      <c r="F401" t="inlineStr">
        <is>
          <t>SERVICIO EDUCATIVO</t>
        </is>
      </c>
      <c r="G401" t="inlineStr">
        <is>
          <t>2024546600038</t>
        </is>
      </c>
      <c r="H401" t="inlineStr">
        <is>
          <t>FORTALECIMIENTO DE LA CALIDAD Y COBERTURA DE LA EDUCACION BASICA Y MEDA EN EL MUNICIPIO DE SALAZAR DE LAS PALMAS</t>
        </is>
      </c>
      <c r="I401" t="inlineStr">
        <is>
          <t>91121</t>
        </is>
      </c>
      <c r="J401" t="inlineStr">
        <is>
          <t>Servicios de la administración pública relacionados con la educación</t>
        </is>
      </c>
      <c r="K401" t="inlineStr">
        <is>
          <t>00</t>
        </is>
      </c>
      <c r="L401" t="inlineStr">
        <is>
          <t>SIN ATRIBUTO</t>
        </is>
      </c>
      <c r="N401" t="inlineStr">
        <is>
          <t>2.3.2.02.02.009.22.01</t>
        </is>
      </c>
      <c r="O401" t="inlineStr">
        <is>
          <t>Servicios publicos para las Instituciones educativas</t>
        </is>
      </c>
      <c r="P401" t="inlineStr">
        <is>
          <t>230</t>
        </is>
      </c>
      <c r="Q401" t="inlineStr">
        <is>
          <t>SGP EDUCACION CALIDAD DOCE DOCEAVAS VIGENCIA ACTUAL</t>
        </is>
      </c>
      <c r="R401" t="n">
        <v>80000000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80000000</v>
      </c>
      <c r="Z401" t="n">
        <v>31985672</v>
      </c>
      <c r="AA401" t="n">
        <v>31985672</v>
      </c>
      <c r="AB401" t="n">
        <v>31985672</v>
      </c>
      <c r="AC401" t="n">
        <v>31985672</v>
      </c>
      <c r="AD401" t="n">
        <v>48014328</v>
      </c>
      <c r="AE401" t="n">
        <v>39.98</v>
      </c>
    </row>
    <row r="402">
      <c r="A402" t="inlineStr">
        <is>
          <t>1 - ADMINISTRACIÓN CENTRAL</t>
        </is>
      </c>
      <c r="B402" t="inlineStr">
        <is>
          <t>22 - EDUCACIÓN</t>
        </is>
      </c>
      <c r="C402" t="inlineStr">
        <is>
          <t>0700</t>
        </is>
      </c>
      <c r="D402" t="inlineStr">
        <is>
          <t>2201</t>
        </is>
      </c>
      <c r="E402" t="inlineStr">
        <is>
          <t>2201071</t>
        </is>
      </c>
      <c r="F402" t="inlineStr">
        <is>
          <t>SERVICIO EDUCATIVO</t>
        </is>
      </c>
      <c r="G402" t="inlineStr">
        <is>
          <t>2024546600038</t>
        </is>
      </c>
      <c r="H402" t="inlineStr">
        <is>
          <t>FORTALECIMIENTO DE LA CALIDAD Y COBERTURA DE LA EDUCACION BASICA Y MEDA EN EL MUNICIPIO DE SALAZAR DE LAS PALMAS</t>
        </is>
      </c>
      <c r="I402" t="inlineStr">
        <is>
          <t>91121</t>
        </is>
      </c>
      <c r="J402" t="inlineStr">
        <is>
          <t>Servicios de la administración pública relacionados con la educación</t>
        </is>
      </c>
      <c r="K402" t="inlineStr">
        <is>
          <t>00</t>
        </is>
      </c>
      <c r="L402" t="inlineStr">
        <is>
          <t>SIN ATRIBUTO</t>
        </is>
      </c>
      <c r="N402" t="inlineStr">
        <is>
          <t>2.3.2.02.02.009.22.02</t>
        </is>
      </c>
      <c r="O402" t="inlineStr">
        <is>
          <t>Servicios publicos para las Instituciones educativas</t>
        </is>
      </c>
      <c r="P402" t="inlineStr">
        <is>
          <t>240</t>
        </is>
      </c>
      <c r="Q402" t="inlineStr">
        <is>
          <t>SGP EDUCACION RENDIMIENTOS FINANCIEROS</t>
        </is>
      </c>
      <c r="R402" t="n">
        <v>100000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100000</v>
      </c>
      <c r="Z402" t="n">
        <v>0</v>
      </c>
      <c r="AA402" t="n">
        <v>0</v>
      </c>
      <c r="AB402" t="n">
        <v>0</v>
      </c>
      <c r="AC402" t="n">
        <v>0</v>
      </c>
      <c r="AD402" t="n">
        <v>100000</v>
      </c>
      <c r="AE402" t="n">
        <v>0</v>
      </c>
    </row>
    <row r="403">
      <c r="A403" t="inlineStr">
        <is>
          <t>1 - ADMINISTRACIÓN CENTRAL</t>
        </is>
      </c>
      <c r="B403" t="inlineStr">
        <is>
          <t>22 - EDUCACIÓN</t>
        </is>
      </c>
      <c r="C403" t="inlineStr">
        <is>
          <t>0700</t>
        </is>
      </c>
      <c r="D403" t="inlineStr">
        <is>
          <t>2201</t>
        </is>
      </c>
      <c r="E403" t="inlineStr">
        <is>
          <t>2201073</t>
        </is>
      </c>
      <c r="F403" t="inlineStr">
        <is>
          <t>SERVICIO DE EVALUACIÓN DE LA CALIDAD DE LA EDUCACIÓN INICIAL, PREESCOLAR, BÁSICA Y MEDIA</t>
        </is>
      </c>
      <c r="G403" t="inlineStr">
        <is>
          <t>2024546600038</t>
        </is>
      </c>
      <c r="H403" t="inlineStr">
        <is>
          <t>FORTALECIMIENTO DE LA CALIDAD Y COBERTURA DE LA EDUCACION BASICA Y MEDA EN EL MUNICIPIO DE SALAZAR DE LAS PALMAS</t>
        </is>
      </c>
      <c r="I403" t="inlineStr">
        <is>
          <t>91121</t>
        </is>
      </c>
      <c r="J403" t="inlineStr">
        <is>
          <t>Servicios de la administración pública relacionados con la educación</t>
        </is>
      </c>
      <c r="K403" t="inlineStr">
        <is>
          <t>00</t>
        </is>
      </c>
      <c r="L403" t="inlineStr">
        <is>
          <t>SIN ATRIBUTO</t>
        </is>
      </c>
      <c r="N403" t="inlineStr">
        <is>
          <t>2.3.2.02.02.009.22.03</t>
        </is>
      </c>
      <c r="O403" t="inlineStr">
        <is>
          <t>Servicio de evaluación de la calidad de la educación inicial, preescolar, básica y media</t>
        </is>
      </c>
      <c r="P403" t="inlineStr">
        <is>
          <t>410</t>
        </is>
      </c>
      <c r="Q403" t="inlineStr">
        <is>
          <t>SGP PROPOSITO GENERAL FORZOSA INVERSION LIBRE INVERSIÓN SALDOS NO EJECUTADOS NI INCORPORADOS VIGENCIAS ANTERIORES Y REIN</t>
        </is>
      </c>
      <c r="R403" t="n">
        <v>0</v>
      </c>
      <c r="S403" t="n">
        <v>70000000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70000000</v>
      </c>
      <c r="Z403" t="n">
        <v>70000000</v>
      </c>
      <c r="AA403" t="n">
        <v>69999118.91</v>
      </c>
      <c r="AB403" t="n">
        <v>0</v>
      </c>
      <c r="AC403" t="n">
        <v>0</v>
      </c>
      <c r="AD403" t="n">
        <v>0</v>
      </c>
      <c r="AE403" t="n">
        <v>100</v>
      </c>
    </row>
    <row r="404">
      <c r="A404" t="inlineStr">
        <is>
          <t>1 - ADMINISTRACIÓN CENTRAL</t>
        </is>
      </c>
      <c r="B404" t="inlineStr">
        <is>
          <t>00 - SIN SECTOR</t>
        </is>
      </c>
      <c r="C404" t="inlineStr">
        <is>
          <t>00</t>
        </is>
      </c>
      <c r="D404" t="inlineStr">
        <is>
          <t>0000</t>
        </is>
      </c>
      <c r="E404" t="inlineStr">
        <is>
          <t>000000</t>
        </is>
      </c>
      <c r="F404" t="inlineStr">
        <is>
          <t>SIN PRODUCTO</t>
        </is>
      </c>
      <c r="G404" t="inlineStr">
        <is>
          <t>00</t>
        </is>
      </c>
      <c r="H404" t="inlineStr">
        <is>
          <t>00</t>
        </is>
      </c>
      <c r="I404" t="inlineStr">
        <is>
          <t>00</t>
        </is>
      </c>
      <c r="J404" t="inlineStr">
        <is>
          <t>SIN PRODUCTO DANE</t>
        </is>
      </c>
      <c r="K404" t="inlineStr">
        <is>
          <t>00</t>
        </is>
      </c>
      <c r="L404" t="inlineStr">
        <is>
          <t>SIN ATRIBUTO</t>
        </is>
      </c>
      <c r="N404" t="inlineStr">
        <is>
          <t>2.3.2.02.02.009.33</t>
        </is>
      </c>
      <c r="O404" t="inlineStr">
        <is>
          <t>CULTURA</t>
        </is>
      </c>
      <c r="P404" t="inlineStr">
        <is>
          <t>00</t>
        </is>
      </c>
      <c r="Q404" t="inlineStr">
        <is>
          <t>RECURSOS</t>
        </is>
      </c>
      <c r="R404" t="n">
        <v>545213029</v>
      </c>
      <c r="S404" t="n">
        <v>123787449</v>
      </c>
      <c r="T404" t="n">
        <v>44640861</v>
      </c>
      <c r="U404" t="n">
        <v>10115000</v>
      </c>
      <c r="V404" t="n">
        <v>10115000</v>
      </c>
      <c r="W404" t="n">
        <v>0</v>
      </c>
      <c r="X404" t="n">
        <v>0</v>
      </c>
      <c r="Y404" t="n">
        <v>624359617</v>
      </c>
      <c r="Z404" t="n">
        <v>171658415</v>
      </c>
      <c r="AA404" t="n">
        <v>169916000</v>
      </c>
      <c r="AB404" t="n">
        <v>85295000</v>
      </c>
      <c r="AC404" t="n">
        <v>85295000</v>
      </c>
      <c r="AD404" t="n">
        <v>452701202</v>
      </c>
      <c r="AE404" t="n">
        <v>27.49</v>
      </c>
    </row>
    <row r="405">
      <c r="A405" t="inlineStr">
        <is>
          <t>1 - ADMINISTRACIÓN CENTRAL</t>
        </is>
      </c>
      <c r="B405" t="inlineStr">
        <is>
          <t>33 - CULTURA</t>
        </is>
      </c>
      <c r="C405" t="inlineStr">
        <is>
          <t>1603</t>
        </is>
      </c>
      <c r="D405" t="inlineStr">
        <is>
          <t>3301</t>
        </is>
      </c>
      <c r="E405" t="inlineStr">
        <is>
          <t>3301065</t>
        </is>
      </c>
      <c r="F405" t="inlineStr">
        <is>
          <t>SERVICIO DE ASISTENCIA TÉCNICA EN ASUNTOS DE GESTIÓN DE BIBLIOTECAS PÚBLICAS Y LECTURA.</t>
        </is>
      </c>
      <c r="G405" t="inlineStr">
        <is>
          <t>2024546600047</t>
        </is>
      </c>
      <c r="H405" t="inlineStr">
        <is>
          <t>FORTALECIMIENTO EN LA PROMOSION Y ACCESO EFECTIVO A PROCESOS CULTURALES Y ARTISTICOS ¨PDM UNIDOS SOMOS MAS¨ EN EL MUNICIPIO DE SALAZAR DE LAS PALMAS</t>
        </is>
      </c>
      <c r="I405" t="inlineStr">
        <is>
          <t>91124</t>
        </is>
      </c>
      <c r="J405" t="inlineStr">
        <is>
          <t>Servicios de la administración pública relacionados con la recreación, la cultura y la religión</t>
        </is>
      </c>
      <c r="K405" t="inlineStr">
        <is>
          <t>00</t>
        </is>
      </c>
      <c r="L405" t="inlineStr">
        <is>
          <t>SIN ATRIBUTO</t>
        </is>
      </c>
      <c r="N405" t="inlineStr">
        <is>
          <t>2.3.2.02.02.009.33.01</t>
        </is>
      </c>
      <c r="O405" t="inlineStr">
        <is>
          <t>Servicio de asistencia técnica en asuntos de gestión de bibliotecas públicas y lectura</t>
        </is>
      </c>
      <c r="P405" t="inlineStr">
        <is>
          <t>360</t>
        </is>
      </c>
      <c r="Q405" t="inlineStr">
        <is>
          <t>SGP PROPOSITO GENERAL 42 POR CIENTO RECURSOS LIBRE DESTINACION SGP PROPOSITO GENERAL MPIOS DE CATEGORIA 4 5 Y 6 SGP ONCE</t>
        </is>
      </c>
      <c r="R405" t="n">
        <v>11160401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11160401</v>
      </c>
      <c r="Z405" t="n">
        <v>11160401</v>
      </c>
      <c r="AA405" t="n">
        <v>11160401</v>
      </c>
      <c r="AB405" t="n">
        <v>7696000</v>
      </c>
      <c r="AC405" t="n">
        <v>7696000</v>
      </c>
      <c r="AD405" t="n">
        <v>0</v>
      </c>
      <c r="AE405" t="n">
        <v>100</v>
      </c>
    </row>
    <row r="406">
      <c r="A406" t="inlineStr">
        <is>
          <t>1 - ADMINISTRACIÓN CENTRAL</t>
        </is>
      </c>
      <c r="B406" t="inlineStr">
        <is>
          <t>33 - CULTURA</t>
        </is>
      </c>
      <c r="C406" t="inlineStr">
        <is>
          <t>1603</t>
        </is>
      </c>
      <c r="D406" t="inlineStr">
        <is>
          <t>3301</t>
        </is>
      </c>
      <c r="E406" t="inlineStr">
        <is>
          <t>3301065</t>
        </is>
      </c>
      <c r="F406" t="inlineStr">
        <is>
          <t>SERVICIO DE ASISTENCIA TÉCNICA EN ASUNTOS DE GESTIÓN DE BIBLIOTECAS PÚBLICAS Y LECTURA.</t>
        </is>
      </c>
      <c r="G406" t="inlineStr">
        <is>
          <t>2024546600047</t>
        </is>
      </c>
      <c r="H406" t="inlineStr">
        <is>
          <t>FORTALECIMIENTO EN LA PROMOSION Y ACCESO EFECTIVO A PROCESOS CULTURALES Y ARTISTICOS ¨PDM UNIDOS SOMOS MAS¨ EN EL MUNICIPIO DE SALAZAR DE LAS PALMAS</t>
        </is>
      </c>
      <c r="I406" t="inlineStr">
        <is>
          <t>91124</t>
        </is>
      </c>
      <c r="J406" t="inlineStr">
        <is>
          <t>Servicios de la administración pública relacionados con la recreación, la cultura y la religión</t>
        </is>
      </c>
      <c r="K406" t="inlineStr">
        <is>
          <t>00</t>
        </is>
      </c>
      <c r="L406" t="inlineStr">
        <is>
          <t>SIN ATRIBUTO</t>
        </is>
      </c>
      <c r="N406" t="inlineStr">
        <is>
          <t>2.3.2.02.02.009.33.02</t>
        </is>
      </c>
      <c r="O406" t="inlineStr">
        <is>
          <t>Servicio de asistencia técnica en asuntos de gestión de bibliotecas públicas y lectura (10% bibliotecas)</t>
        </is>
      </c>
      <c r="P406" t="inlineStr">
        <is>
          <t>400</t>
        </is>
      </c>
      <c r="Q406" t="inlineStr">
        <is>
          <t>SGP PROPOSITO GENERAL FORZOSA INVERSION CULTURA SGP ONCE DOCEAVAS VIGENCIA ACTUAL MAS ULTIMA DOCEAVA VIGENCIA ANTERIOR</t>
        </is>
      </c>
      <c r="R406" t="n">
        <v>32839599</v>
      </c>
      <c r="S406" t="n">
        <v>0</v>
      </c>
      <c r="T406" t="n">
        <v>0</v>
      </c>
      <c r="U406" t="n">
        <v>10115000</v>
      </c>
      <c r="V406" t="n">
        <v>0</v>
      </c>
      <c r="W406" t="n">
        <v>0</v>
      </c>
      <c r="X406" t="n">
        <v>0</v>
      </c>
      <c r="Y406" t="n">
        <v>42954599</v>
      </c>
      <c r="Z406" t="n">
        <v>42954599</v>
      </c>
      <c r="AA406" t="n">
        <v>42954599</v>
      </c>
      <c r="AB406" t="n">
        <v>10125000</v>
      </c>
      <c r="AC406" t="n">
        <v>10125000</v>
      </c>
      <c r="AD406" t="n">
        <v>0</v>
      </c>
      <c r="AE406" t="n">
        <v>100</v>
      </c>
    </row>
    <row r="407">
      <c r="A407" t="inlineStr">
        <is>
          <t>1 - ADMINISTRACIÓN CENTRAL</t>
        </is>
      </c>
      <c r="B407" t="inlineStr">
        <is>
          <t>33 - CULTURA</t>
        </is>
      </c>
      <c r="C407" t="inlineStr">
        <is>
          <t>1603</t>
        </is>
      </c>
      <c r="D407" t="inlineStr">
        <is>
          <t>3301</t>
        </is>
      </c>
      <c r="E407" t="inlineStr">
        <is>
          <t>3301051</t>
        </is>
      </c>
      <c r="F407" t="inlineStr">
        <is>
          <t>SERVICIO DE EDUCACIÓN INFORMAL AL SECTOR ARTÍSTICO Y CULTURAL</t>
        </is>
      </c>
      <c r="G407" t="inlineStr">
        <is>
          <t>2024546600047</t>
        </is>
      </c>
      <c r="H407" t="inlineStr">
        <is>
          <t>FORTALECIMIENTO EN LA PROMOSION Y ACCESO EFECTIVO A PROCESOS CULTURALES Y ARTISTICOS ¨PDM UNIDOS SOMOS MAS¨ EN EL MUNICIPIO DE SALAZAR DE LAS PALMAS</t>
        </is>
      </c>
      <c r="I407" t="inlineStr">
        <is>
          <t>92911</t>
        </is>
      </c>
      <c r="J407" t="inlineStr">
        <is>
          <t>Servicios de educación artística y cultural</t>
        </is>
      </c>
      <c r="K407" t="inlineStr">
        <is>
          <t>00</t>
        </is>
      </c>
      <c r="L407" t="inlineStr">
        <is>
          <t>SIN ATRIBUTO</t>
        </is>
      </c>
      <c r="N407" t="inlineStr">
        <is>
          <t>2.3.2.02.02.009.33.03</t>
        </is>
      </c>
      <c r="O407" t="inlineStr">
        <is>
          <t>Formadores artísticos y culturales</t>
        </is>
      </c>
      <c r="P407" t="inlineStr">
        <is>
          <t>400</t>
        </is>
      </c>
      <c r="Q407" t="inlineStr">
        <is>
          <t>SGP PROPOSITO GENERAL FORZOSA INVERSION CULTURA SGP ONCE DOCEAVAS VIGENCIA ACTUAL MAS ULTIMA DOCEAVA VIGENCIA ANTERIOR</t>
        </is>
      </c>
      <c r="R407" t="n">
        <v>54000000</v>
      </c>
      <c r="S407" t="n">
        <v>0</v>
      </c>
      <c r="T407" t="n">
        <v>8673761</v>
      </c>
      <c r="U407" t="n">
        <v>0</v>
      </c>
      <c r="V407" t="n">
        <v>0</v>
      </c>
      <c r="W407" t="n">
        <v>0</v>
      </c>
      <c r="X407" t="n">
        <v>0</v>
      </c>
      <c r="Y407" t="n">
        <v>45326239</v>
      </c>
      <c r="Z407" t="n">
        <v>33705000</v>
      </c>
      <c r="AA407" t="n">
        <v>33705000</v>
      </c>
      <c r="AB407" t="n">
        <v>24717000</v>
      </c>
      <c r="AC407" t="n">
        <v>24717000</v>
      </c>
      <c r="AD407" t="n">
        <v>11621239</v>
      </c>
      <c r="AE407" t="n">
        <v>74.36</v>
      </c>
    </row>
    <row r="408">
      <c r="A408" t="inlineStr">
        <is>
          <t>1 - ADMINISTRACIÓN CENTRAL</t>
        </is>
      </c>
      <c r="B408" t="inlineStr">
        <is>
          <t>33 - CULTURA</t>
        </is>
      </c>
      <c r="C408" t="inlineStr">
        <is>
          <t>1603</t>
        </is>
      </c>
      <c r="D408" t="inlineStr">
        <is>
          <t>3301</t>
        </is>
      </c>
      <c r="E408" t="inlineStr">
        <is>
          <t>3301053</t>
        </is>
      </c>
      <c r="F408" t="inlineStr">
        <is>
          <t>SERVICIO DE PROMOCIÓN DE ACTIVIDADES CULTURALES</t>
        </is>
      </c>
      <c r="G408" t="inlineStr">
        <is>
          <t>2024546600047</t>
        </is>
      </c>
      <c r="H408" t="inlineStr">
        <is>
          <t>FORTALECIMIENTO EN LA PROMOSION Y ACCESO EFECTIVO A PROCESOS CULTURALES Y ARTISTICOS ¨PDM UNIDOS SOMOS MAS¨ EN EL MUNICIPIO DE SALAZAR DE LAS PALMAS</t>
        </is>
      </c>
      <c r="I408" t="inlineStr">
        <is>
          <t>96210</t>
        </is>
      </c>
      <c r="J408" t="inlineStr">
        <is>
          <t>Servicios de promoción y gestión de actividades de artes escénicas</t>
        </is>
      </c>
      <c r="K408" t="inlineStr">
        <is>
          <t>00</t>
        </is>
      </c>
      <c r="L408" t="inlineStr">
        <is>
          <t>SIN ATRIBUTO</t>
        </is>
      </c>
      <c r="N408" t="inlineStr">
        <is>
          <t>2.3.2.02.02.009.33.04</t>
        </is>
      </c>
      <c r="O408" t="inlineStr">
        <is>
          <t>Prestación de Servicio para la promoción de actividades culturales</t>
        </is>
      </c>
      <c r="P408" t="inlineStr">
        <is>
          <t>400</t>
        </is>
      </c>
      <c r="Q408" t="inlineStr">
        <is>
          <t>SGP PROPOSITO GENERAL FORZOSA INVERSION CULTURA SGP ONCE DOCEAVAS VIGENCIA ACTUAL MAS ULTIMA DOCEAVA VIGENCIA ANTERIOR</t>
        </is>
      </c>
      <c r="R408" t="n">
        <v>46082100</v>
      </c>
      <c r="S408" t="n">
        <v>0</v>
      </c>
      <c r="T408" t="n">
        <v>35967100</v>
      </c>
      <c r="U408" t="n">
        <v>0</v>
      </c>
      <c r="V408" t="n">
        <v>10115000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</row>
    <row r="409">
      <c r="A409" t="inlineStr">
        <is>
          <t>1 - ADMINISTRACIÓN CENTRAL</t>
        </is>
      </c>
      <c r="B409" t="inlineStr">
        <is>
          <t>33 - CULTURA</t>
        </is>
      </c>
      <c r="C409" t="inlineStr">
        <is>
          <t>1603</t>
        </is>
      </c>
      <c r="D409" t="inlineStr">
        <is>
          <t>3301</t>
        </is>
      </c>
      <c r="E409" t="inlineStr">
        <is>
          <t>3301053</t>
        </is>
      </c>
      <c r="F409" t="inlineStr">
        <is>
          <t>SERVICIO DE PROMOCIÓN DE ACTIVIDADES CULTURALES</t>
        </is>
      </c>
      <c r="G409" t="inlineStr">
        <is>
          <t>2024546600047</t>
        </is>
      </c>
      <c r="H409" t="inlineStr">
        <is>
          <t>FORTALECIMIENTO EN LA PROMOSION Y ACCESO EFECTIVO A PROCESOS CULTURALES Y ARTISTICOS ¨PDM UNIDOS SOMOS MAS¨ EN EL MUNICIPIO DE SALAZAR DE LAS PALMAS</t>
        </is>
      </c>
      <c r="I409" t="inlineStr">
        <is>
          <t>96210</t>
        </is>
      </c>
      <c r="J409" t="inlineStr">
        <is>
          <t>Servicios de promoción y gestión de actividades de artes escénicas</t>
        </is>
      </c>
      <c r="K409" t="inlineStr">
        <is>
          <t>00</t>
        </is>
      </c>
      <c r="L409" t="inlineStr">
        <is>
          <t>SIN ATRIBUTO</t>
        </is>
      </c>
      <c r="N409" t="inlineStr">
        <is>
          <t>2.3.2.02.02.009.33.04</t>
        </is>
      </c>
      <c r="O409" t="inlineStr">
        <is>
          <t>Prestación de Servicio para la promoción de actividades culturales</t>
        </is>
      </c>
      <c r="P409" t="inlineStr">
        <is>
          <t>510.11</t>
        </is>
      </c>
      <c r="Q409" t="inlineStr">
        <is>
          <t>MINISTERIO DE CULTURA</t>
        </is>
      </c>
      <c r="R409" t="n">
        <v>0</v>
      </c>
      <c r="S409" t="n">
        <v>11506000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11506000</v>
      </c>
      <c r="Z409" t="n">
        <v>0</v>
      </c>
      <c r="AA409" t="n">
        <v>0</v>
      </c>
      <c r="AB409" t="n">
        <v>0</v>
      </c>
      <c r="AC409" t="n">
        <v>0</v>
      </c>
      <c r="AD409" t="n">
        <v>11506000</v>
      </c>
      <c r="AE409" t="n">
        <v>0</v>
      </c>
    </row>
    <row r="410">
      <c r="A410" t="inlineStr">
        <is>
          <t>1 - ADMINISTRACIÓN CENTRAL</t>
        </is>
      </c>
      <c r="B410" t="inlineStr">
        <is>
          <t>33 - CULTURA</t>
        </is>
      </c>
      <c r="C410" t="inlineStr">
        <is>
          <t>1603</t>
        </is>
      </c>
      <c r="D410" t="inlineStr">
        <is>
          <t>3301</t>
        </is>
      </c>
      <c r="E410" t="inlineStr">
        <is>
          <t>3301053</t>
        </is>
      </c>
      <c r="F410" t="inlineStr">
        <is>
          <t>SERVICIO DE PROMOCIÓN DE ACTIVIDADES CULTURALES</t>
        </is>
      </c>
      <c r="G410" t="inlineStr">
        <is>
          <t>2024546600047</t>
        </is>
      </c>
      <c r="H410" t="inlineStr">
        <is>
          <t>FORTALECIMIENTO EN LA PROMOSION Y ACCESO EFECTIVO A PROCESOS CULTURALES Y ARTISTICOS ¨PDM UNIDOS SOMOS MAS¨ EN EL MUNICIPIO DE SALAZAR DE LAS PALMAS</t>
        </is>
      </c>
      <c r="I410" t="inlineStr">
        <is>
          <t>96210</t>
        </is>
      </c>
      <c r="J410" t="inlineStr">
        <is>
          <t>Servicios de promoción y gestión de actividades de artes escénicas</t>
        </is>
      </c>
      <c r="K410" t="inlineStr">
        <is>
          <t>00</t>
        </is>
      </c>
      <c r="L410" t="inlineStr">
        <is>
          <t>SIN ATRIBUTO</t>
        </is>
      </c>
      <c r="N410" t="inlineStr">
        <is>
          <t>2.3.2.02.02.009.33.05</t>
        </is>
      </c>
      <c r="O410" t="inlineStr">
        <is>
          <t>Prestación de Servicio para la promoción de actividades culturales</t>
        </is>
      </c>
      <c r="P410" t="inlineStr">
        <is>
          <t>152</t>
        </is>
      </c>
      <c r="Q410" t="inlineStr">
        <is>
          <t>Estampilla Procultura</t>
        </is>
      </c>
      <c r="R410" t="n">
        <v>40930929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40930929</v>
      </c>
      <c r="Z410" t="n">
        <v>24200000</v>
      </c>
      <c r="AA410" t="n">
        <v>24200000</v>
      </c>
      <c r="AB410" t="n">
        <v>8800000</v>
      </c>
      <c r="AC410" t="n">
        <v>8800000</v>
      </c>
      <c r="AD410" t="n">
        <v>16730929</v>
      </c>
      <c r="AE410" t="n">
        <v>59.12</v>
      </c>
    </row>
    <row r="411">
      <c r="A411" t="inlineStr">
        <is>
          <t>1 - ADMINISTRACIÓN CENTRAL</t>
        </is>
      </c>
      <c r="B411" t="inlineStr">
        <is>
          <t>33 - CULTURA</t>
        </is>
      </c>
      <c r="C411" t="inlineStr">
        <is>
          <t>1603</t>
        </is>
      </c>
      <c r="D411" t="inlineStr">
        <is>
          <t>3301</t>
        </is>
      </c>
      <c r="E411" t="inlineStr">
        <is>
          <t>3301053</t>
        </is>
      </c>
      <c r="F411" t="inlineStr">
        <is>
          <t>SERVICIO DE PROMOCIÓN DE ACTIVIDADES CULTURALES</t>
        </is>
      </c>
      <c r="G411" t="inlineStr">
        <is>
          <t>2024546600047</t>
        </is>
      </c>
      <c r="H411" t="inlineStr">
        <is>
          <t>FORTALECIMIENTO EN LA PROMOSION Y ACCESO EFECTIVO A PROCESOS CULTURALES Y ARTISTICOS ¨PDM UNIDOS SOMOS MAS¨ EN EL MUNICIPIO DE SALAZAR DE LAS PALMAS</t>
        </is>
      </c>
      <c r="I411" t="inlineStr">
        <is>
          <t>96210</t>
        </is>
      </c>
      <c r="J411" t="inlineStr">
        <is>
          <t>Servicios de promoción y gestión de actividades de artes escénicas</t>
        </is>
      </c>
      <c r="K411" t="inlineStr">
        <is>
          <t>00</t>
        </is>
      </c>
      <c r="L411" t="inlineStr">
        <is>
          <t>SIN ATRIBUTO</t>
        </is>
      </c>
      <c r="N411" t="inlineStr">
        <is>
          <t>2.3.2.02.02.009.33.06</t>
        </is>
      </c>
      <c r="O411" t="inlineStr">
        <is>
          <t>Prestación de Servicio para la promoción de actividades culturales</t>
        </is>
      </c>
      <c r="P411" t="inlineStr">
        <is>
          <t>420</t>
        </is>
      </c>
      <c r="Q411" t="inlineStr">
        <is>
          <t>SGP PROPOSITO GENERAL FORZOSA INVERSION LIBRE INVERSIÓN SGP ONCE DOCEAVAS VIGENCIA ACTUAL MAS ULTIMA DOCEAVA VIGENCIA AN</t>
        </is>
      </c>
      <c r="R411" t="n">
        <v>360000000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360000000</v>
      </c>
      <c r="Z411" t="n">
        <v>36525000</v>
      </c>
      <c r="AA411" t="n">
        <v>36525000</v>
      </c>
      <c r="AB411" t="n">
        <v>33957000</v>
      </c>
      <c r="AC411" t="n">
        <v>33957000</v>
      </c>
      <c r="AD411" t="n">
        <v>323475000</v>
      </c>
      <c r="AE411" t="n">
        <v>10.15</v>
      </c>
    </row>
    <row r="412">
      <c r="A412" t="inlineStr">
        <is>
          <t>1 - ADMINISTRACIÓN CENTRAL</t>
        </is>
      </c>
      <c r="B412" t="inlineStr">
        <is>
          <t>33 - CULTURA</t>
        </is>
      </c>
      <c r="C412" t="inlineStr">
        <is>
          <t>1603</t>
        </is>
      </c>
      <c r="D412" t="inlineStr">
        <is>
          <t>3301</t>
        </is>
      </c>
      <c r="E412" t="inlineStr">
        <is>
          <t>3301053</t>
        </is>
      </c>
      <c r="F412" t="inlineStr">
        <is>
          <t>SERVICIO DE PROMOCIÓN DE ACTIVIDADES CULTURALES</t>
        </is>
      </c>
      <c r="G412" t="inlineStr">
        <is>
          <t>2024546600047</t>
        </is>
      </c>
      <c r="H412" t="inlineStr">
        <is>
          <t>FORTALECIMIENTO EN LA PROMOSION Y ACCESO EFECTIVO A PROCESOS CULTURALES Y ARTISTICOS ¨PDM UNIDOS SOMOS MAS¨ EN EL MUNICIPIO DE SALAZAR DE LAS PALMAS</t>
        </is>
      </c>
      <c r="I412" t="inlineStr">
        <is>
          <t>96210</t>
        </is>
      </c>
      <c r="J412" t="inlineStr">
        <is>
          <t>Servicios de promoción y gestión de actividades de artes escénicas</t>
        </is>
      </c>
      <c r="K412" t="inlineStr">
        <is>
          <t>00</t>
        </is>
      </c>
      <c r="L412" t="inlineStr">
        <is>
          <t>SIN ATRIBUTO</t>
        </is>
      </c>
      <c r="N412" t="inlineStr">
        <is>
          <t>2.3.2.02.02.009.33.07</t>
        </is>
      </c>
      <c r="O412" t="inlineStr">
        <is>
          <t>Prestación de Servicio para la promoción de actividades culturales</t>
        </is>
      </c>
      <c r="P412" t="inlineStr">
        <is>
          <t>152.2</t>
        </is>
      </c>
      <c r="Q412" t="inlineStr">
        <is>
          <t>RF Estampilla Procultura</t>
        </is>
      </c>
      <c r="R412" t="n">
        <v>100000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100000</v>
      </c>
      <c r="Z412" t="n">
        <v>0</v>
      </c>
      <c r="AA412" t="n">
        <v>0</v>
      </c>
      <c r="AB412" t="n">
        <v>0</v>
      </c>
      <c r="AC412" t="n">
        <v>0</v>
      </c>
      <c r="AD412" t="n">
        <v>100000</v>
      </c>
      <c r="AE412" t="n">
        <v>0</v>
      </c>
    </row>
    <row r="413">
      <c r="A413" t="inlineStr">
        <is>
          <t>1 - ADMINISTRACIÓN CENTRAL</t>
        </is>
      </c>
      <c r="B413" t="inlineStr">
        <is>
          <t>33 - CULTURA</t>
        </is>
      </c>
      <c r="C413" t="inlineStr">
        <is>
          <t>1603</t>
        </is>
      </c>
      <c r="D413" t="inlineStr">
        <is>
          <t>3301</t>
        </is>
      </c>
      <c r="E413" t="inlineStr">
        <is>
          <t>3301053</t>
        </is>
      </c>
      <c r="F413" t="inlineStr">
        <is>
          <t>SERVICIO DE PROMOCIÓN DE ACTIVIDADES CULTURALES</t>
        </is>
      </c>
      <c r="G413" t="inlineStr">
        <is>
          <t>2024546600047</t>
        </is>
      </c>
      <c r="H413" t="inlineStr">
        <is>
          <t>FORTALECIMIENTO EN LA PROMOSION Y ACCESO EFECTIVO A PROCESOS CULTURALES Y ARTISTICOS ¨PDM UNIDOS SOMOS MAS¨ EN EL MUNICIPIO DE SALAZAR DE LAS PALMAS</t>
        </is>
      </c>
      <c r="I413" t="inlineStr">
        <is>
          <t>96210</t>
        </is>
      </c>
      <c r="J413" t="inlineStr">
        <is>
          <t>Servicios de promoción y gestión de actividades de artes escénicas</t>
        </is>
      </c>
      <c r="K413" t="inlineStr">
        <is>
          <t>00</t>
        </is>
      </c>
      <c r="L413" t="inlineStr">
        <is>
          <t>SIN ATRIBUTO</t>
        </is>
      </c>
      <c r="N413" t="inlineStr">
        <is>
          <t>2.3.2.02.02.009.33.08</t>
        </is>
      </c>
      <c r="O413" t="inlineStr">
        <is>
          <t>Prestación de Servicio para la promoción de actividades culturales</t>
        </is>
      </c>
      <c r="P413" t="inlineStr">
        <is>
          <t>430.2</t>
        </is>
      </c>
      <c r="Q413" t="inlineStr">
        <is>
          <t>RF SGP Cultura</t>
        </is>
      </c>
      <c r="R413" t="n">
        <v>100000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100000</v>
      </c>
      <c r="Z413" t="n">
        <v>0</v>
      </c>
      <c r="AA413" t="n">
        <v>0</v>
      </c>
      <c r="AB413" t="n">
        <v>0</v>
      </c>
      <c r="AC413" t="n">
        <v>0</v>
      </c>
      <c r="AD413" t="n">
        <v>100000</v>
      </c>
      <c r="AE413" t="n">
        <v>0</v>
      </c>
    </row>
    <row r="414">
      <c r="A414" t="inlineStr">
        <is>
          <t>1 - ADMINISTRACIÓN CENTRAL</t>
        </is>
      </c>
      <c r="B414" t="inlineStr">
        <is>
          <t>33 - CULTURA</t>
        </is>
      </c>
      <c r="C414" t="inlineStr">
        <is>
          <t>1603</t>
        </is>
      </c>
      <c r="D414" t="inlineStr">
        <is>
          <t>3301</t>
        </is>
      </c>
      <c r="E414" t="inlineStr">
        <is>
          <t>3301065</t>
        </is>
      </c>
      <c r="F414" t="inlineStr">
        <is>
          <t>SERVICIO DE ASISTENCIA TÉCNICA EN ASUNTOS DE GESTIÓN DE BIBLIOTECAS PÚBLICAS Y LECTURA.</t>
        </is>
      </c>
      <c r="G414" t="inlineStr">
        <is>
          <t>2024546600047</t>
        </is>
      </c>
      <c r="H414" t="inlineStr">
        <is>
          <t>FORTALECIMIENTO EN LA PROMOSION Y ACCESO EFECTIVO A PROCESOS CULTURALES Y ARTISTICOS ¨PDM UNIDOS SOMOS MAS¨ EN EL MUNICIPIO DE SALAZAR DE LAS PALMAS</t>
        </is>
      </c>
      <c r="I414" t="inlineStr">
        <is>
          <t>91124</t>
        </is>
      </c>
      <c r="J414" t="inlineStr">
        <is>
          <t>Servicios de la administración pública relacionados con la recreación, la cultura y la religión</t>
        </is>
      </c>
      <c r="K414" t="inlineStr">
        <is>
          <t>00</t>
        </is>
      </c>
      <c r="L414" t="inlineStr">
        <is>
          <t>SIN ATRIBUTO</t>
        </is>
      </c>
      <c r="N414" t="inlineStr">
        <is>
          <t>2.3.2.02.02.009.33.09</t>
        </is>
      </c>
      <c r="O414" t="inlineStr">
        <is>
          <t>Servicio de asistencia técnica en asuntos de gestión de bibliotecas públicas y lectura.</t>
        </is>
      </c>
      <c r="P414" t="inlineStr">
        <is>
          <t>152.1</t>
        </is>
      </c>
      <c r="Q414" t="inlineStr">
        <is>
          <t>RB ESTAMPILLA PROCULTURA</t>
        </is>
      </c>
      <c r="R414" t="n">
        <v>0</v>
      </c>
      <c r="S414" t="n">
        <v>1878659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1878659</v>
      </c>
      <c r="Z414" t="n">
        <v>0</v>
      </c>
      <c r="AA414" t="n">
        <v>0</v>
      </c>
      <c r="AB414" t="n">
        <v>0</v>
      </c>
      <c r="AC414" t="n">
        <v>0</v>
      </c>
      <c r="AD414" t="n">
        <v>1878659</v>
      </c>
      <c r="AE414" t="n">
        <v>0</v>
      </c>
    </row>
    <row r="415">
      <c r="A415" t="inlineStr">
        <is>
          <t>1 - ADMINISTRACIÓN CENTRAL</t>
        </is>
      </c>
      <c r="B415" t="inlineStr">
        <is>
          <t>33 - CULTURA</t>
        </is>
      </c>
      <c r="C415" t="inlineStr">
        <is>
          <t>1603</t>
        </is>
      </c>
      <c r="D415" t="inlineStr">
        <is>
          <t>3301</t>
        </is>
      </c>
      <c r="E415" t="inlineStr">
        <is>
          <t>3301051</t>
        </is>
      </c>
      <c r="F415" t="inlineStr">
        <is>
          <t>SERVICIO DE EDUCACIÓN INFORMAL AL SECTOR ARTÍSTICO Y CULTURAL</t>
        </is>
      </c>
      <c r="G415" t="inlineStr">
        <is>
          <t>2024546600047</t>
        </is>
      </c>
      <c r="H415" t="inlineStr">
        <is>
          <t>FORTALECIMIENTO EN LA PROMOSION Y ACCESO EFECTIVO A PROCESOS CULTURALES Y ARTISTICOS ¨PDM UNIDOS SOMOS MAS¨ EN EL MUNICIPIO DE SALAZAR DE LAS PALMAS</t>
        </is>
      </c>
      <c r="I415" t="inlineStr">
        <is>
          <t>92911</t>
        </is>
      </c>
      <c r="J415" t="inlineStr">
        <is>
          <t>Servicios de educación artística y cultural</t>
        </is>
      </c>
      <c r="K415" t="inlineStr">
        <is>
          <t>00</t>
        </is>
      </c>
      <c r="L415" t="inlineStr">
        <is>
          <t>SIN ATRIBUTO</t>
        </is>
      </c>
      <c r="N415" t="inlineStr">
        <is>
          <t>2.3.2.02.02.009.33.10</t>
        </is>
      </c>
      <c r="O415" t="inlineStr">
        <is>
          <t>Formadores artísticos y culturales</t>
        </is>
      </c>
      <c r="P415" t="inlineStr">
        <is>
          <t>390</t>
        </is>
      </c>
      <c r="Q415" t="inlineStr">
        <is>
          <t>SGP PROPOSITO GENERAL FORZOSA INVERSION CULTURA SALDOS NO EJECUTADOS NI INCORPORADOS VIGENCIAS ANTERIORES Y REINTEGROS</t>
        </is>
      </c>
      <c r="R415" t="n">
        <v>0</v>
      </c>
      <c r="S415" t="n">
        <v>8673761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8673761</v>
      </c>
      <c r="Z415" t="n">
        <v>0</v>
      </c>
      <c r="AA415" t="n">
        <v>0</v>
      </c>
      <c r="AB415" t="n">
        <v>0</v>
      </c>
      <c r="AC415" t="n">
        <v>0</v>
      </c>
      <c r="AD415" t="n">
        <v>8673761</v>
      </c>
      <c r="AE415" t="n">
        <v>0</v>
      </c>
    </row>
    <row r="416">
      <c r="A416" t="inlineStr">
        <is>
          <t>1 - ADMINISTRACIÓN CENTRAL</t>
        </is>
      </c>
      <c r="B416" t="inlineStr">
        <is>
          <t>33 - CULTURA</t>
        </is>
      </c>
      <c r="C416" t="inlineStr">
        <is>
          <t>1603</t>
        </is>
      </c>
      <c r="D416" t="inlineStr">
        <is>
          <t>3301</t>
        </is>
      </c>
      <c r="E416" t="inlineStr">
        <is>
          <t>3301053</t>
        </is>
      </c>
      <c r="F416" t="inlineStr">
        <is>
          <t>SERVICIO DE PROMOCIÓN DE ACTIVIDADES CULTURALES</t>
        </is>
      </c>
      <c r="G416" t="inlineStr">
        <is>
          <t>2024546600047</t>
        </is>
      </c>
      <c r="H416" t="inlineStr">
        <is>
          <t>FORTALECIMIENTO EN LA PROMOSION Y ACCESO EFECTIVO A PROCESOS CULTURALES Y ARTISTICOS ¨PDM UNIDOS SOMOS MAS¨ EN EL MUNICIPIO DE SALAZAR DE LAS PALMAS</t>
        </is>
      </c>
      <c r="I416" t="inlineStr">
        <is>
          <t>96210</t>
        </is>
      </c>
      <c r="J416" t="inlineStr">
        <is>
          <t>Servicios de promoción y gestión de actividades de artes escénicas</t>
        </is>
      </c>
      <c r="K416" t="inlineStr">
        <is>
          <t>00</t>
        </is>
      </c>
      <c r="L416" t="inlineStr">
        <is>
          <t>SIN ATRIBUTO</t>
        </is>
      </c>
      <c r="N416" t="inlineStr">
        <is>
          <t>2.3.2.02.02.009.33.11</t>
        </is>
      </c>
      <c r="O416" t="inlineStr">
        <is>
          <t>Prestación de Servicio para la promoción de actividades culturales</t>
        </is>
      </c>
      <c r="P416" t="inlineStr">
        <is>
          <t>152.1</t>
        </is>
      </c>
      <c r="Q416" t="inlineStr">
        <is>
          <t>RB ESTAMPILLA PROCULTURA</t>
        </is>
      </c>
      <c r="R416" t="n">
        <v>0</v>
      </c>
      <c r="S416" t="n">
        <v>31895293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31895293</v>
      </c>
      <c r="Z416" t="n">
        <v>23113415</v>
      </c>
      <c r="AA416" t="n">
        <v>21371000</v>
      </c>
      <c r="AB416" t="n">
        <v>0</v>
      </c>
      <c r="AC416" t="n">
        <v>0</v>
      </c>
      <c r="AD416" t="n">
        <v>8781878</v>
      </c>
      <c r="AE416" t="n">
        <v>72.47</v>
      </c>
    </row>
    <row r="417">
      <c r="A417" t="inlineStr">
        <is>
          <t>1 - ADMINISTRACIÓN CENTRAL</t>
        </is>
      </c>
      <c r="B417" t="inlineStr">
        <is>
          <t>33 - CULTURA</t>
        </is>
      </c>
      <c r="C417" t="inlineStr">
        <is>
          <t>1603</t>
        </is>
      </c>
      <c r="D417" t="inlineStr">
        <is>
          <t>3301</t>
        </is>
      </c>
      <c r="E417" t="inlineStr">
        <is>
          <t>3301053</t>
        </is>
      </c>
      <c r="F417" t="inlineStr">
        <is>
          <t>SERVICIO DE PROMOCIÓN DE ACTIVIDADES CULTURALES</t>
        </is>
      </c>
      <c r="G417" t="inlineStr">
        <is>
          <t>2024546600047</t>
        </is>
      </c>
      <c r="H417" t="inlineStr">
        <is>
          <t>FORTALECIMIENTO EN LA PROMOSION Y ACCESO EFECTIVO A PROCESOS CULTURALES Y ARTISTICOS ¨PDM UNIDOS SOMOS MAS¨ EN EL MUNICIPIO DE SALAZAR DE LAS PALMAS</t>
        </is>
      </c>
      <c r="I417" t="inlineStr">
        <is>
          <t>96210</t>
        </is>
      </c>
      <c r="J417" t="inlineStr">
        <is>
          <t>Servicios de promoción y gestión de actividades de artes escénicas</t>
        </is>
      </c>
      <c r="K417" t="inlineStr">
        <is>
          <t>00</t>
        </is>
      </c>
      <c r="L417" t="inlineStr">
        <is>
          <t>SIN ATRIBUTO</t>
        </is>
      </c>
      <c r="N417" t="inlineStr">
        <is>
          <t>2.3.2.02.02.009.33.12</t>
        </is>
      </c>
      <c r="O417" t="inlineStr">
        <is>
          <t>Prestación de Servicio para la promoción de actividades culturales</t>
        </is>
      </c>
      <c r="P417" t="inlineStr">
        <is>
          <t>390</t>
        </is>
      </c>
      <c r="Q417" t="inlineStr">
        <is>
          <t>SGP PROPOSITO GENERAL FORZOSA INVERSION CULTURA SALDOS NO EJECUTADOS NI INCORPORADOS VIGENCIAS ANTERIORES Y REINTEGROS</t>
        </is>
      </c>
      <c r="R417" t="n">
        <v>0</v>
      </c>
      <c r="S417" t="n">
        <v>19833736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19833736</v>
      </c>
      <c r="Z417" t="n">
        <v>0</v>
      </c>
      <c r="AA417" t="n">
        <v>0</v>
      </c>
      <c r="AB417" t="n">
        <v>0</v>
      </c>
      <c r="AC417" t="n">
        <v>0</v>
      </c>
      <c r="AD417" t="n">
        <v>19833736</v>
      </c>
      <c r="AE417" t="n">
        <v>0</v>
      </c>
    </row>
    <row r="418">
      <c r="A418" t="inlineStr">
        <is>
          <t>1 - ADMINISTRACIÓN CENTRAL</t>
        </is>
      </c>
      <c r="B418" t="inlineStr">
        <is>
          <t>33 - CULTURA</t>
        </is>
      </c>
      <c r="C418" t="inlineStr">
        <is>
          <t>1603</t>
        </is>
      </c>
      <c r="D418" t="inlineStr">
        <is>
          <t>3301</t>
        </is>
      </c>
      <c r="E418" t="inlineStr">
        <is>
          <t>3301053</t>
        </is>
      </c>
      <c r="F418" t="inlineStr">
        <is>
          <t>SERVICIO DE PROMOCIÓN DE ACTIVIDADES CULTURALES</t>
        </is>
      </c>
      <c r="G418" t="inlineStr">
        <is>
          <t>2024546600047</t>
        </is>
      </c>
      <c r="H418" t="inlineStr">
        <is>
          <t>FORTALECIMIENTO EN LA PROMOSION Y ACCESO EFECTIVO A PROCESOS CULTURALES Y ARTISTICOS ¨PDM UNIDOS SOMOS MAS¨ EN EL MUNICIPIO DE SALAZAR DE LAS PALMAS</t>
        </is>
      </c>
      <c r="I418" t="inlineStr">
        <is>
          <t>96210</t>
        </is>
      </c>
      <c r="J418" t="inlineStr">
        <is>
          <t>Servicios de promoción y gestión de actividades de artes escénicas</t>
        </is>
      </c>
      <c r="K418" t="inlineStr">
        <is>
          <t>00</t>
        </is>
      </c>
      <c r="L418" t="inlineStr">
        <is>
          <t>SIN ATRIBUTO</t>
        </is>
      </c>
      <c r="N418" t="inlineStr">
        <is>
          <t>2.3.2.02.02.009.33.13</t>
        </is>
      </c>
      <c r="O418" t="inlineStr">
        <is>
          <t>Prestación de Servicio para la promoción de actividades culturales</t>
        </is>
      </c>
      <c r="P418" t="inlineStr">
        <is>
          <t>410</t>
        </is>
      </c>
      <c r="Q418" t="inlineStr">
        <is>
          <t>SGP PROPOSITO GENERAL FORZOSA INVERSION LIBRE INVERSIÓN SALDOS NO EJECUTADOS NI INCORPORADOS VIGENCIAS ANTERIORES Y REIN</t>
        </is>
      </c>
      <c r="R418" t="n">
        <v>0</v>
      </c>
      <c r="S418" t="n">
        <v>50000000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50000000</v>
      </c>
      <c r="Z418" t="n">
        <v>0</v>
      </c>
      <c r="AA418" t="n">
        <v>0</v>
      </c>
      <c r="AB418" t="n">
        <v>0</v>
      </c>
      <c r="AC418" t="n">
        <v>0</v>
      </c>
      <c r="AD418" t="n">
        <v>50000000</v>
      </c>
      <c r="AE418" t="n">
        <v>0</v>
      </c>
    </row>
    <row r="419">
      <c r="A419" t="inlineStr">
        <is>
          <t>1 - ADMINISTRACIÓN CENTRAL</t>
        </is>
      </c>
      <c r="B419" t="inlineStr">
        <is>
          <t>00 - SIN SECTOR</t>
        </is>
      </c>
      <c r="C419" t="inlineStr">
        <is>
          <t>00</t>
        </is>
      </c>
      <c r="D419" t="inlineStr">
        <is>
          <t>0000</t>
        </is>
      </c>
      <c r="E419" t="inlineStr">
        <is>
          <t>000000</t>
        </is>
      </c>
      <c r="F419" t="inlineStr">
        <is>
          <t>SIN PRODUCTO</t>
        </is>
      </c>
      <c r="G419" t="inlineStr">
        <is>
          <t>00</t>
        </is>
      </c>
      <c r="H419" t="inlineStr">
        <is>
          <t>00</t>
        </is>
      </c>
      <c r="I419" t="inlineStr">
        <is>
          <t>00</t>
        </is>
      </c>
      <c r="J419" t="inlineStr">
        <is>
          <t>SIN PRODUCTO DANE</t>
        </is>
      </c>
      <c r="K419" t="inlineStr">
        <is>
          <t>00</t>
        </is>
      </c>
      <c r="L419" t="inlineStr">
        <is>
          <t>SIN ATRIBUTO</t>
        </is>
      </c>
      <c r="N419" t="inlineStr">
        <is>
          <t>2.3.2.02.02.009.35</t>
        </is>
      </c>
      <c r="O419" t="inlineStr">
        <is>
          <t>COMERCIO, INDUSTRIA Y TURISMO</t>
        </is>
      </c>
      <c r="P419" t="inlineStr">
        <is>
          <t>00</t>
        </is>
      </c>
      <c r="Q419" t="inlineStr">
        <is>
          <t>RECURSOS</t>
        </is>
      </c>
      <c r="R419" t="n">
        <v>71000000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71000000</v>
      </c>
      <c r="Z419" t="n">
        <v>69693000</v>
      </c>
      <c r="AA419" t="n">
        <v>69693000</v>
      </c>
      <c r="AB419" t="n">
        <v>29469000</v>
      </c>
      <c r="AC419" t="n">
        <v>29469000</v>
      </c>
      <c r="AD419" t="n">
        <v>1307000</v>
      </c>
      <c r="AE419" t="n">
        <v>98.16</v>
      </c>
    </row>
    <row r="420">
      <c r="A420" t="inlineStr">
        <is>
          <t>1 - ADMINISTRACIÓN CENTRAL</t>
        </is>
      </c>
      <c r="B420" t="inlineStr">
        <is>
          <t>35 - COMERCIO, INDUSTRIA Y TURISMO</t>
        </is>
      </c>
      <c r="C420" t="inlineStr">
        <is>
          <t>0200</t>
        </is>
      </c>
      <c r="D420" t="inlineStr">
        <is>
          <t>3502</t>
        </is>
      </c>
      <c r="E420" t="inlineStr">
        <is>
          <t>3502046</t>
        </is>
      </c>
      <c r="F420" t="inlineStr">
        <is>
          <t>SERVICIO DE PROMOCIÓN TURÍSTICA</t>
        </is>
      </c>
      <c r="G420" t="inlineStr">
        <is>
          <t>2024546600063</t>
        </is>
      </c>
      <c r="H420" t="inlineStr">
        <is>
          <t>FORTALECIMIENTO DE LA PRODUCTIVIDAD Y COMPETITIVIDAD DE LAS EMPRESAS LOCALES PDM UNIDOS SOMOS MÁS EN EL MUNICIPIO DE  SALAZAR</t>
        </is>
      </c>
      <c r="I420" t="inlineStr">
        <is>
          <t>91136</t>
        </is>
      </c>
      <c r="J420" t="inlineStr">
        <is>
          <t>Servicios de la administración pública relacionados con el turismo</t>
        </is>
      </c>
      <c r="K420" t="inlineStr">
        <is>
          <t>00</t>
        </is>
      </c>
      <c r="L420" t="inlineStr">
        <is>
          <t>SIN ATRIBUTO</t>
        </is>
      </c>
      <c r="N420" t="inlineStr">
        <is>
          <t>2.3.2.02.02.009.35.01</t>
        </is>
      </c>
      <c r="O420" t="inlineStr">
        <is>
          <t>Servicio de promoción turística</t>
        </is>
      </c>
      <c r="P420" t="inlineStr">
        <is>
          <t>420</t>
        </is>
      </c>
      <c r="Q420" t="inlineStr">
        <is>
          <t>SGP PROPOSITO GENERAL FORZOSA INVERSION LIBRE INVERSIÓN SGP ONCE DOCEAVAS VIGENCIA ACTUAL MAS ULTIMA DOCEAVA VIGENCIA AN</t>
        </is>
      </c>
      <c r="R420" t="n">
        <v>71000000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71000000</v>
      </c>
      <c r="Z420" t="n">
        <v>69693000</v>
      </c>
      <c r="AA420" t="n">
        <v>69693000</v>
      </c>
      <c r="AB420" t="n">
        <v>29469000</v>
      </c>
      <c r="AC420" t="n">
        <v>29469000</v>
      </c>
      <c r="AD420" t="n">
        <v>1307000</v>
      </c>
      <c r="AE420" t="n">
        <v>98.16</v>
      </c>
    </row>
    <row r="421">
      <c r="A421" t="inlineStr">
        <is>
          <t>1 - ADMINISTRACIÓN CENTRAL</t>
        </is>
      </c>
      <c r="B421" t="inlineStr">
        <is>
          <t>00 - SIN SECTOR</t>
        </is>
      </c>
      <c r="C421" t="inlineStr">
        <is>
          <t>00</t>
        </is>
      </c>
      <c r="D421" t="inlineStr">
        <is>
          <t>0000</t>
        </is>
      </c>
      <c r="E421" t="inlineStr">
        <is>
          <t>000000</t>
        </is>
      </c>
      <c r="F421" t="inlineStr">
        <is>
          <t>SIN PRODUCTO</t>
        </is>
      </c>
      <c r="G421" t="inlineStr">
        <is>
          <t>00</t>
        </is>
      </c>
      <c r="H421" t="inlineStr">
        <is>
          <t>00</t>
        </is>
      </c>
      <c r="I421" t="inlineStr">
        <is>
          <t>00</t>
        </is>
      </c>
      <c r="J421" t="inlineStr">
        <is>
          <t>SIN PRODUCTO DANE</t>
        </is>
      </c>
      <c r="K421" t="inlineStr">
        <is>
          <t>00</t>
        </is>
      </c>
      <c r="L421" t="inlineStr">
        <is>
          <t>SIN ATRIBUTO</t>
        </is>
      </c>
      <c r="N421" t="inlineStr">
        <is>
          <t>2.3.2.02.02.009.41</t>
        </is>
      </c>
      <c r="O421" t="inlineStr">
        <is>
          <t>INCLUSION SOCIAL Y RECONCILIACION</t>
        </is>
      </c>
      <c r="P421" t="inlineStr">
        <is>
          <t>00</t>
        </is>
      </c>
      <c r="Q421" t="inlineStr">
        <is>
          <t>RECURSOS</t>
        </is>
      </c>
      <c r="R421" t="n">
        <v>245699272</v>
      </c>
      <c r="S421" t="n">
        <v>87921287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333620559</v>
      </c>
      <c r="Z421" t="n">
        <v>128774311</v>
      </c>
      <c r="AA421" t="n">
        <v>126634311</v>
      </c>
      <c r="AB421" t="n">
        <v>82255311</v>
      </c>
      <c r="AC421" t="n">
        <v>82255311</v>
      </c>
      <c r="AD421" t="n">
        <v>204846248</v>
      </c>
      <c r="AE421" t="n">
        <v>38.6</v>
      </c>
    </row>
    <row r="422">
      <c r="A422" t="inlineStr">
        <is>
          <t>1 - ADMINISTRACIÓN CENTRAL</t>
        </is>
      </c>
      <c r="B422" t="inlineStr">
        <is>
          <t>41 - INCLUSIÓN SOCIAL Y RECONCILIACIÓN</t>
        </is>
      </c>
      <c r="C422" t="inlineStr">
        <is>
          <t>1500</t>
        </is>
      </c>
      <c r="D422" t="inlineStr">
        <is>
          <t>4101</t>
        </is>
      </c>
      <c r="E422" t="inlineStr">
        <is>
          <t>4101023</t>
        </is>
      </c>
      <c r="F422" t="inlineStr">
        <is>
          <t>SERVICIO DE ORIENTACIÓN Y COMUNICACIÓN A LAS VÍCTIMAS</t>
        </is>
      </c>
      <c r="G422" t="inlineStr">
        <is>
          <t>2024546600067</t>
        </is>
      </c>
      <c r="H422" t="inlineStr">
        <is>
          <t>FORTALECIMIENTO PARA LA ATENCIÓN ASISTENCIA Y REPARACIÓN INTEGRAL A LAS VÍCTIMAS PDM UNIDOS SOMOS MÁS EN EL MUNICIPIO DE  SALAZAR</t>
        </is>
      </c>
      <c r="I422" t="inlineStr">
        <is>
          <t>91119</t>
        </is>
      </c>
      <c r="J422" t="inlineStr">
        <is>
          <t>Otros servicios de la administración pública n.c.p.</t>
        </is>
      </c>
      <c r="K422" t="inlineStr">
        <is>
          <t>00</t>
        </is>
      </c>
      <c r="L422" t="inlineStr">
        <is>
          <t>SIN ATRIBUTO</t>
        </is>
      </c>
      <c r="N422" t="inlineStr">
        <is>
          <t>2.3.2.02.02.009.41.01</t>
        </is>
      </c>
      <c r="O422" t="inlineStr">
        <is>
          <t>Servicio de orientación y comunicación a las víctimas</t>
        </is>
      </c>
      <c r="P422" t="inlineStr">
        <is>
          <t>420</t>
        </is>
      </c>
      <c r="Q422" t="inlineStr">
        <is>
          <t>SGP PROPOSITO GENERAL FORZOSA INVERSION LIBRE INVERSIÓN SGP ONCE DOCEAVAS VIGENCIA ACTUAL MAS ULTIMA DOCEAVA VIGENCIA AN</t>
        </is>
      </c>
      <c r="R422" t="n">
        <v>31000000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31000000</v>
      </c>
      <c r="Z422" t="n">
        <v>30388000</v>
      </c>
      <c r="AA422" t="n">
        <v>30388000</v>
      </c>
      <c r="AB422" t="n">
        <v>12412000</v>
      </c>
      <c r="AC422" t="n">
        <v>12412000</v>
      </c>
      <c r="AD422" t="n">
        <v>612000</v>
      </c>
      <c r="AE422" t="n">
        <v>98.03</v>
      </c>
    </row>
    <row r="423">
      <c r="A423" t="inlineStr">
        <is>
          <t>1 - ADMINISTRACIÓN CENTRAL</t>
        </is>
      </c>
      <c r="B423" t="inlineStr">
        <is>
          <t>41 - INCLUSIÓN SOCIAL Y RECONCILIACIÓN</t>
        </is>
      </c>
      <c r="C423" t="inlineStr">
        <is>
          <t>1500</t>
        </is>
      </c>
      <c r="D423" t="inlineStr">
        <is>
          <t>4101</t>
        </is>
      </c>
      <c r="E423" t="inlineStr">
        <is>
          <t>4101025</t>
        </is>
      </c>
      <c r="F423" t="inlineStr">
        <is>
          <t>SERVICIO DE AYUDA Y ATENCIÓN HUMANITARIA</t>
        </is>
      </c>
      <c r="G423" t="inlineStr">
        <is>
          <t>2024546600067</t>
        </is>
      </c>
      <c r="H423" t="inlineStr">
        <is>
          <t>FORTALECIMIENTO PARA LA ATENCIÓN ASISTENCIA Y REPARACIÓN INTEGRAL A LAS VÍCTIMAS PDM UNIDOS SOMOS MÁS EN EL MUNICIPIO DE  SALAZAR</t>
        </is>
      </c>
      <c r="I423" t="inlineStr">
        <is>
          <t>91119</t>
        </is>
      </c>
      <c r="J423" t="inlineStr">
        <is>
          <t>Otros servicios de la administración pública n.c.p.</t>
        </is>
      </c>
      <c r="K423" t="inlineStr">
        <is>
          <t>00</t>
        </is>
      </c>
      <c r="L423" t="inlineStr">
        <is>
          <t>SIN ATRIBUTO</t>
        </is>
      </c>
      <c r="N423" t="inlineStr">
        <is>
          <t>2.3.2.02.02.009.41.02</t>
        </is>
      </c>
      <c r="O423" t="inlineStr">
        <is>
          <t>Servicio de ayuda y atención humanitaria</t>
        </is>
      </c>
      <c r="P423" t="inlineStr">
        <is>
          <t>119</t>
        </is>
      </c>
      <c r="Q423" t="inlineStr">
        <is>
          <t>PARTICIPACION DEGUELLO GANADO</t>
        </is>
      </c>
      <c r="R423" t="n">
        <v>2091973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2091973</v>
      </c>
      <c r="Z423" t="n">
        <v>300000</v>
      </c>
      <c r="AA423" t="n">
        <v>300000</v>
      </c>
      <c r="AB423" t="n">
        <v>300000</v>
      </c>
      <c r="AC423" t="n">
        <v>300000</v>
      </c>
      <c r="AD423" t="n">
        <v>1791973</v>
      </c>
      <c r="AE423" t="n">
        <v>14.34</v>
      </c>
    </row>
    <row r="424">
      <c r="A424" t="inlineStr">
        <is>
          <t>1 - ADMINISTRACIÓN CENTRAL</t>
        </is>
      </c>
      <c r="B424" t="inlineStr">
        <is>
          <t>41 - INCLUSIÓN SOCIAL Y RECONCILIACIÓN</t>
        </is>
      </c>
      <c r="C424" t="inlineStr">
        <is>
          <t>1500</t>
        </is>
      </c>
      <c r="D424" t="inlineStr">
        <is>
          <t>4102</t>
        </is>
      </c>
      <c r="E424" t="inlineStr">
        <is>
          <t>4102001</t>
        </is>
      </c>
      <c r="F424" t="inlineStr">
        <is>
          <t>SERVICIO DE ATENCIÓN INTEGRAL A LA PRIMERA INFANCIA</t>
        </is>
      </c>
      <c r="G424" t="inlineStr">
        <is>
          <t>2024546600068</t>
        </is>
      </c>
      <c r="H424" t="inlineStr">
        <is>
          <t>DESARROLLO INTEGRAL DE LA PRIMERA INFANCIA A LA JUVENTUD Y FORTALECIMIENTO DE LAS CAPACIDADES DE LAS FAMILIAS DE NIÑAS NIÑOS Y ADOLESCENTES PDM UNIDOS SOMOS MÁS EN EL MUNICIPIO DE   SALAZAR</t>
        </is>
      </c>
      <c r="I424" t="inlineStr">
        <is>
          <t>91119</t>
        </is>
      </c>
      <c r="J424" t="inlineStr">
        <is>
          <t>Otros servicios de la administración pública n.c.p.</t>
        </is>
      </c>
      <c r="K424" t="inlineStr">
        <is>
          <t>00</t>
        </is>
      </c>
      <c r="L424" t="inlineStr">
        <is>
          <t>SIN ATRIBUTO</t>
        </is>
      </c>
      <c r="N424" t="inlineStr">
        <is>
          <t>2.3.2.02.02.009.41.03</t>
        </is>
      </c>
      <c r="O424" t="inlineStr">
        <is>
          <t>Servicio de atención integral a la primera infancia</t>
        </is>
      </c>
      <c r="P424" t="inlineStr">
        <is>
          <t>119</t>
        </is>
      </c>
      <c r="Q424" t="inlineStr">
        <is>
          <t>PARTICIPACION DEGUELLO GANADO</t>
        </is>
      </c>
      <c r="R424" t="n">
        <v>20000000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20000000</v>
      </c>
      <c r="Z424" t="n">
        <v>0</v>
      </c>
      <c r="AA424" t="n">
        <v>0</v>
      </c>
      <c r="AB424" t="n">
        <v>0</v>
      </c>
      <c r="AC424" t="n">
        <v>0</v>
      </c>
      <c r="AD424" t="n">
        <v>20000000</v>
      </c>
      <c r="AE424" t="n">
        <v>0</v>
      </c>
    </row>
    <row r="425">
      <c r="A425" t="inlineStr">
        <is>
          <t>1 - ADMINISTRACIÓN CENTRAL</t>
        </is>
      </c>
      <c r="B425" t="inlineStr">
        <is>
          <t>41 - INCLUSIÓN SOCIAL Y RECONCILIACIÓN</t>
        </is>
      </c>
      <c r="C425" t="inlineStr">
        <is>
          <t>1500</t>
        </is>
      </c>
      <c r="D425" t="inlineStr">
        <is>
          <t>4102</t>
        </is>
      </c>
      <c r="E425" t="inlineStr">
        <is>
          <t>4102001</t>
        </is>
      </c>
      <c r="F425" t="inlineStr">
        <is>
          <t>SERVICIO DE ATENCIÓN INTEGRAL A LA PRIMERA INFANCIA</t>
        </is>
      </c>
      <c r="G425" t="inlineStr">
        <is>
          <t>2024546600068</t>
        </is>
      </c>
      <c r="H425" t="inlineStr">
        <is>
          <t>DESARROLLO INTEGRAL DE LA PRIMERA INFANCIA A LA JUVENTUD Y FORTALECIMIENTO DE LAS CAPACIDADES DE LAS FAMILIAS DE NIÑAS NIÑOS Y ADOLESCENTES PDM UNIDOS SOMOS MÁS EN EL MUNICIPIO DE   SALAZAR</t>
        </is>
      </c>
      <c r="I425" t="inlineStr">
        <is>
          <t>91119</t>
        </is>
      </c>
      <c r="J425" t="inlineStr">
        <is>
          <t>Otros servicios de la administración pública n.c.p.</t>
        </is>
      </c>
      <c r="K425" t="inlineStr">
        <is>
          <t>00</t>
        </is>
      </c>
      <c r="L425" t="inlineStr">
        <is>
          <t>SIN ATRIBUTO</t>
        </is>
      </c>
      <c r="N425" t="inlineStr">
        <is>
          <t>2.3.2.02.02.009.41.04</t>
        </is>
      </c>
      <c r="O425" t="inlineStr">
        <is>
          <t>Servicio de atención integral a la primera infancia</t>
        </is>
      </c>
      <c r="P425" t="inlineStr">
        <is>
          <t>670.13</t>
        </is>
      </c>
      <c r="Q425" t="inlineStr">
        <is>
          <t>REND FCROS. SGP PRIMERA INFANCIA</t>
        </is>
      </c>
      <c r="R425" t="n">
        <v>100000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100000</v>
      </c>
      <c r="Z425" t="n">
        <v>0</v>
      </c>
      <c r="AA425" t="n">
        <v>0</v>
      </c>
      <c r="AB425" t="n">
        <v>0</v>
      </c>
      <c r="AC425" t="n">
        <v>0</v>
      </c>
      <c r="AD425" t="n">
        <v>100000</v>
      </c>
      <c r="AE425" t="n">
        <v>0</v>
      </c>
    </row>
    <row r="426">
      <c r="A426" t="inlineStr">
        <is>
          <t>1 - ADMINISTRACIÓN CENTRAL</t>
        </is>
      </c>
      <c r="B426" t="inlineStr">
        <is>
          <t>41 - INCLUSIÓN SOCIAL Y RECONCILIACIÓN</t>
        </is>
      </c>
      <c r="C426" t="inlineStr">
        <is>
          <t>1500</t>
        </is>
      </c>
      <c r="D426" t="inlineStr">
        <is>
          <t>4103</t>
        </is>
      </c>
      <c r="E426" t="inlineStr">
        <is>
          <t>4103052</t>
        </is>
      </c>
      <c r="F426" t="inlineStr">
        <is>
          <t>SERVICIO DE GESTIÓN DE OFERTA SOCIAL PARA LA POBLACIÓN VULNERABLE</t>
        </is>
      </c>
      <c r="G426" t="inlineStr">
        <is>
          <t>2024546600069</t>
        </is>
      </c>
      <c r="H426" t="inlineStr">
        <is>
          <t>FORTALECIMIENTO EN LA INCLUSIÓN SOCIAL Y PRODUCTIVA PARA LA POBLACIÓN EN SITUACIÓN DE VULNERABILIDAD PDM UNIDOS SOMOS MÁS DEL MUNICIPIO DE  SALAZAR</t>
        </is>
      </c>
      <c r="I426" t="inlineStr">
        <is>
          <t>91119</t>
        </is>
      </c>
      <c r="J426" t="inlineStr">
        <is>
          <t>Otros servicios de la administración pública n.c.p.</t>
        </is>
      </c>
      <c r="K426" t="inlineStr">
        <is>
          <t>00</t>
        </is>
      </c>
      <c r="L426" t="inlineStr">
        <is>
          <t>SIN ATRIBUTO</t>
        </is>
      </c>
      <c r="N426" t="inlineStr">
        <is>
          <t>2.3.2.02.02.009.41.05</t>
        </is>
      </c>
      <c r="O426" t="inlineStr">
        <is>
          <t>Servicio de gestión de oferta social para la población vulnerable</t>
        </is>
      </c>
      <c r="P426" t="inlineStr">
        <is>
          <t>420</t>
        </is>
      </c>
      <c r="Q426" t="inlineStr">
        <is>
          <t>SGP PROPOSITO GENERAL FORZOSA INVERSION LIBRE INVERSIÓN SGP ONCE DOCEAVAS VIGENCIA ACTUAL MAS ULTIMA DOCEAVA VIGENCIA AN</t>
        </is>
      </c>
      <c r="R426" t="n">
        <v>27000000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27000000</v>
      </c>
      <c r="Z426" t="n">
        <v>27000000</v>
      </c>
      <c r="AA426" t="n">
        <v>27000000</v>
      </c>
      <c r="AB426" t="n">
        <v>11250000</v>
      </c>
      <c r="AC426" t="n">
        <v>11250000</v>
      </c>
      <c r="AD426" t="n">
        <v>0</v>
      </c>
      <c r="AE426" t="n">
        <v>100</v>
      </c>
    </row>
    <row r="427">
      <c r="A427" t="inlineStr">
        <is>
          <t>1 - ADMINISTRACIÓN CENTRAL</t>
        </is>
      </c>
      <c r="B427" t="inlineStr">
        <is>
          <t>41 - INCLUSIÓN SOCIAL Y RECONCILIACIÓN</t>
        </is>
      </c>
      <c r="C427" t="inlineStr">
        <is>
          <t>1500</t>
        </is>
      </c>
      <c r="D427" t="inlineStr">
        <is>
          <t>4104</t>
        </is>
      </c>
      <c r="E427" t="inlineStr">
        <is>
          <t>4104020</t>
        </is>
      </c>
      <c r="F427" t="inlineStr">
        <is>
          <t>SERVICIO DE ATENCIÓN INTEGRAL A POBLACIÓN EN CONDICIÓN DE DISCAPACIDAD</t>
        </is>
      </c>
      <c r="G427" t="inlineStr">
        <is>
          <t>2024546600070</t>
        </is>
      </c>
      <c r="H427" t="inlineStr">
        <is>
          <t>FORTALECIMIENTO DE LA ATENCIÓN INTEGRAL DE POBLACIÓN EN SITUACIÓN PERMANENTE DE DESPROTECCIÓN SOCIAL YO FAMILIAR PDM UNIDOS SOMOS MÁS EN EL MUNICIPIO DE  SALAZAR</t>
        </is>
      </c>
      <c r="I427" t="inlineStr">
        <is>
          <t>91119</t>
        </is>
      </c>
      <c r="J427" t="inlineStr">
        <is>
          <t>Otros servicios de la administración pública n.c.p.</t>
        </is>
      </c>
      <c r="K427" t="inlineStr">
        <is>
          <t>00</t>
        </is>
      </c>
      <c r="L427" t="inlineStr">
        <is>
          <t>SIN ATRIBUTO</t>
        </is>
      </c>
      <c r="N427" t="inlineStr">
        <is>
          <t>2.3.2.02.02.009.41.06</t>
        </is>
      </c>
      <c r="O427" t="inlineStr">
        <is>
          <t>Servicio de atención integral a población en condición de discapacidad</t>
        </is>
      </c>
      <c r="P427" t="inlineStr">
        <is>
          <t>420</t>
        </is>
      </c>
      <c r="Q427" t="inlineStr">
        <is>
          <t>SGP PROPOSITO GENERAL FORZOSA INVERSION LIBRE INVERSIÓN SGP ONCE DOCEAVAS VIGENCIA ACTUAL MAS ULTIMA DOCEAVA VIGENCIA AN</t>
        </is>
      </c>
      <c r="R427" t="n">
        <v>25000000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25000000</v>
      </c>
      <c r="Z427" t="n">
        <v>11952000</v>
      </c>
      <c r="AA427" t="n">
        <v>11952000</v>
      </c>
      <c r="AB427" t="n">
        <v>9392000</v>
      </c>
      <c r="AC427" t="n">
        <v>9392000</v>
      </c>
      <c r="AD427" t="n">
        <v>13048000</v>
      </c>
      <c r="AE427" t="n">
        <v>47.81</v>
      </c>
    </row>
    <row r="428">
      <c r="A428" t="inlineStr">
        <is>
          <t>1 - ADMINISTRACIÓN CENTRAL</t>
        </is>
      </c>
      <c r="B428" t="inlineStr">
        <is>
          <t>41 - INCLUSIÓN SOCIAL Y RECONCILIACIÓN</t>
        </is>
      </c>
      <c r="C428" t="inlineStr">
        <is>
          <t>1500</t>
        </is>
      </c>
      <c r="D428" t="inlineStr">
        <is>
          <t>4104</t>
        </is>
      </c>
      <c r="E428" t="inlineStr">
        <is>
          <t>4104008</t>
        </is>
      </c>
      <c r="F428" t="inlineStr">
        <is>
          <t>SERVICIO DE ATENCIÓN Y PROTECCIÓN INTEGRAL AL ADULTO MAYOR</t>
        </is>
      </c>
      <c r="G428" t="inlineStr">
        <is>
          <t>2024546600070</t>
        </is>
      </c>
      <c r="H428" t="inlineStr">
        <is>
          <t>FORTALECIMIENTO DE LA ATENCIÓN INTEGRAL DE POBLACIÓN EN SITUACIÓN PERMANENTE DE DESPROTECCIÓN SOCIAL YO FAMILIAR PDM UNIDOS SOMOS MÁS EN EL MUNICIPIO DE  SALAZAR</t>
        </is>
      </c>
      <c r="I428" t="inlineStr">
        <is>
          <t>91119</t>
        </is>
      </c>
      <c r="J428" t="inlineStr">
        <is>
          <t>Otros servicios de la administración pública n.c.p.</t>
        </is>
      </c>
      <c r="K428" t="inlineStr">
        <is>
          <t>00</t>
        </is>
      </c>
      <c r="L428" t="inlineStr">
        <is>
          <t>SIN ATRIBUTO</t>
        </is>
      </c>
      <c r="N428" t="inlineStr">
        <is>
          <t>2.3.2.02.02.009.41.07</t>
        </is>
      </c>
      <c r="O428" t="inlineStr">
        <is>
          <t>Servicio de atención y protección integral al adulto mayor</t>
        </is>
      </c>
      <c r="P428" t="inlineStr">
        <is>
          <t>151</t>
        </is>
      </c>
      <c r="Q428" t="inlineStr">
        <is>
          <t>Estampilla adulto mayor</t>
        </is>
      </c>
      <c r="R428" t="n">
        <v>140407299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140407299</v>
      </c>
      <c r="Z428" t="n">
        <v>48901311</v>
      </c>
      <c r="AA428" t="n">
        <v>48901311</v>
      </c>
      <c r="AB428" t="n">
        <v>48901311</v>
      </c>
      <c r="AC428" t="n">
        <v>48901311</v>
      </c>
      <c r="AD428" t="n">
        <v>91505988</v>
      </c>
      <c r="AE428" t="n">
        <v>34.83</v>
      </c>
    </row>
    <row r="429">
      <c r="A429" t="inlineStr">
        <is>
          <t>1 - ADMINISTRACIÓN CENTRAL</t>
        </is>
      </c>
      <c r="B429" t="inlineStr">
        <is>
          <t>41 - INCLUSIÓN SOCIAL Y RECONCILIACIÓN</t>
        </is>
      </c>
      <c r="C429" t="inlineStr">
        <is>
          <t>1500</t>
        </is>
      </c>
      <c r="D429" t="inlineStr">
        <is>
          <t>4104</t>
        </is>
      </c>
      <c r="E429" t="inlineStr">
        <is>
          <t>4104008</t>
        </is>
      </c>
      <c r="F429" t="inlineStr">
        <is>
          <t>SERVICIO DE ATENCIÓN Y PROTECCIÓN INTEGRAL AL ADULTO MAYOR</t>
        </is>
      </c>
      <c r="G429" t="inlineStr">
        <is>
          <t>2024546600070</t>
        </is>
      </c>
      <c r="H429" t="inlineStr">
        <is>
          <t>FORTALECIMIENTO DE LA ATENCIÓN INTEGRAL DE POBLACIÓN EN SITUACIÓN PERMANENTE DE DESPROTECCIÓN SOCIAL YO FAMILIAR PDM UNIDOS SOMOS MÁS EN EL MUNICIPIO DE  SALAZAR</t>
        </is>
      </c>
      <c r="I429" t="inlineStr">
        <is>
          <t>91119</t>
        </is>
      </c>
      <c r="J429" t="inlineStr">
        <is>
          <t>Otros servicios de la administración pública n.c.p.</t>
        </is>
      </c>
      <c r="K429" t="inlineStr">
        <is>
          <t>00</t>
        </is>
      </c>
      <c r="L429" t="inlineStr">
        <is>
          <t>SIN ATRIBUTO</t>
        </is>
      </c>
      <c r="N429" t="inlineStr">
        <is>
          <t>2.3.2.02.02.009.41.07</t>
        </is>
      </c>
      <c r="O429" t="inlineStr">
        <is>
          <t>Servicio de atención y protección integral al adulto mayor</t>
        </is>
      </c>
      <c r="P429" t="inlineStr">
        <is>
          <t>151.1</t>
        </is>
      </c>
      <c r="Q429" t="inlineStr">
        <is>
          <t>RB ESTAMPILLA PRO ADULTO MAYOR</t>
        </is>
      </c>
      <c r="R429" t="n">
        <v>0</v>
      </c>
      <c r="S429" t="n">
        <v>31777362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31777362</v>
      </c>
      <c r="Z429" t="n">
        <v>0</v>
      </c>
      <c r="AA429" t="n">
        <v>0</v>
      </c>
      <c r="AB429" t="n">
        <v>0</v>
      </c>
      <c r="AC429" t="n">
        <v>0</v>
      </c>
      <c r="AD429" t="n">
        <v>31777362</v>
      </c>
      <c r="AE429" t="n">
        <v>0</v>
      </c>
    </row>
    <row r="430">
      <c r="A430" t="inlineStr">
        <is>
          <t>1 - ADMINISTRACIÓN CENTRAL</t>
        </is>
      </c>
      <c r="B430" t="inlineStr">
        <is>
          <t>41 - INCLUSIÓN SOCIAL Y RECONCILIACIÓN</t>
        </is>
      </c>
      <c r="C430" t="inlineStr">
        <is>
          <t>1500</t>
        </is>
      </c>
      <c r="D430" t="inlineStr">
        <is>
          <t>4104</t>
        </is>
      </c>
      <c r="E430" t="inlineStr">
        <is>
          <t>4104008</t>
        </is>
      </c>
      <c r="F430" t="inlineStr">
        <is>
          <t>SERVICIO DE ATENCIÓN Y PROTECCIÓN INTEGRAL AL ADULTO MAYOR</t>
        </is>
      </c>
      <c r="G430" t="inlineStr">
        <is>
          <t>2024546600070</t>
        </is>
      </c>
      <c r="H430" t="inlineStr">
        <is>
          <t>FORTALECIMIENTO DE LA ATENCIÓN INTEGRAL DE POBLACIÓN EN SITUACIÓN PERMANENTE DE DESPROTECCIÓN SOCIAL YO FAMILIAR PDM UNIDOS SOMOS MÁS EN EL MUNICIPIO DE  SALAZAR</t>
        </is>
      </c>
      <c r="I430" t="inlineStr">
        <is>
          <t>91119</t>
        </is>
      </c>
      <c r="J430" t="inlineStr">
        <is>
          <t>Otros servicios de la administración pública n.c.p.</t>
        </is>
      </c>
      <c r="K430" t="inlineStr">
        <is>
          <t>00</t>
        </is>
      </c>
      <c r="L430" t="inlineStr">
        <is>
          <t>SIN ATRIBUTO</t>
        </is>
      </c>
      <c r="N430" t="inlineStr">
        <is>
          <t>2.3.2.02.02.009.41.08</t>
        </is>
      </c>
      <c r="O430" t="inlineStr">
        <is>
          <t>Servicio de atención y protección integral al adulto mayor</t>
        </is>
      </c>
      <c r="P430" t="inlineStr">
        <is>
          <t>151.2</t>
        </is>
      </c>
      <c r="Q430" t="inlineStr">
        <is>
          <t xml:space="preserve">RF Estampilla Proadulto </t>
        </is>
      </c>
      <c r="R430" t="n">
        <v>100000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100000</v>
      </c>
      <c r="Z430" t="n">
        <v>0</v>
      </c>
      <c r="AA430" t="n">
        <v>0</v>
      </c>
      <c r="AB430" t="n">
        <v>0</v>
      </c>
      <c r="AC430" t="n">
        <v>0</v>
      </c>
      <c r="AD430" t="n">
        <v>100000</v>
      </c>
      <c r="AE430" t="n">
        <v>0</v>
      </c>
    </row>
    <row r="431">
      <c r="A431" t="inlineStr">
        <is>
          <t>1 - ADMINISTRACIÓN CENTRAL</t>
        </is>
      </c>
      <c r="B431" t="inlineStr">
        <is>
          <t>41 - INCLUSIÓN SOCIAL Y RECONCILIACIÓN</t>
        </is>
      </c>
      <c r="C431" t="inlineStr">
        <is>
          <t>1500</t>
        </is>
      </c>
      <c r="D431" t="inlineStr">
        <is>
          <t>4102</t>
        </is>
      </c>
      <c r="E431" t="inlineStr">
        <is>
          <t>4102001</t>
        </is>
      </c>
      <c r="F431" t="inlineStr">
        <is>
          <t>SERVICIO DE ATENCIÓN INTEGRAL A LA PRIMERA INFANCIA</t>
        </is>
      </c>
      <c r="G431" t="inlineStr">
        <is>
          <t>2024546600068</t>
        </is>
      </c>
      <c r="H431" t="inlineStr">
        <is>
          <t>DESARROLLO INTEGRAL DE LA PRIMERA INFANCIA A LA JUVENTUD Y FORTALECIMIENTO DE LAS CAPACIDADES DE LAS FAMILIAS DE NIÑAS NIÑOS Y ADOLESCENTES PDM UNIDOS SOMOS MÁS EN EL MUNICIPIO DE   SALAZAR</t>
        </is>
      </c>
      <c r="I431" t="inlineStr">
        <is>
          <t>91119</t>
        </is>
      </c>
      <c r="J431" t="inlineStr">
        <is>
          <t>Otros servicios de la administración pública n.c.p.</t>
        </is>
      </c>
      <c r="K431" t="inlineStr">
        <is>
          <t>00</t>
        </is>
      </c>
      <c r="L431" t="inlineStr">
        <is>
          <t>SIN ATRIBUTO</t>
        </is>
      </c>
      <c r="N431" t="inlineStr">
        <is>
          <t>2.3.2.02.02.009.41.09</t>
        </is>
      </c>
      <c r="O431" t="inlineStr">
        <is>
          <t>Servicio de atención integral a la primera infancia</t>
        </is>
      </c>
      <c r="P431" t="inlineStr">
        <is>
          <t>119.1</t>
        </is>
      </c>
      <c r="Q431" t="inlineStr">
        <is>
          <t>RB PARTICIPACION DEGUELLO GANADO</t>
        </is>
      </c>
      <c r="R431" t="n">
        <v>0</v>
      </c>
      <c r="S431" t="n">
        <v>28049842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28049842</v>
      </c>
      <c r="Z431" t="n">
        <v>10233000</v>
      </c>
      <c r="AA431" t="n">
        <v>8093000</v>
      </c>
      <c r="AB431" t="n">
        <v>0</v>
      </c>
      <c r="AC431" t="n">
        <v>0</v>
      </c>
      <c r="AD431" t="n">
        <v>17816842</v>
      </c>
      <c r="AE431" t="n">
        <v>36.48</v>
      </c>
    </row>
    <row r="432">
      <c r="A432" t="inlineStr">
        <is>
          <t>1 - ADMINISTRACIÓN CENTRAL</t>
        </is>
      </c>
      <c r="B432" t="inlineStr">
        <is>
          <t>41 - INCLUSIÓN SOCIAL Y RECONCILIACIÓN</t>
        </is>
      </c>
      <c r="C432" t="inlineStr">
        <is>
          <t>1500</t>
        </is>
      </c>
      <c r="D432" t="inlineStr">
        <is>
          <t>4102</t>
        </is>
      </c>
      <c r="E432" t="inlineStr">
        <is>
          <t>4102001</t>
        </is>
      </c>
      <c r="F432" t="inlineStr">
        <is>
          <t>SERVICIO DE ATENCIÓN INTEGRAL A LA PRIMERA INFANCIA</t>
        </is>
      </c>
      <c r="G432" t="inlineStr">
        <is>
          <t>2024546600068</t>
        </is>
      </c>
      <c r="H432" t="inlineStr">
        <is>
          <t>DESARROLLO INTEGRAL DE LA PRIMERA INFANCIA A LA JUVENTUD Y FORTALECIMIENTO DE LAS CAPACIDADES DE LAS FAMILIAS DE NIÑAS NIÑOS Y ADOLESCENTES PDM UNIDOS SOMOS MÁS EN EL MUNICIPIO DE   SALAZAR</t>
        </is>
      </c>
      <c r="I432" t="inlineStr">
        <is>
          <t>91119</t>
        </is>
      </c>
      <c r="J432" t="inlineStr">
        <is>
          <t>Otros servicios de la administración pública n.c.p.</t>
        </is>
      </c>
      <c r="K432" t="inlineStr">
        <is>
          <t>00</t>
        </is>
      </c>
      <c r="L432" t="inlineStr">
        <is>
          <t>SIN ATRIBUTO</t>
        </is>
      </c>
      <c r="N432" t="inlineStr">
        <is>
          <t>2.3.2.02.02.009.41.10</t>
        </is>
      </c>
      <c r="O432" t="inlineStr">
        <is>
          <t>Servicio de atención integral a la primera infancia</t>
        </is>
      </c>
      <c r="P432" t="inlineStr">
        <is>
          <t>670.13.1</t>
        </is>
      </c>
      <c r="Q432" t="inlineStr">
        <is>
          <t>REND FCROS. SGP PRIMERA INFANCIA RB</t>
        </is>
      </c>
      <c r="R432" t="n">
        <v>0</v>
      </c>
      <c r="S432" t="n">
        <v>44241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44241</v>
      </c>
      <c r="Z432" t="n">
        <v>0</v>
      </c>
      <c r="AA432" t="n">
        <v>0</v>
      </c>
      <c r="AB432" t="n">
        <v>0</v>
      </c>
      <c r="AC432" t="n">
        <v>0</v>
      </c>
      <c r="AD432" t="n">
        <v>44241</v>
      </c>
      <c r="AE432" t="n">
        <v>0</v>
      </c>
    </row>
    <row r="433">
      <c r="A433" t="inlineStr">
        <is>
          <t>1 - ADMINISTRACIÓN CENTRAL</t>
        </is>
      </c>
      <c r="B433" t="inlineStr">
        <is>
          <t>41 - INCLUSIÓN SOCIAL Y RECONCILIACIÓN</t>
        </is>
      </c>
      <c r="C433" t="inlineStr">
        <is>
          <t>1500</t>
        </is>
      </c>
      <c r="D433" t="inlineStr">
        <is>
          <t>4101</t>
        </is>
      </c>
      <c r="E433" t="inlineStr">
        <is>
          <t>4101025</t>
        </is>
      </c>
      <c r="F433" t="inlineStr">
        <is>
          <t>SERVICIO DE AYUDA Y ATENCIÓN HUMANITARIA</t>
        </is>
      </c>
      <c r="G433" t="inlineStr">
        <is>
          <t>2024546600067</t>
        </is>
      </c>
      <c r="H433" t="inlineStr">
        <is>
          <t>FORTALECIMIENTO PARA LA ATENCIÓN ASISTENCIA Y REPARACIÓN INTEGRAL A LAS VÍCTIMAS PDM UNIDOS SOMOS MÁS EN EL MUNICIPIO DE  SALAZAR</t>
        </is>
      </c>
      <c r="I433" t="inlineStr">
        <is>
          <t>91119</t>
        </is>
      </c>
      <c r="J433" t="inlineStr">
        <is>
          <t>Otros servicios de la administración pública n.c.p.</t>
        </is>
      </c>
      <c r="K433" t="inlineStr">
        <is>
          <t>00</t>
        </is>
      </c>
      <c r="L433" t="inlineStr">
        <is>
          <t>SIN ATRIBUTO</t>
        </is>
      </c>
      <c r="N433" t="inlineStr">
        <is>
          <t>2.3.2.02.02.009.41.11</t>
        </is>
      </c>
      <c r="O433" t="inlineStr">
        <is>
          <t>Servicio de ayuda y atención humanitaria</t>
        </is>
      </c>
      <c r="P433" t="inlineStr">
        <is>
          <t>119.1</t>
        </is>
      </c>
      <c r="Q433" t="inlineStr">
        <is>
          <t>RB PARTICIPACION DEGUELLO GANADO</t>
        </is>
      </c>
      <c r="R433" t="n">
        <v>0</v>
      </c>
      <c r="S433" t="n">
        <v>28049842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28049842</v>
      </c>
      <c r="Z433" t="n">
        <v>0</v>
      </c>
      <c r="AA433" t="n">
        <v>0</v>
      </c>
      <c r="AB433" t="n">
        <v>0</v>
      </c>
      <c r="AC433" t="n">
        <v>0</v>
      </c>
      <c r="AD433" t="n">
        <v>28049842</v>
      </c>
      <c r="AE433" t="n">
        <v>0</v>
      </c>
    </row>
    <row r="434">
      <c r="A434" t="inlineStr">
        <is>
          <t>1 - ADMINISTRACIÓN CENTRAL</t>
        </is>
      </c>
      <c r="B434" t="inlineStr">
        <is>
          <t>00 - SIN SECTOR</t>
        </is>
      </c>
      <c r="C434" t="inlineStr">
        <is>
          <t>00</t>
        </is>
      </c>
      <c r="D434" t="inlineStr">
        <is>
          <t>0000</t>
        </is>
      </c>
      <c r="E434" t="inlineStr">
        <is>
          <t>000000</t>
        </is>
      </c>
      <c r="F434" t="inlineStr">
        <is>
          <t>SIN PRODUCTO</t>
        </is>
      </c>
      <c r="G434" t="inlineStr">
        <is>
          <t>00</t>
        </is>
      </c>
      <c r="H434" t="inlineStr">
        <is>
          <t>00</t>
        </is>
      </c>
      <c r="I434" t="inlineStr">
        <is>
          <t>00</t>
        </is>
      </c>
      <c r="J434" t="inlineStr">
        <is>
          <t>SIN PRODUCTO DANE</t>
        </is>
      </c>
      <c r="K434" t="inlineStr">
        <is>
          <t>00</t>
        </is>
      </c>
      <c r="L434" t="inlineStr">
        <is>
          <t>SIN ATRIBUTO</t>
        </is>
      </c>
      <c r="N434" t="inlineStr">
        <is>
          <t>2.3.2.02.02.009.43</t>
        </is>
      </c>
      <c r="O434" t="inlineStr">
        <is>
          <t>DEPORTE</t>
        </is>
      </c>
      <c r="P434" t="inlineStr">
        <is>
          <t>00</t>
        </is>
      </c>
      <c r="Q434" t="inlineStr">
        <is>
          <t>RECURSOS</t>
        </is>
      </c>
      <c r="R434" t="n">
        <v>105100000</v>
      </c>
      <c r="S434" t="n">
        <v>33859033</v>
      </c>
      <c r="T434" t="n">
        <v>0</v>
      </c>
      <c r="U434" t="n">
        <v>0</v>
      </c>
      <c r="V434" t="n">
        <v>36400000</v>
      </c>
      <c r="W434" t="n">
        <v>0</v>
      </c>
      <c r="X434" t="n">
        <v>0</v>
      </c>
      <c r="Y434" t="n">
        <v>102559033</v>
      </c>
      <c r="Z434" t="n">
        <v>56029000</v>
      </c>
      <c r="AA434" t="n">
        <v>56029000</v>
      </c>
      <c r="AB434" t="n">
        <v>32203000</v>
      </c>
      <c r="AC434" t="n">
        <v>32203000</v>
      </c>
      <c r="AD434" t="n">
        <v>46530033</v>
      </c>
      <c r="AE434" t="n">
        <v>54.63</v>
      </c>
    </row>
    <row r="435">
      <c r="A435" t="inlineStr">
        <is>
          <t>1 - ADMINISTRACIÓN CENTRAL</t>
        </is>
      </c>
      <c r="B435" t="inlineStr">
        <is>
          <t>43 - DEPORTE Y RECREACIÓN</t>
        </is>
      </c>
      <c r="C435" t="inlineStr">
        <is>
          <t>1604</t>
        </is>
      </c>
      <c r="D435" t="inlineStr">
        <is>
          <t>4301</t>
        </is>
      </c>
      <c r="E435" t="inlineStr">
        <is>
          <t>4301007</t>
        </is>
      </c>
      <c r="F435" t="inlineStr">
        <is>
          <t>SERVICIO DE ESCUELAS DEPORTIVAS</t>
        </is>
      </c>
      <c r="G435" t="inlineStr">
        <is>
          <t>2024546600071</t>
        </is>
      </c>
      <c r="H435" t="inlineStr">
        <is>
          <t>APOYO PARA EL FOMENTO A LA RECREACIÓN LA ACTIVIDAD FÍSICA Y EL DEPORTE PDM UNIDOS SOMOS MÁS EN EL MUNICIPIO DE   SALAZAR</t>
        </is>
      </c>
      <c r="I435" t="inlineStr">
        <is>
          <t>92912</t>
        </is>
      </c>
      <c r="J435" t="inlineStr">
        <is>
          <t>Servicios de educación deportiva y de recreación</t>
        </is>
      </c>
      <c r="K435" t="inlineStr">
        <is>
          <t>00</t>
        </is>
      </c>
      <c r="L435" t="inlineStr">
        <is>
          <t>SIN ATRIBUTO</t>
        </is>
      </c>
      <c r="N435" t="inlineStr">
        <is>
          <t>2.3.2.02.02.009.43.01</t>
        </is>
      </c>
      <c r="O435" t="inlineStr">
        <is>
          <t>Servicio de Escuelas Deportivas</t>
        </is>
      </c>
      <c r="P435" t="inlineStr">
        <is>
          <t>380</t>
        </is>
      </c>
      <c r="Q435" t="inlineStr">
        <is>
          <t>SGP PROPOSITO GENERAL FORZOSA INVERSION DEPORTE SGP ONCE DOCEAVAS VIGENCIA ACTUAL MAS ULTIMA DOCEAVA VIGENCIA ANTERIOR</t>
        </is>
      </c>
      <c r="R435" t="n">
        <v>105000000</v>
      </c>
      <c r="S435" t="n">
        <v>0</v>
      </c>
      <c r="T435" t="n">
        <v>0</v>
      </c>
      <c r="U435" t="n">
        <v>0</v>
      </c>
      <c r="V435" t="n">
        <v>36400000</v>
      </c>
      <c r="W435" t="n">
        <v>0</v>
      </c>
      <c r="X435" t="n">
        <v>0</v>
      </c>
      <c r="Y435" t="n">
        <v>68600000</v>
      </c>
      <c r="Z435" t="n">
        <v>56029000</v>
      </c>
      <c r="AA435" t="n">
        <v>56029000</v>
      </c>
      <c r="AB435" t="n">
        <v>32203000</v>
      </c>
      <c r="AC435" t="n">
        <v>32203000</v>
      </c>
      <c r="AD435" t="n">
        <v>12571000</v>
      </c>
      <c r="AE435" t="n">
        <v>81.67</v>
      </c>
    </row>
    <row r="436">
      <c r="A436" t="inlineStr">
        <is>
          <t>1 - ADMINISTRACIÓN CENTRAL</t>
        </is>
      </c>
      <c r="B436" t="inlineStr">
        <is>
          <t>43 - DEPORTE Y RECREACIÓN</t>
        </is>
      </c>
      <c r="C436" t="inlineStr">
        <is>
          <t>1604</t>
        </is>
      </c>
      <c r="D436" t="inlineStr">
        <is>
          <t>4301</t>
        </is>
      </c>
      <c r="E436" t="inlineStr">
        <is>
          <t>4301007</t>
        </is>
      </c>
      <c r="F436" t="inlineStr">
        <is>
          <t>SERVICIO DE ESCUELAS DEPORTIVAS</t>
        </is>
      </c>
      <c r="G436" t="inlineStr">
        <is>
          <t>2024546600071</t>
        </is>
      </c>
      <c r="H436" t="inlineStr">
        <is>
          <t>APOYO PARA EL FOMENTO A LA RECREACIÓN LA ACTIVIDAD FÍSICA Y EL DEPORTE PDM UNIDOS SOMOS MÁS EN EL MUNICIPIO DE   SALAZAR</t>
        </is>
      </c>
      <c r="I436" t="inlineStr">
        <is>
          <t>92912</t>
        </is>
      </c>
      <c r="J436" t="inlineStr">
        <is>
          <t>Servicios de educación deportiva y de recreación</t>
        </is>
      </c>
      <c r="K436" t="inlineStr">
        <is>
          <t>00</t>
        </is>
      </c>
      <c r="L436" t="inlineStr">
        <is>
          <t>SIN ATRIBUTO</t>
        </is>
      </c>
      <c r="N436" t="inlineStr">
        <is>
          <t>2.3.2.02.02.009.43.02</t>
        </is>
      </c>
      <c r="O436" t="inlineStr">
        <is>
          <t>Servicio de Escuelas Deportivas</t>
        </is>
      </c>
      <c r="P436" t="inlineStr">
        <is>
          <t>430.1</t>
        </is>
      </c>
      <c r="Q436" t="inlineStr">
        <is>
          <t>SGP PROPOSITO GENERAL RENDIMIENTOS FINANCIEROS RB</t>
        </is>
      </c>
      <c r="R436" t="n">
        <v>100000</v>
      </c>
      <c r="S436" t="n">
        <v>33859033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33959033</v>
      </c>
      <c r="Z436" t="n">
        <v>0</v>
      </c>
      <c r="AA436" t="n">
        <v>0</v>
      </c>
      <c r="AB436" t="n">
        <v>0</v>
      </c>
      <c r="AC436" t="n">
        <v>0</v>
      </c>
      <c r="AD436" t="n">
        <v>33959033</v>
      </c>
      <c r="AE436" t="n">
        <v>0</v>
      </c>
    </row>
    <row r="437">
      <c r="A437" t="inlineStr">
        <is>
          <t>1 - ADMINISTRACIÓN CENTRAL</t>
        </is>
      </c>
      <c r="B437" t="inlineStr">
        <is>
          <t>00 - SIN SECTOR</t>
        </is>
      </c>
      <c r="C437" t="inlineStr">
        <is>
          <t>00</t>
        </is>
      </c>
      <c r="D437" t="inlineStr">
        <is>
          <t>0000</t>
        </is>
      </c>
      <c r="E437" t="inlineStr">
        <is>
          <t>000000</t>
        </is>
      </c>
      <c r="F437" t="inlineStr">
        <is>
          <t>SIN PRODUCTO</t>
        </is>
      </c>
      <c r="G437" t="inlineStr">
        <is>
          <t>00</t>
        </is>
      </c>
      <c r="H437" t="inlineStr">
        <is>
          <t>00</t>
        </is>
      </c>
      <c r="I437" t="inlineStr">
        <is>
          <t>00</t>
        </is>
      </c>
      <c r="J437" t="inlineStr">
        <is>
          <t>SIN PRODUCTO DANE</t>
        </is>
      </c>
      <c r="K437" t="inlineStr">
        <is>
          <t>00</t>
        </is>
      </c>
      <c r="L437" t="inlineStr">
        <is>
          <t>SIN ATRIBUTO</t>
        </is>
      </c>
      <c r="N437" t="inlineStr">
        <is>
          <t>2.3.2.02.02.009.45</t>
        </is>
      </c>
      <c r="O437" t="inlineStr">
        <is>
          <t>GOBIERNO TERRITORIAL</t>
        </is>
      </c>
      <c r="P437" t="inlineStr">
        <is>
          <t>00</t>
        </is>
      </c>
      <c r="Q437" t="inlineStr">
        <is>
          <t>RECURSOS</t>
        </is>
      </c>
      <c r="R437" t="n">
        <v>585159410</v>
      </c>
      <c r="S437" t="n">
        <v>492296291</v>
      </c>
      <c r="T437" t="n">
        <v>8316957</v>
      </c>
      <c r="U437" t="n">
        <v>0</v>
      </c>
      <c r="V437" t="n">
        <v>43900000</v>
      </c>
      <c r="W437" t="n">
        <v>0</v>
      </c>
      <c r="X437" t="n">
        <v>0</v>
      </c>
      <c r="Y437" t="n">
        <v>1025238744</v>
      </c>
      <c r="Z437" t="n">
        <v>490847794</v>
      </c>
      <c r="AA437" t="n">
        <v>490847794</v>
      </c>
      <c r="AB437" t="n">
        <v>258799594</v>
      </c>
      <c r="AC437" t="n">
        <v>258799594</v>
      </c>
      <c r="AD437" t="n">
        <v>534390950</v>
      </c>
      <c r="AE437" t="n">
        <v>47.88</v>
      </c>
    </row>
    <row r="438">
      <c r="A438" t="inlineStr">
        <is>
          <t>1 - ADMINISTRACIÓN CENTRAL</t>
        </is>
      </c>
      <c r="B438" t="inlineStr">
        <is>
          <t>45 - GOBIERNO TERRITORIAL</t>
        </is>
      </c>
      <c r="C438" t="inlineStr">
        <is>
          <t>1000</t>
        </is>
      </c>
      <c r="D438" t="inlineStr">
        <is>
          <t>4501</t>
        </is>
      </c>
      <c r="E438" t="inlineStr">
        <is>
          <t>4501029</t>
        </is>
      </c>
      <c r="F438" t="inlineStr">
        <is>
          <t>SERVICIO DE APOYO FINANCIERO PARA PROYECTOS DE CONVIVENCIA Y SEGURIDAD CIUDADANA</t>
        </is>
      </c>
      <c r="G438" t="inlineStr">
        <is>
          <t>2024546600072</t>
        </is>
      </c>
      <c r="H438" t="inlineStr">
        <is>
          <t>FORTALECIMIENTO DE LA CONVIVENCIA Y LA SEGURIDAD CIUDADANA PDM UNIDOS SOMOS MÁS EN EL MUNICIPIO DE  SALAZAR</t>
        </is>
      </c>
      <c r="I438" t="inlineStr">
        <is>
          <t>91290</t>
        </is>
      </c>
      <c r="J438" t="inlineStr">
        <is>
          <t>Servicios de la administración pública relacionados con otros asuntos de orden público y seguridad</t>
        </is>
      </c>
      <c r="K438" t="inlineStr">
        <is>
          <t>00</t>
        </is>
      </c>
      <c r="L438" t="inlineStr">
        <is>
          <t>SIN ATRIBUTO</t>
        </is>
      </c>
      <c r="N438" t="inlineStr">
        <is>
          <t>2.3.2.02.02.009.45.01</t>
        </is>
      </c>
      <c r="O438" t="inlineStr">
        <is>
          <t>Apoyo a proyecto de seguridad y convivencia ciudadana - FONSET</t>
        </is>
      </c>
      <c r="P438" t="inlineStr">
        <is>
          <t>676</t>
        </is>
      </c>
      <c r="Q438" t="inlineStr">
        <is>
          <t>Contribucion especial sobre contratos de obras publicas</t>
        </is>
      </c>
      <c r="R438" t="n">
        <v>58996857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58996857</v>
      </c>
      <c r="Z438" t="n">
        <v>0</v>
      </c>
      <c r="AA438" t="n">
        <v>0</v>
      </c>
      <c r="AB438" t="n">
        <v>0</v>
      </c>
      <c r="AC438" t="n">
        <v>0</v>
      </c>
      <c r="AD438" t="n">
        <v>58996857</v>
      </c>
      <c r="AE438" t="n">
        <v>0</v>
      </c>
    </row>
    <row r="439">
      <c r="A439" t="inlineStr">
        <is>
          <t>1 - ADMINISTRACIÓN CENTRAL</t>
        </is>
      </c>
      <c r="B439" t="inlineStr">
        <is>
          <t>45 - GOBIERNO TERRITORIAL</t>
        </is>
      </c>
      <c r="C439" t="inlineStr">
        <is>
          <t>1000</t>
        </is>
      </c>
      <c r="D439" t="inlineStr">
        <is>
          <t>4501</t>
        </is>
      </c>
      <c r="E439" t="inlineStr">
        <is>
          <t>4501029</t>
        </is>
      </c>
      <c r="F439" t="inlineStr">
        <is>
          <t>SERVICIO DE APOYO FINANCIERO PARA PROYECTOS DE CONVIVENCIA Y SEGURIDAD CIUDADANA</t>
        </is>
      </c>
      <c r="G439" t="inlineStr">
        <is>
          <t>2024546600072</t>
        </is>
      </c>
      <c r="H439" t="inlineStr">
        <is>
          <t>FORTALECIMIENTO DE LA CONVIVENCIA Y LA SEGURIDAD CIUDADANA PDM UNIDOS SOMOS MÁS EN EL MUNICIPIO DE  SALAZAR</t>
        </is>
      </c>
      <c r="I439" t="inlineStr">
        <is>
          <t>91290</t>
        </is>
      </c>
      <c r="J439" t="inlineStr">
        <is>
          <t>Servicios de la administración pública relacionados con otros asuntos de orden público y seguridad</t>
        </is>
      </c>
      <c r="K439" t="inlineStr">
        <is>
          <t>00</t>
        </is>
      </c>
      <c r="L439" t="inlineStr">
        <is>
          <t>SIN ATRIBUTO</t>
        </is>
      </c>
      <c r="N439" t="inlineStr">
        <is>
          <t>2.3.2.02.02.009.45.02</t>
        </is>
      </c>
      <c r="O439" t="inlineStr">
        <is>
          <t>Apoyo a proyecto de seguridad y convivencia ciudadana - FONSET</t>
        </is>
      </c>
      <c r="P439" t="inlineStr">
        <is>
          <t>676.2</t>
        </is>
      </c>
      <c r="Q439" t="inlineStr">
        <is>
          <t>RF Contribución de Seguridad</t>
        </is>
      </c>
      <c r="R439" t="n">
        <v>100000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100000</v>
      </c>
      <c r="Z439" t="n">
        <v>0</v>
      </c>
      <c r="AA439" t="n">
        <v>0</v>
      </c>
      <c r="AB439" t="n">
        <v>0</v>
      </c>
      <c r="AC439" t="n">
        <v>0</v>
      </c>
      <c r="AD439" t="n">
        <v>100000</v>
      </c>
      <c r="AE439" t="n">
        <v>0</v>
      </c>
    </row>
    <row r="440">
      <c r="A440" t="inlineStr">
        <is>
          <t>1 - ADMINISTRACIÓN CENTRAL</t>
        </is>
      </c>
      <c r="B440" t="inlineStr">
        <is>
          <t>45 - GOBIERNO TERRITORIAL</t>
        </is>
      </c>
      <c r="C440" t="inlineStr">
        <is>
          <t>1000</t>
        </is>
      </c>
      <c r="D440" t="inlineStr">
        <is>
          <t>4501</t>
        </is>
      </c>
      <c r="E440" t="inlineStr">
        <is>
          <t>4501029</t>
        </is>
      </c>
      <c r="F440" t="inlineStr">
        <is>
          <t>SERVICIO DE APOYO FINANCIERO PARA PROYECTOS DE CONVIVENCIA Y SEGURIDAD CIUDADANA</t>
        </is>
      </c>
      <c r="G440" t="inlineStr">
        <is>
          <t>2024546600072</t>
        </is>
      </c>
      <c r="H440" t="inlineStr">
        <is>
          <t>FORTALECIMIENTO DE LA CONVIVENCIA Y LA SEGURIDAD CIUDADANA PDM UNIDOS SOMOS MÁS EN EL MUNICIPIO DE  SALAZAR</t>
        </is>
      </c>
      <c r="I440" t="inlineStr">
        <is>
          <t>91290</t>
        </is>
      </c>
      <c r="J440" t="inlineStr">
        <is>
          <t>Servicios de la administración pública relacionados con otros asuntos de orden público y seguridad</t>
        </is>
      </c>
      <c r="K440" t="inlineStr">
        <is>
          <t>00</t>
        </is>
      </c>
      <c r="L440" t="inlineStr">
        <is>
          <t>SIN ATRIBUTO</t>
        </is>
      </c>
      <c r="N440" t="inlineStr">
        <is>
          <t>2.3.2.02.02.009.45.03</t>
        </is>
      </c>
      <c r="O440" t="inlineStr">
        <is>
          <t>Programas de cultura ciudadana MULTAS CÓDIGO DE POLICIA</t>
        </is>
      </c>
      <c r="P440" t="inlineStr">
        <is>
          <t>138</t>
        </is>
      </c>
      <c r="Q440" t="inlineStr">
        <is>
          <t>MULTAS CODIGO POLICIA</t>
        </is>
      </c>
      <c r="R440" t="n">
        <v>900000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900000</v>
      </c>
      <c r="Z440" t="n">
        <v>0</v>
      </c>
      <c r="AA440" t="n">
        <v>0</v>
      </c>
      <c r="AB440" t="n">
        <v>0</v>
      </c>
      <c r="AC440" t="n">
        <v>0</v>
      </c>
      <c r="AD440" t="n">
        <v>900000</v>
      </c>
      <c r="AE440" t="n">
        <v>0</v>
      </c>
    </row>
    <row r="441">
      <c r="A441" t="inlineStr">
        <is>
          <t>1 - ADMINISTRACIÓN CENTRAL</t>
        </is>
      </c>
      <c r="B441" t="inlineStr">
        <is>
          <t>45 - GOBIERNO TERRITORIAL</t>
        </is>
      </c>
      <c r="C441" t="inlineStr">
        <is>
          <t>1000</t>
        </is>
      </c>
      <c r="D441" t="inlineStr">
        <is>
          <t>4501</t>
        </is>
      </c>
      <c r="E441" t="inlineStr">
        <is>
          <t>4501063</t>
        </is>
      </c>
      <c r="F441" t="inlineStr">
        <is>
          <t>SERVICIO DE APOYO FINANCIERO PARA LA ATENCIÓN INTEGRAL DE ANIMALES</t>
        </is>
      </c>
      <c r="G441" t="inlineStr">
        <is>
          <t>2024546600072</t>
        </is>
      </c>
      <c r="H441" t="inlineStr">
        <is>
          <t>FORTALECIMIENTO DE LA CONVIVENCIA Y LA SEGURIDAD CIUDADANA PDM UNIDOS SOMOS MÁS EN EL MUNICIPIO DE  SALAZAR</t>
        </is>
      </c>
      <c r="I441" t="inlineStr">
        <is>
          <t>91119</t>
        </is>
      </c>
      <c r="J441" t="inlineStr">
        <is>
          <t>Otros servicios de la administración pública n.c.p.</t>
        </is>
      </c>
      <c r="K441" t="inlineStr">
        <is>
          <t>00</t>
        </is>
      </c>
      <c r="L441" t="inlineStr">
        <is>
          <t>SIN ATRIBUTO</t>
        </is>
      </c>
      <c r="N441" t="inlineStr">
        <is>
          <t>2.3.2.02.02.009.45.04</t>
        </is>
      </c>
      <c r="O441" t="inlineStr">
        <is>
          <t>Servicio de apoyo financiero para la atención integral de animales</t>
        </is>
      </c>
      <c r="P441" t="inlineStr">
        <is>
          <t>360</t>
        </is>
      </c>
      <c r="Q441" t="inlineStr">
        <is>
          <t>SGP PROPOSITO GENERAL 42 POR CIENTO RECURSOS LIBRE DESTINACION SGP PROPOSITO GENERAL MPIOS DE CATEGORIA 4 5 Y 6 SGP ONCE</t>
        </is>
      </c>
      <c r="R441" t="n">
        <v>10000000</v>
      </c>
      <c r="S441" t="n">
        <v>0</v>
      </c>
      <c r="T441" t="n">
        <v>6900000</v>
      </c>
      <c r="U441" t="n">
        <v>0</v>
      </c>
      <c r="V441" t="n">
        <v>0</v>
      </c>
      <c r="W441" t="n">
        <v>0</v>
      </c>
      <c r="X441" t="n">
        <v>0</v>
      </c>
      <c r="Y441" t="n">
        <v>3100000</v>
      </c>
      <c r="Z441" t="n">
        <v>3100000</v>
      </c>
      <c r="AA441" t="n">
        <v>3100000</v>
      </c>
      <c r="AB441" t="n">
        <v>3100000</v>
      </c>
      <c r="AC441" t="n">
        <v>3100000</v>
      </c>
      <c r="AD441" t="n">
        <v>0</v>
      </c>
      <c r="AE441" t="n">
        <v>100</v>
      </c>
    </row>
    <row r="442">
      <c r="A442" t="inlineStr">
        <is>
          <t>1 - ADMINISTRACIÓN CENTRAL</t>
        </is>
      </c>
      <c r="B442" t="inlineStr">
        <is>
          <t>45 - GOBIERNO TERRITORIAL</t>
        </is>
      </c>
      <c r="C442" t="inlineStr">
        <is>
          <t>1000</t>
        </is>
      </c>
      <c r="D442" t="inlineStr">
        <is>
          <t>4502</t>
        </is>
      </c>
      <c r="E442" t="inlineStr">
        <is>
          <t>4502022</t>
        </is>
      </c>
      <c r="F442" t="inlineStr">
        <is>
          <t>SERVICIO DE ASISTENCIA TÉCNICA</t>
        </is>
      </c>
      <c r="G442" t="inlineStr">
        <is>
          <t>2024546600073</t>
        </is>
      </c>
      <c r="H442" t="inlineStr">
        <is>
          <t>SERVICIO DE PROMOCIÓN DE LA PARTICIPACIÓN CIUDADANA PDM UNIDOS SOMOS MÁS EN EL MUNICIPIO DE  SALAZAR</t>
        </is>
      </c>
      <c r="I442" t="inlineStr">
        <is>
          <t>91119</t>
        </is>
      </c>
      <c r="J442" t="inlineStr">
        <is>
          <t>Otros servicios de la administración pública n.c.p.</t>
        </is>
      </c>
      <c r="K442" t="inlineStr">
        <is>
          <t>00</t>
        </is>
      </c>
      <c r="L442" t="inlineStr">
        <is>
          <t>SIN ATRIBUTO</t>
        </is>
      </c>
      <c r="N442" t="inlineStr">
        <is>
          <t>2.3.2.02.02.009.45.05</t>
        </is>
      </c>
      <c r="O442" t="inlineStr">
        <is>
          <t>Servicio de asistencia técnica en el sector comunitario</t>
        </is>
      </c>
      <c r="P442" t="inlineStr">
        <is>
          <t>420</t>
        </is>
      </c>
      <c r="Q442" t="inlineStr">
        <is>
          <t>SGP PROPOSITO GENERAL FORZOSA INVERSION LIBRE INVERSIÓN SGP ONCE DOCEAVAS VIGENCIA ACTUAL MAS ULTIMA DOCEAVA VIGENCIA AN</t>
        </is>
      </c>
      <c r="R442" t="n">
        <v>50000000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50000000</v>
      </c>
      <c r="Z442" t="n">
        <v>25930666</v>
      </c>
      <c r="AA442" t="n">
        <v>25930666</v>
      </c>
      <c r="AB442" t="n">
        <v>21162666</v>
      </c>
      <c r="AC442" t="n">
        <v>21162666</v>
      </c>
      <c r="AD442" t="n">
        <v>24069334</v>
      </c>
      <c r="AE442" t="n">
        <v>51.86</v>
      </c>
    </row>
    <row r="443">
      <c r="A443" t="inlineStr">
        <is>
          <t>1 - ADMINISTRACIÓN CENTRAL</t>
        </is>
      </c>
      <c r="B443" t="inlineStr">
        <is>
          <t>45 - GOBIERNO TERRITORIAL</t>
        </is>
      </c>
      <c r="C443" t="inlineStr">
        <is>
          <t>1000</t>
        </is>
      </c>
      <c r="D443" t="inlineStr">
        <is>
          <t>4503</t>
        </is>
      </c>
      <c r="E443" t="inlineStr">
        <is>
          <t>4503003</t>
        </is>
      </c>
      <c r="F443" t="inlineStr">
        <is>
          <t>SERVICIO DE ASISTENCIA TÉCNICA</t>
        </is>
      </c>
      <c r="G443" t="inlineStr">
        <is>
          <t>2024546600074</t>
        </is>
      </c>
      <c r="H443" t="inlineStr">
        <is>
          <t>FORTALECIMIENTO PARA LA GESTIÓN DEL RIESGO DE DESASTRES Y EMERGENCIAS DEL MUNICIPIO DE  SALAZAR</t>
        </is>
      </c>
      <c r="I443" t="inlineStr">
        <is>
          <t>91119</t>
        </is>
      </c>
      <c r="J443" t="inlineStr">
        <is>
          <t>Otros servicios de la administración pública n.c.p.</t>
        </is>
      </c>
      <c r="K443" t="inlineStr">
        <is>
          <t>00</t>
        </is>
      </c>
      <c r="L443" t="inlineStr">
        <is>
          <t>SIN ATRIBUTO</t>
        </is>
      </c>
      <c r="N443" t="inlineStr">
        <is>
          <t>2.3.2.02.02.009.45.06</t>
        </is>
      </c>
      <c r="O443" t="inlineStr">
        <is>
          <t>Servicio de asistencia técnica en la Gestión del riesgo</t>
        </is>
      </c>
      <c r="P443" t="inlineStr">
        <is>
          <t>420</t>
        </is>
      </c>
      <c r="Q443" t="inlineStr">
        <is>
          <t>SGP PROPOSITO GENERAL FORZOSA INVERSION LIBRE INVERSIÓN SGP ONCE DOCEAVAS VIGENCIA ACTUAL MAS ULTIMA DOCEAVA VIGENCIA AN</t>
        </is>
      </c>
      <c r="R443" t="n">
        <v>80000000</v>
      </c>
      <c r="S443" t="n">
        <v>0</v>
      </c>
      <c r="T443" t="n">
        <v>0</v>
      </c>
      <c r="U443" t="n">
        <v>0</v>
      </c>
      <c r="V443" t="n">
        <v>20000000</v>
      </c>
      <c r="W443" t="n">
        <v>0</v>
      </c>
      <c r="X443" t="n">
        <v>0</v>
      </c>
      <c r="Y443" t="n">
        <v>60000000</v>
      </c>
      <c r="Z443" t="n">
        <v>51597332</v>
      </c>
      <c r="AA443" t="n">
        <v>51597332</v>
      </c>
      <c r="AB443" t="n">
        <v>42429332</v>
      </c>
      <c r="AC443" t="n">
        <v>42429332</v>
      </c>
      <c r="AD443" t="n">
        <v>8402668</v>
      </c>
      <c r="AE443" t="n">
        <v>86</v>
      </c>
    </row>
    <row r="444">
      <c r="A444" t="inlineStr">
        <is>
          <t>1 - ADMINISTRACIÓN CENTRAL</t>
        </is>
      </c>
      <c r="B444" t="inlineStr">
        <is>
          <t>45 - GOBIERNO TERRITORIAL</t>
        </is>
      </c>
      <c r="C444" t="inlineStr">
        <is>
          <t>1000</t>
        </is>
      </c>
      <c r="D444" t="inlineStr">
        <is>
          <t>4599</t>
        </is>
      </c>
      <c r="E444" t="inlineStr">
        <is>
          <t>4599031</t>
        </is>
      </c>
      <c r="F444" t="inlineStr">
        <is>
          <t>SERVICIO DE ASISTENCIA TÉCNICA</t>
        </is>
      </c>
      <c r="G444" t="inlineStr">
        <is>
          <t>2024546600075</t>
        </is>
      </c>
      <c r="H444" t="inlineStr">
        <is>
          <t>FORTALECIMIENTO A LA GESTIÓN Y DIRECCIÓN DE LA ADMINISTRACIÓN PÚBLICA TERRITORIAL PDM UNIDOS SOMOS MÁS EN EL MUNICIPIO DE  SALAZAR</t>
        </is>
      </c>
      <c r="I444" t="inlineStr">
        <is>
          <t>91119</t>
        </is>
      </c>
      <c r="J444" t="inlineStr">
        <is>
          <t>Otros servicios de la administración pública n.c.p.</t>
        </is>
      </c>
      <c r="K444" t="inlineStr">
        <is>
          <t>00</t>
        </is>
      </c>
      <c r="L444" t="inlineStr">
        <is>
          <t>SIN ATRIBUTO</t>
        </is>
      </c>
      <c r="N444" t="inlineStr">
        <is>
          <t>2.3.2.02.02.009.45.07</t>
        </is>
      </c>
      <c r="O444" t="inlineStr">
        <is>
          <t>Servicio de asistencia técnica gobierno territorial</t>
        </is>
      </c>
      <c r="P444" t="inlineStr">
        <is>
          <t>360</t>
        </is>
      </c>
      <c r="Q444" t="inlineStr">
        <is>
          <t>SGP PROPOSITO GENERAL 42 POR CIENTO RECURSOS LIBRE DESTINACION SGP PROPOSITO GENERAL MPIOS DE CATEGORIA 4 5 Y 6 SGP ONCE</t>
        </is>
      </c>
      <c r="R444" t="n">
        <v>349062553</v>
      </c>
      <c r="S444" t="n">
        <v>0</v>
      </c>
      <c r="T444" t="n">
        <v>1416957</v>
      </c>
      <c r="U444" t="n">
        <v>0</v>
      </c>
      <c r="V444" t="n">
        <v>0</v>
      </c>
      <c r="W444" t="n">
        <v>0</v>
      </c>
      <c r="X444" t="n">
        <v>0</v>
      </c>
      <c r="Y444" t="n">
        <v>347645596</v>
      </c>
      <c r="Z444" t="n">
        <v>347645596</v>
      </c>
      <c r="AA444" t="n">
        <v>347645596</v>
      </c>
      <c r="AB444" t="n">
        <v>181207596</v>
      </c>
      <c r="AC444" t="n">
        <v>181207596</v>
      </c>
      <c r="AD444" t="n">
        <v>0</v>
      </c>
      <c r="AE444" t="n">
        <v>100</v>
      </c>
    </row>
    <row r="445">
      <c r="A445" t="inlineStr">
        <is>
          <t>1 - ADMINISTRACIÓN CENTRAL</t>
        </is>
      </c>
      <c r="B445" t="inlineStr">
        <is>
          <t>45 - GOBIERNO TERRITORIAL</t>
        </is>
      </c>
      <c r="C445" t="inlineStr">
        <is>
          <t>1000</t>
        </is>
      </c>
      <c r="D445" t="inlineStr">
        <is>
          <t>4599</t>
        </is>
      </c>
      <c r="E445" t="inlineStr">
        <is>
          <t>4599031</t>
        </is>
      </c>
      <c r="F445" t="inlineStr">
        <is>
          <t>SERVICIO DE ASISTENCIA TÉCNICA</t>
        </is>
      </c>
      <c r="G445" t="inlineStr">
        <is>
          <t>2024546600075</t>
        </is>
      </c>
      <c r="H445" t="inlineStr">
        <is>
          <t>FORTALECIMIENTO A LA GESTIÓN Y DIRECCIÓN DE LA ADMINISTRACIÓN PÚBLICA TERRITORIAL PDM UNIDOS SOMOS MÁS EN EL MUNICIPIO DE  SALAZAR</t>
        </is>
      </c>
      <c r="I445" t="inlineStr">
        <is>
          <t>91119</t>
        </is>
      </c>
      <c r="J445" t="inlineStr">
        <is>
          <t>Otros servicios de la administración pública n.c.p.</t>
        </is>
      </c>
      <c r="K445" t="inlineStr">
        <is>
          <t>00</t>
        </is>
      </c>
      <c r="L445" t="inlineStr">
        <is>
          <t>SIN ATRIBUTO</t>
        </is>
      </c>
      <c r="N445" t="inlineStr">
        <is>
          <t>2.3.2.02.02.009.45.08</t>
        </is>
      </c>
      <c r="O445" t="inlineStr">
        <is>
          <t>Servicio de asistencia técnica gobierno territorial</t>
        </is>
      </c>
      <c r="P445" t="inlineStr">
        <is>
          <t>670</t>
        </is>
      </c>
      <c r="Q445" t="inlineStr">
        <is>
          <t>OTROS RECURSOS DE CAPITAL. RENDIMIENTOS FINANCIEROS VENTA DE ACTIVOS DONACIONES RECURSOS DE BALANCE DE INGRESOS CORRIENT</t>
        </is>
      </c>
      <c r="R445" t="n">
        <v>100000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100000</v>
      </c>
      <c r="Z445" t="n">
        <v>0</v>
      </c>
      <c r="AA445" t="n">
        <v>0</v>
      </c>
      <c r="AB445" t="n">
        <v>0</v>
      </c>
      <c r="AC445" t="n">
        <v>0</v>
      </c>
      <c r="AD445" t="n">
        <v>100000</v>
      </c>
      <c r="AE445" t="n">
        <v>0</v>
      </c>
    </row>
    <row r="446">
      <c r="A446" t="inlineStr">
        <is>
          <t>1 - ADMINISTRACIÓN CENTRAL</t>
        </is>
      </c>
      <c r="B446" t="inlineStr">
        <is>
          <t>45 - GOBIERNO TERRITORIAL</t>
        </is>
      </c>
      <c r="C446" t="inlineStr">
        <is>
          <t>1000</t>
        </is>
      </c>
      <c r="D446" t="inlineStr">
        <is>
          <t>4599</t>
        </is>
      </c>
      <c r="E446" t="inlineStr">
        <is>
          <t>4599033</t>
        </is>
      </c>
      <c r="F446" t="inlineStr">
        <is>
          <t>SERVICIO DE INFORMACIÓN PARA EL REGISTRO ADMINISTRATIVO DE SISBEN</t>
        </is>
      </c>
      <c r="G446" t="inlineStr">
        <is>
          <t>2024546600075</t>
        </is>
      </c>
      <c r="H446" t="inlineStr">
        <is>
          <t>FORTALECIMIENTO A LA GESTIÓN Y DIRECCIÓN DE LA ADMINISTRACIÓN PÚBLICA TERRITORIAL PDM UNIDOS SOMOS MÁS EN EL MUNICIPIO DE  SALAZAR</t>
        </is>
      </c>
      <c r="I446" t="inlineStr">
        <is>
          <t>91119</t>
        </is>
      </c>
      <c r="J446" t="inlineStr">
        <is>
          <t>Otros servicios de la administración pública n.c.p.</t>
        </is>
      </c>
      <c r="K446" t="inlineStr">
        <is>
          <t>00</t>
        </is>
      </c>
      <c r="L446" t="inlineStr">
        <is>
          <t>SIN ATRIBUTO</t>
        </is>
      </c>
      <c r="N446" t="inlineStr">
        <is>
          <t>2.3.2.02.02.009.45.09</t>
        </is>
      </c>
      <c r="O446" t="inlineStr">
        <is>
          <t>Servicio de informacion para el registro administrativo de SISBEN</t>
        </is>
      </c>
      <c r="P446" t="inlineStr">
        <is>
          <t>360</t>
        </is>
      </c>
      <c r="Q446" t="inlineStr">
        <is>
          <t>SGP PROPOSITO GENERAL 42 POR CIENTO RECURSOS LIBRE DESTINACION SGP PROPOSITO GENERAL MPIOS DE CATEGORIA 4 5 Y 6 SGP ONCE</t>
        </is>
      </c>
      <c r="R446" t="n">
        <v>24000000</v>
      </c>
      <c r="S446" t="n">
        <v>0</v>
      </c>
      <c r="T446" t="n">
        <v>0</v>
      </c>
      <c r="U446" t="n">
        <v>0</v>
      </c>
      <c r="V446" t="n">
        <v>11900000</v>
      </c>
      <c r="W446" t="n">
        <v>0</v>
      </c>
      <c r="X446" t="n">
        <v>0</v>
      </c>
      <c r="Y446" t="n">
        <v>12100000</v>
      </c>
      <c r="Z446" t="n">
        <v>12100000</v>
      </c>
      <c r="AA446" t="n">
        <v>12100000</v>
      </c>
      <c r="AB446" t="n">
        <v>9900000</v>
      </c>
      <c r="AC446" t="n">
        <v>9900000</v>
      </c>
      <c r="AD446" t="n">
        <v>0</v>
      </c>
      <c r="AE446" t="n">
        <v>100</v>
      </c>
    </row>
    <row r="447">
      <c r="A447" t="inlineStr">
        <is>
          <t>1 - ADMINISTRACIÓN CENTRAL</t>
        </is>
      </c>
      <c r="B447" t="inlineStr">
        <is>
          <t>45 - GOBIERNO TERRITORIAL</t>
        </is>
      </c>
      <c r="C447" t="inlineStr">
        <is>
          <t>1000</t>
        </is>
      </c>
      <c r="D447" t="inlineStr">
        <is>
          <t>4501</t>
        </is>
      </c>
      <c r="E447" t="inlineStr">
        <is>
          <t>4501029</t>
        </is>
      </c>
      <c r="F447" t="inlineStr">
        <is>
          <t>SERVICIO DE APOYO FINANCIERO PARA PROYECTOS DE CONVIVENCIA Y SEGURIDAD CIUDADANA</t>
        </is>
      </c>
      <c r="G447" t="inlineStr">
        <is>
          <t>2024546600072</t>
        </is>
      </c>
      <c r="H447" t="inlineStr">
        <is>
          <t>FORTALECIMIENTO DE LA CONVIVENCIA Y LA SEGURIDAD CIUDADANA PDM UNIDOS SOMOS MÁS EN EL MUNICIPIO DE  SALAZAR</t>
        </is>
      </c>
      <c r="I447" t="inlineStr">
        <is>
          <t>91290</t>
        </is>
      </c>
      <c r="J447" t="inlineStr">
        <is>
          <t>Servicios de la administración pública relacionados con otros asuntos de orden público y seguridad</t>
        </is>
      </c>
      <c r="K447" t="inlineStr">
        <is>
          <t>00</t>
        </is>
      </c>
      <c r="L447" t="inlineStr">
        <is>
          <t>SIN ATRIBUTO</t>
        </is>
      </c>
      <c r="N447" t="inlineStr">
        <is>
          <t>2.3.2.02.02.009.45.10</t>
        </is>
      </c>
      <c r="O447" t="inlineStr">
        <is>
          <t>Apoyo a proyecto de seguridad y convivencia ciudadana - FONSET</t>
        </is>
      </c>
      <c r="P447" t="inlineStr">
        <is>
          <t>676.1</t>
        </is>
      </c>
      <c r="Q447" t="inlineStr">
        <is>
          <t>BALANCE CONTRIBUCIÓN SOBRE CONTRATOS DE OBRAS PÚBLICAS</t>
        </is>
      </c>
      <c r="R447" t="n">
        <v>0</v>
      </c>
      <c r="S447" t="n">
        <v>271982093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271982093</v>
      </c>
      <c r="Z447" t="n">
        <v>49000000</v>
      </c>
      <c r="AA447" t="n">
        <v>49000000</v>
      </c>
      <c r="AB447" t="n">
        <v>0</v>
      </c>
      <c r="AC447" t="n">
        <v>0</v>
      </c>
      <c r="AD447" t="n">
        <v>222982093</v>
      </c>
      <c r="AE447" t="n">
        <v>18.02</v>
      </c>
    </row>
    <row r="448">
      <c r="A448" t="inlineStr">
        <is>
          <t>1 - ADMINISTRACIÓN CENTRAL</t>
        </is>
      </c>
      <c r="B448" t="inlineStr">
        <is>
          <t>45 - GOBIERNO TERRITORIAL</t>
        </is>
      </c>
      <c r="C448" t="inlineStr">
        <is>
          <t>1000</t>
        </is>
      </c>
      <c r="D448" t="inlineStr">
        <is>
          <t>4599</t>
        </is>
      </c>
      <c r="E448" t="inlineStr">
        <is>
          <t>4599007</t>
        </is>
      </c>
      <c r="F448" t="inlineStr">
        <is>
          <t>SERVICIOS TECNOLÓGICOS</t>
        </is>
      </c>
      <c r="G448" t="inlineStr">
        <is>
          <t>2024546600075</t>
        </is>
      </c>
      <c r="H448" t="inlineStr">
        <is>
          <t>FORTALECIMIENTO A LA GESTIÓN Y DIRECCIÓN DE LA ADMINISTRACIÓN PÚBLICA TERRITORIAL PDM UNIDOS SOMOS MÁS EN EL MUNICIPIO DE  SALAZAR</t>
        </is>
      </c>
      <c r="I448" t="inlineStr">
        <is>
          <t>91119</t>
        </is>
      </c>
      <c r="J448" t="inlineStr">
        <is>
          <t>Otros servicios de la administración pública n.c.p.</t>
        </is>
      </c>
      <c r="K448" t="inlineStr">
        <is>
          <t>00</t>
        </is>
      </c>
      <c r="L448" t="inlineStr">
        <is>
          <t>SIN ATRIBUTO</t>
        </is>
      </c>
      <c r="N448" t="inlineStr">
        <is>
          <t>2.3.2.02.02.009.45.10</t>
        </is>
      </c>
      <c r="O448" t="inlineStr">
        <is>
          <t>Servicio de informacion para el registro administrativo de SISBEN</t>
        </is>
      </c>
      <c r="P448" t="inlineStr">
        <is>
          <t>360</t>
        </is>
      </c>
      <c r="Q448" t="inlineStr">
        <is>
          <t>SGP PROPOSITO GENERAL 42 POR CIENTO RECURSOS LIBRE DESTINACION SGP PROPOSITO GENERAL MPIOS DE CATEGORIA 4 5 Y 6 SGP ONCE</t>
        </is>
      </c>
      <c r="R448" t="n">
        <v>12000000</v>
      </c>
      <c r="S448" t="n">
        <v>0</v>
      </c>
      <c r="T448" t="n">
        <v>0</v>
      </c>
      <c r="U448" t="n">
        <v>0</v>
      </c>
      <c r="V448" t="n">
        <v>12000000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</row>
    <row r="449">
      <c r="A449" t="inlineStr">
        <is>
          <t>1 - ADMINISTRACIÓN CENTRAL</t>
        </is>
      </c>
      <c r="B449" t="inlineStr">
        <is>
          <t>45 - GOBIERNO TERRITORIAL</t>
        </is>
      </c>
      <c r="C449" t="inlineStr">
        <is>
          <t>1000</t>
        </is>
      </c>
      <c r="D449" t="inlineStr">
        <is>
          <t>4501</t>
        </is>
      </c>
      <c r="E449" t="inlineStr">
        <is>
          <t>4501029</t>
        </is>
      </c>
      <c r="F449" t="inlineStr">
        <is>
          <t>SERVICIO DE APOYO FINANCIERO PARA PROYECTOS DE CONVIVENCIA Y SEGURIDAD CIUDADANA</t>
        </is>
      </c>
      <c r="G449" t="inlineStr">
        <is>
          <t>2024546600072</t>
        </is>
      </c>
      <c r="H449" t="inlineStr">
        <is>
          <t>FORTALECIMIENTO DE LA CONVIVENCIA Y LA SEGURIDAD CIUDADANA PDM UNIDOS SOMOS MÁS EN EL MUNICIPIO DE  SALAZAR</t>
        </is>
      </c>
      <c r="I449" t="inlineStr">
        <is>
          <t>91290</t>
        </is>
      </c>
      <c r="J449" t="inlineStr">
        <is>
          <t>Servicios de la administración pública relacionados con otros asuntos de orden público y seguridad</t>
        </is>
      </c>
      <c r="K449" t="inlineStr">
        <is>
          <t>00</t>
        </is>
      </c>
      <c r="L449" t="inlineStr">
        <is>
          <t>SIN ATRIBUTO</t>
        </is>
      </c>
      <c r="N449" t="inlineStr">
        <is>
          <t>2.3.2.02.02.009.45.11</t>
        </is>
      </c>
      <c r="O449" t="inlineStr">
        <is>
          <t>Programas de cultura ciudadana MULTAS CÓDIGO DE POLICIA</t>
        </is>
      </c>
      <c r="P449" t="inlineStr">
        <is>
          <t>138.1</t>
        </is>
      </c>
      <c r="Q449" t="inlineStr">
        <is>
          <t>RB MULTAS CODIGO DE POLICIA</t>
        </is>
      </c>
      <c r="R449" t="n">
        <v>0</v>
      </c>
      <c r="S449" t="n">
        <v>1607177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1607177</v>
      </c>
      <c r="Z449" t="n">
        <v>0</v>
      </c>
      <c r="AA449" t="n">
        <v>0</v>
      </c>
      <c r="AB449" t="n">
        <v>0</v>
      </c>
      <c r="AC449" t="n">
        <v>0</v>
      </c>
      <c r="AD449" t="n">
        <v>1607177</v>
      </c>
      <c r="AE449" t="n">
        <v>0</v>
      </c>
    </row>
    <row r="450">
      <c r="A450" t="inlineStr">
        <is>
          <t>1 - ADMINISTRACIÓN CENTRAL</t>
        </is>
      </c>
      <c r="B450" t="inlineStr">
        <is>
          <t>45 - GOBIERNO TERRITORIAL</t>
        </is>
      </c>
      <c r="C450" t="inlineStr">
        <is>
          <t>1000</t>
        </is>
      </c>
      <c r="D450" t="inlineStr">
        <is>
          <t>4503</t>
        </is>
      </c>
      <c r="E450" t="inlineStr">
        <is>
          <t>4503003</t>
        </is>
      </c>
      <c r="F450" t="inlineStr">
        <is>
          <t>SERVICIO DE ASISTENCIA TÉCNICA</t>
        </is>
      </c>
      <c r="G450" t="inlineStr">
        <is>
          <t>2024546600074</t>
        </is>
      </c>
      <c r="H450" t="inlineStr">
        <is>
          <t>FORTALECIMIENTO PARA LA GESTIÓN DEL RIESGO DE DESASTRES Y EMERGENCIAS DEL MUNICIPIO DE  SALAZAR</t>
        </is>
      </c>
      <c r="I450" t="inlineStr">
        <is>
          <t>91119</t>
        </is>
      </c>
      <c r="J450" t="inlineStr">
        <is>
          <t>Otros servicios de la administración pública n.c.p.</t>
        </is>
      </c>
      <c r="K450" t="inlineStr">
        <is>
          <t>00</t>
        </is>
      </c>
      <c r="L450" t="inlineStr">
        <is>
          <t>SIN ATRIBUTO</t>
        </is>
      </c>
      <c r="N450" t="inlineStr">
        <is>
          <t>2.3.2.02.02.009.45.12</t>
        </is>
      </c>
      <c r="O450" t="inlineStr">
        <is>
          <t>Servicio de asistencia técnica en la Gestión del riesgo</t>
        </is>
      </c>
      <c r="P450" t="inlineStr">
        <is>
          <t>24.2</t>
        </is>
      </c>
      <c r="Q450" t="inlineStr">
        <is>
          <t>RB CONTRIBUCION GESTION DEL RIESGO</t>
        </is>
      </c>
      <c r="R450" t="n">
        <v>0</v>
      </c>
      <c r="S450" t="n">
        <v>229972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229972</v>
      </c>
      <c r="Z450" t="n">
        <v>0</v>
      </c>
      <c r="AA450" t="n">
        <v>0</v>
      </c>
      <c r="AB450" t="n">
        <v>0</v>
      </c>
      <c r="AC450" t="n">
        <v>0</v>
      </c>
      <c r="AD450" t="n">
        <v>229972</v>
      </c>
      <c r="AE450" t="n">
        <v>0</v>
      </c>
    </row>
    <row r="451">
      <c r="A451" t="inlineStr">
        <is>
          <t>1 - ADMINISTRACIÓN CENTRAL</t>
        </is>
      </c>
      <c r="B451" t="inlineStr">
        <is>
          <t>45 - GOBIERNO TERRITORIAL</t>
        </is>
      </c>
      <c r="C451" t="inlineStr">
        <is>
          <t>1000</t>
        </is>
      </c>
      <c r="D451" t="inlineStr">
        <is>
          <t>4599</t>
        </is>
      </c>
      <c r="E451" t="inlineStr">
        <is>
          <t>4599031</t>
        </is>
      </c>
      <c r="F451" t="inlineStr">
        <is>
          <t>SERVICIO DE ASISTENCIA TÉCNICA</t>
        </is>
      </c>
      <c r="G451" t="inlineStr">
        <is>
          <t>2024546600075</t>
        </is>
      </c>
      <c r="H451" t="inlineStr">
        <is>
          <t>FORTALECIMIENTO A LA GESTIÓN Y DIRECCIÓN DE LA ADMINISTRACIÓN PÚBLICA TERRITORIAL PDM UNIDOS SOMOS MÁS EN EL MUNICIPIO DE  SALAZAR</t>
        </is>
      </c>
      <c r="I451" t="inlineStr">
        <is>
          <t>91119</t>
        </is>
      </c>
      <c r="J451" t="inlineStr">
        <is>
          <t>Otros servicios de la administración pública n.c.p.</t>
        </is>
      </c>
      <c r="K451" t="inlineStr">
        <is>
          <t>00</t>
        </is>
      </c>
      <c r="L451" t="inlineStr">
        <is>
          <t>SIN ATRIBUTO</t>
        </is>
      </c>
      <c r="N451" t="inlineStr">
        <is>
          <t>2.3.2.02.02.009.45.13</t>
        </is>
      </c>
      <c r="O451" t="inlineStr">
        <is>
          <t>Servicio de asistencia técnica gobierno territorial</t>
        </is>
      </c>
      <c r="P451" t="inlineStr">
        <is>
          <t>670.1.1</t>
        </is>
      </c>
      <c r="Q451" t="inlineStr">
        <is>
          <t>RENDIMIENTOS FINANCIEROS LIBRE DESTINACION RB</t>
        </is>
      </c>
      <c r="R451" t="n">
        <v>0</v>
      </c>
      <c r="S451" t="n">
        <v>964878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964878</v>
      </c>
      <c r="Z451" t="n">
        <v>0</v>
      </c>
      <c r="AA451" t="n">
        <v>0</v>
      </c>
      <c r="AB451" t="n">
        <v>0</v>
      </c>
      <c r="AC451" t="n">
        <v>0</v>
      </c>
      <c r="AD451" t="n">
        <v>964878</v>
      </c>
      <c r="AE451" t="n">
        <v>0</v>
      </c>
    </row>
    <row r="452">
      <c r="A452" t="inlineStr">
        <is>
          <t>1 - ADMINISTRACIÓN CENTRAL</t>
        </is>
      </c>
      <c r="B452" t="inlineStr">
        <is>
          <t>45 - GOBIERNO TERRITORIAL</t>
        </is>
      </c>
      <c r="C452" t="inlineStr">
        <is>
          <t>1000</t>
        </is>
      </c>
      <c r="D452" t="inlineStr">
        <is>
          <t>4599</t>
        </is>
      </c>
      <c r="E452" t="inlineStr">
        <is>
          <t>4599031</t>
        </is>
      </c>
      <c r="F452" t="inlineStr">
        <is>
          <t>SERVICIO DE ASISTENCIA TÉCNICA</t>
        </is>
      </c>
      <c r="G452" t="inlineStr">
        <is>
          <t>2024546600075</t>
        </is>
      </c>
      <c r="H452" t="inlineStr">
        <is>
          <t>FORTALECIMIENTO A LA GESTIÓN Y DIRECCIÓN DE LA ADMINISTRACIÓN PÚBLICA TERRITORIAL PDM UNIDOS SOMOS MÁS EN EL MUNICIPIO DE  SALAZAR</t>
        </is>
      </c>
      <c r="I452" t="inlineStr">
        <is>
          <t>91119</t>
        </is>
      </c>
      <c r="J452" t="inlineStr">
        <is>
          <t>Otros servicios de la administración pública n.c.p.</t>
        </is>
      </c>
      <c r="K452" t="inlineStr">
        <is>
          <t>00</t>
        </is>
      </c>
      <c r="L452" t="inlineStr">
        <is>
          <t>SIN ATRIBUTO</t>
        </is>
      </c>
      <c r="N452" t="inlineStr">
        <is>
          <t>2.3.2.02.02.009.45.14</t>
        </is>
      </c>
      <c r="O452" t="inlineStr">
        <is>
          <t>Servicio de asistencia técnica gobierno territorial</t>
        </is>
      </c>
      <c r="P452" t="inlineStr">
        <is>
          <t>100.1</t>
        </is>
      </c>
      <c r="Q452" t="inlineStr">
        <is>
          <t>RECURSOS PROPIOS RB</t>
        </is>
      </c>
      <c r="R452" t="n">
        <v>0</v>
      </c>
      <c r="S452" t="n">
        <v>61861312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61861312</v>
      </c>
      <c r="Z452" t="n">
        <v>0</v>
      </c>
      <c r="AA452" t="n">
        <v>0</v>
      </c>
      <c r="AB452" t="n">
        <v>0</v>
      </c>
      <c r="AC452" t="n">
        <v>0</v>
      </c>
      <c r="AD452" t="n">
        <v>61861312</v>
      </c>
      <c r="AE452" t="n">
        <v>0</v>
      </c>
    </row>
    <row r="453">
      <c r="A453" t="inlineStr">
        <is>
          <t>1 - ADMINISTRACIÓN CENTRAL</t>
        </is>
      </c>
      <c r="B453" t="inlineStr">
        <is>
          <t>45 - GOBIERNO TERRITORIAL</t>
        </is>
      </c>
      <c r="C453" t="inlineStr">
        <is>
          <t>1000</t>
        </is>
      </c>
      <c r="D453" t="inlineStr">
        <is>
          <t>4599</t>
        </is>
      </c>
      <c r="E453" t="inlineStr">
        <is>
          <t>4599031</t>
        </is>
      </c>
      <c r="F453" t="inlineStr">
        <is>
          <t>SERVICIO DE ASISTENCIA TÉCNICA</t>
        </is>
      </c>
      <c r="G453" t="inlineStr">
        <is>
          <t>2024546600075</t>
        </is>
      </c>
      <c r="H453" t="inlineStr">
        <is>
          <t>FORTALECIMIENTO A LA GESTIÓN Y DIRECCIÓN DE LA ADMINISTRACIÓN PÚBLICA TERRITORIAL PDM UNIDOS SOMOS MÁS EN EL MUNICIPIO DE  SALAZAR</t>
        </is>
      </c>
      <c r="I453" t="inlineStr">
        <is>
          <t>91119</t>
        </is>
      </c>
      <c r="J453" t="inlineStr">
        <is>
          <t>Otros servicios de la administración pública n.c.p.</t>
        </is>
      </c>
      <c r="K453" t="inlineStr">
        <is>
          <t>00</t>
        </is>
      </c>
      <c r="L453" t="inlineStr">
        <is>
          <t>SIN ATRIBUTO</t>
        </is>
      </c>
      <c r="N453" t="inlineStr">
        <is>
          <t>2.3.2.02.02.009.45.15</t>
        </is>
      </c>
      <c r="O453" t="inlineStr">
        <is>
          <t>Servicio de asistencia técnica gobierno territorial</t>
        </is>
      </c>
      <c r="P453" t="inlineStr">
        <is>
          <t>360.1</t>
        </is>
      </c>
      <c r="Q453" t="inlineStr">
        <is>
          <t>SGP LIBRE DESTINACION BALANCE</t>
        </is>
      </c>
      <c r="R453" t="n">
        <v>0</v>
      </c>
      <c r="S453" t="n">
        <v>148750859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148750859</v>
      </c>
      <c r="Z453" t="n">
        <v>0</v>
      </c>
      <c r="AA453" t="n">
        <v>0</v>
      </c>
      <c r="AB453" t="n">
        <v>0</v>
      </c>
      <c r="AC453" t="n">
        <v>0</v>
      </c>
      <c r="AD453" t="n">
        <v>148750859</v>
      </c>
      <c r="AE453" t="n">
        <v>0</v>
      </c>
    </row>
    <row r="454">
      <c r="A454" t="inlineStr">
        <is>
          <t>1 - ADMINISTRACIÓN CENTRAL</t>
        </is>
      </c>
      <c r="B454" t="inlineStr">
        <is>
          <t>45 - GOBIERNO TERRITORIAL</t>
        </is>
      </c>
      <c r="C454" t="inlineStr">
        <is>
          <t>1000</t>
        </is>
      </c>
      <c r="D454" t="inlineStr">
        <is>
          <t>4501</t>
        </is>
      </c>
      <c r="E454" t="inlineStr">
        <is>
          <t>4501063</t>
        </is>
      </c>
      <c r="F454" t="inlineStr">
        <is>
          <t>SERVICIO DE APOYO FINANCIERO PARA LA ATENCIÓN INTEGRAL DE ANIMALES</t>
        </is>
      </c>
      <c r="G454" t="inlineStr">
        <is>
          <t>2024546600072</t>
        </is>
      </c>
      <c r="H454" t="inlineStr">
        <is>
          <t>FORTALECIMIENTO DE LA CONVIVENCIA Y LA SEGURIDAD CIUDADANA PDM UNIDOS SOMOS MÁS EN EL MUNICIPIO DE  SALAZAR</t>
        </is>
      </c>
      <c r="I454" t="inlineStr">
        <is>
          <t>91119</t>
        </is>
      </c>
      <c r="J454" t="inlineStr">
        <is>
          <t>Otros servicios de la administración pública n.c.p.</t>
        </is>
      </c>
      <c r="K454" t="inlineStr">
        <is>
          <t>00</t>
        </is>
      </c>
      <c r="L454" t="inlineStr">
        <is>
          <t>SIN ATRIBUTO</t>
        </is>
      </c>
      <c r="N454" t="inlineStr">
        <is>
          <t>2.3.2.02.02.009.45.16</t>
        </is>
      </c>
      <c r="O454" t="inlineStr">
        <is>
          <t>Servicio de apoyo financiero para la atención integral de animales</t>
        </is>
      </c>
      <c r="P454" t="inlineStr">
        <is>
          <t>100.1</t>
        </is>
      </c>
      <c r="Q454" t="inlineStr">
        <is>
          <t>RECURSOS PROPIOS RB</t>
        </is>
      </c>
      <c r="R454" t="n">
        <v>0</v>
      </c>
      <c r="S454" t="n">
        <v>6900000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6900000</v>
      </c>
      <c r="Z454" t="n">
        <v>1474200</v>
      </c>
      <c r="AA454" t="n">
        <v>1474200</v>
      </c>
      <c r="AB454" t="n">
        <v>1000000</v>
      </c>
      <c r="AC454" t="n">
        <v>1000000</v>
      </c>
      <c r="AD454" t="n">
        <v>5425800</v>
      </c>
      <c r="AE454" t="n">
        <v>21.37</v>
      </c>
    </row>
    <row r="455">
      <c r="A455" t="inlineStr">
        <is>
          <t>1 - ADMINISTRACIÓN CENTRAL</t>
        </is>
      </c>
      <c r="B455" t="inlineStr">
        <is>
          <t>00 - SIN SECTOR</t>
        </is>
      </c>
      <c r="C455" t="inlineStr">
        <is>
          <t>00</t>
        </is>
      </c>
      <c r="D455" t="inlineStr">
        <is>
          <t>0000</t>
        </is>
      </c>
      <c r="E455" t="inlineStr">
        <is>
          <t>000000</t>
        </is>
      </c>
      <c r="F455" t="inlineStr">
        <is>
          <t>SIN PRODUCTO</t>
        </is>
      </c>
      <c r="G455" t="inlineStr">
        <is>
          <t>00</t>
        </is>
      </c>
      <c r="H455" t="inlineStr">
        <is>
          <t>00</t>
        </is>
      </c>
      <c r="I455" t="inlineStr">
        <is>
          <t>00</t>
        </is>
      </c>
      <c r="J455" t="inlineStr">
        <is>
          <t>SIN PRODUCTO DANE</t>
        </is>
      </c>
      <c r="K455" t="inlineStr">
        <is>
          <t>00</t>
        </is>
      </c>
      <c r="L455" t="inlineStr">
        <is>
          <t>SIN ATRIBUTO</t>
        </is>
      </c>
      <c r="N455" t="inlineStr">
        <is>
          <t>2.3.3</t>
        </is>
      </c>
      <c r="O455" t="inlineStr">
        <is>
          <t>TRANSFERENCIAS CORRIENTES</t>
        </is>
      </c>
      <c r="P455" t="inlineStr">
        <is>
          <t>00</t>
        </is>
      </c>
      <c r="Q455" t="inlineStr">
        <is>
          <t>RECURSOS</t>
        </is>
      </c>
      <c r="R455" t="n">
        <v>331116373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331116373</v>
      </c>
      <c r="Z455" t="n">
        <v>165421432.57</v>
      </c>
      <c r="AA455" t="n">
        <v>165421432.57</v>
      </c>
      <c r="AB455" t="n">
        <v>165421432.57</v>
      </c>
      <c r="AC455" t="n">
        <v>165421432.57</v>
      </c>
      <c r="AD455" t="n">
        <v>165694940.43</v>
      </c>
      <c r="AE455" t="n">
        <v>49.96</v>
      </c>
    </row>
    <row r="456">
      <c r="A456" t="inlineStr">
        <is>
          <t>1 - ADMINISTRACIÓN CENTRAL</t>
        </is>
      </c>
      <c r="B456" t="inlineStr">
        <is>
          <t>00 - SIN SECTOR</t>
        </is>
      </c>
      <c r="C456" t="inlineStr">
        <is>
          <t>00</t>
        </is>
      </c>
      <c r="D456" t="inlineStr">
        <is>
          <t>0000</t>
        </is>
      </c>
      <c r="E456" t="inlineStr">
        <is>
          <t>000000</t>
        </is>
      </c>
      <c r="F456" t="inlineStr">
        <is>
          <t>SIN PRODUCTO</t>
        </is>
      </c>
      <c r="G456" t="inlineStr">
        <is>
          <t>00</t>
        </is>
      </c>
      <c r="H456" t="inlineStr">
        <is>
          <t>00</t>
        </is>
      </c>
      <c r="I456" t="inlineStr">
        <is>
          <t>00</t>
        </is>
      </c>
      <c r="J456" t="inlineStr">
        <is>
          <t>SIN PRODUCTO DANE</t>
        </is>
      </c>
      <c r="K456" t="inlineStr">
        <is>
          <t>00</t>
        </is>
      </c>
      <c r="L456" t="inlineStr">
        <is>
          <t>SIN ATRIBUTO</t>
        </is>
      </c>
      <c r="N456" t="inlineStr">
        <is>
          <t>2.3.3.01</t>
        </is>
      </c>
      <c r="O456" t="inlineStr">
        <is>
          <t>SUBVENCIONES</t>
        </is>
      </c>
      <c r="P456" t="inlineStr">
        <is>
          <t>00</t>
        </is>
      </c>
      <c r="Q456" t="inlineStr">
        <is>
          <t>RECURSOS</t>
        </is>
      </c>
      <c r="R456" t="n">
        <v>331116373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331116373</v>
      </c>
      <c r="Z456" t="n">
        <v>165421432.57</v>
      </c>
      <c r="AA456" t="n">
        <v>165421432.57</v>
      </c>
      <c r="AB456" t="n">
        <v>165421432.57</v>
      </c>
      <c r="AC456" t="n">
        <v>165421432.57</v>
      </c>
      <c r="AD456" t="n">
        <v>165694940.43</v>
      </c>
      <c r="AE456" t="n">
        <v>49.96</v>
      </c>
    </row>
    <row r="457">
      <c r="A457" t="inlineStr">
        <is>
          <t>1 - ADMINISTRACIÓN CENTRAL</t>
        </is>
      </c>
      <c r="B457" t="inlineStr">
        <is>
          <t>00 - SIN SECTOR</t>
        </is>
      </c>
      <c r="C457" t="inlineStr">
        <is>
          <t>00</t>
        </is>
      </c>
      <c r="D457" t="inlineStr">
        <is>
          <t>0000</t>
        </is>
      </c>
      <c r="E457" t="inlineStr">
        <is>
          <t>000000</t>
        </is>
      </c>
      <c r="F457" t="inlineStr">
        <is>
          <t>SIN PRODUCTO</t>
        </is>
      </c>
      <c r="G457" t="inlineStr">
        <is>
          <t>00</t>
        </is>
      </c>
      <c r="H457" t="inlineStr">
        <is>
          <t>00</t>
        </is>
      </c>
      <c r="I457" t="inlineStr">
        <is>
          <t>00</t>
        </is>
      </c>
      <c r="J457" t="inlineStr">
        <is>
          <t>SIN PRODUCTO DANE</t>
        </is>
      </c>
      <c r="K457" t="inlineStr">
        <is>
          <t>00</t>
        </is>
      </c>
      <c r="L457" t="inlineStr">
        <is>
          <t>SIN ATRIBUTO</t>
        </is>
      </c>
      <c r="N457" t="inlineStr">
        <is>
          <t>2.3.3.01.02</t>
        </is>
      </c>
      <c r="O457" t="inlineStr">
        <is>
          <t xml:space="preserve">A EMPRESAS PUBLICAS NO FINANCIERAS </t>
        </is>
      </c>
      <c r="P457" t="inlineStr">
        <is>
          <t>00</t>
        </is>
      </c>
      <c r="Q457" t="inlineStr">
        <is>
          <t>RECURSOS</t>
        </is>
      </c>
      <c r="R457" t="n">
        <v>331116373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331116373</v>
      </c>
      <c r="Z457" t="n">
        <v>165421432.57</v>
      </c>
      <c r="AA457" t="n">
        <v>165421432.57</v>
      </c>
      <c r="AB457" t="n">
        <v>165421432.57</v>
      </c>
      <c r="AC457" t="n">
        <v>165421432.57</v>
      </c>
      <c r="AD457" t="n">
        <v>165694940.43</v>
      </c>
      <c r="AE457" t="n">
        <v>49.96</v>
      </c>
    </row>
    <row r="458">
      <c r="A458" t="inlineStr">
        <is>
          <t>1 - ADMINISTRACIÓN CENTRAL</t>
        </is>
      </c>
      <c r="B458" t="inlineStr">
        <is>
          <t>00 - SIN SECTOR</t>
        </is>
      </c>
      <c r="C458" t="inlineStr">
        <is>
          <t>00</t>
        </is>
      </c>
      <c r="D458" t="inlineStr">
        <is>
          <t>0000</t>
        </is>
      </c>
      <c r="E458" t="inlineStr">
        <is>
          <t>000000</t>
        </is>
      </c>
      <c r="F458" t="inlineStr">
        <is>
          <t>SIN PRODUCTO</t>
        </is>
      </c>
      <c r="G458" t="inlineStr">
        <is>
          <t>00</t>
        </is>
      </c>
      <c r="H458" t="inlineStr">
        <is>
          <t>00</t>
        </is>
      </c>
      <c r="I458" t="inlineStr">
        <is>
          <t>00</t>
        </is>
      </c>
      <c r="J458" t="inlineStr">
        <is>
          <t>SIN PRODUCTO DANE</t>
        </is>
      </c>
      <c r="K458" t="inlineStr">
        <is>
          <t>00</t>
        </is>
      </c>
      <c r="L458" t="inlineStr">
        <is>
          <t>SIN ATRIBUTO</t>
        </is>
      </c>
      <c r="N458" t="inlineStr">
        <is>
          <t>2.3.3.01.02.004</t>
        </is>
      </c>
      <c r="O458" t="inlineStr">
        <is>
          <t>SUBVENCIONES PARA SERVICIOS PUBLICOS DOMICILIARIOS DE AGUA POTABLE Y SANEAMIENTO BASICO</t>
        </is>
      </c>
      <c r="P458" t="inlineStr">
        <is>
          <t>00</t>
        </is>
      </c>
      <c r="Q458" t="inlineStr">
        <is>
          <t>RECURSOS</t>
        </is>
      </c>
      <c r="R458" t="n">
        <v>331116373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331116373</v>
      </c>
      <c r="Z458" t="n">
        <v>165421432.57</v>
      </c>
      <c r="AA458" t="n">
        <v>165421432.57</v>
      </c>
      <c r="AB458" t="n">
        <v>165421432.57</v>
      </c>
      <c r="AC458" t="n">
        <v>165421432.57</v>
      </c>
      <c r="AD458" t="n">
        <v>165694940.43</v>
      </c>
      <c r="AE458" t="n">
        <v>49.96</v>
      </c>
    </row>
    <row r="459">
      <c r="A459" t="inlineStr">
        <is>
          <t>1 - ADMINISTRACIÓN CENTRAL</t>
        </is>
      </c>
      <c r="B459" t="inlineStr">
        <is>
          <t>00 - SIN SECTOR</t>
        </is>
      </c>
      <c r="C459" t="inlineStr">
        <is>
          <t>00</t>
        </is>
      </c>
      <c r="D459" t="inlineStr">
        <is>
          <t>0000</t>
        </is>
      </c>
      <c r="E459" t="inlineStr">
        <is>
          <t>000000</t>
        </is>
      </c>
      <c r="F459" t="inlineStr">
        <is>
          <t>SIN PRODUCTO</t>
        </is>
      </c>
      <c r="G459" t="inlineStr">
        <is>
          <t>00</t>
        </is>
      </c>
      <c r="H459" t="inlineStr">
        <is>
          <t>00</t>
        </is>
      </c>
      <c r="I459" t="inlineStr">
        <is>
          <t>00</t>
        </is>
      </c>
      <c r="J459" t="inlineStr">
        <is>
          <t>SIN PRODUCTO DANE</t>
        </is>
      </c>
      <c r="K459" t="inlineStr">
        <is>
          <t>00</t>
        </is>
      </c>
      <c r="L459" t="inlineStr">
        <is>
          <t>SIN ATRIBUTO</t>
        </is>
      </c>
      <c r="N459" t="inlineStr">
        <is>
          <t>2.3.3.01.02.004.01</t>
        </is>
      </c>
      <c r="O459" t="inlineStr">
        <is>
          <t>SUBSIDIOS DE ACUEDUCTO</t>
        </is>
      </c>
      <c r="P459" t="inlineStr">
        <is>
          <t>00</t>
        </is>
      </c>
      <c r="Q459" t="inlineStr">
        <is>
          <t>RECURSOS</t>
        </is>
      </c>
      <c r="R459" t="n">
        <v>177394675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177394675</v>
      </c>
      <c r="Z459" t="n">
        <v>88762075.31999999</v>
      </c>
      <c r="AA459" t="n">
        <v>88762075.31999999</v>
      </c>
      <c r="AB459" t="n">
        <v>88762075.31999999</v>
      </c>
      <c r="AC459" t="n">
        <v>88762075.31999999</v>
      </c>
      <c r="AD459" t="n">
        <v>88632599.68000001</v>
      </c>
      <c r="AE459" t="n">
        <v>50.04</v>
      </c>
    </row>
    <row r="460">
      <c r="A460" t="inlineStr">
        <is>
          <t>1 - ADMINISTRACIÓN CENTRAL</t>
        </is>
      </c>
      <c r="B460" t="inlineStr">
        <is>
          <t>40 - VIVIENDA, CIUDAD Y TERRITORIO</t>
        </is>
      </c>
      <c r="C460" t="inlineStr">
        <is>
          <t>1400</t>
        </is>
      </c>
      <c r="D460" t="inlineStr">
        <is>
          <t>4003</t>
        </is>
      </c>
      <c r="E460" t="inlineStr">
        <is>
          <t>4003047</t>
        </is>
      </c>
      <c r="F460" t="inlineStr">
        <is>
          <t>SERVICIO DE APOYO FINANCIERO PARA SUBSIDIOS AL CONSUMO EN LOS SERVICIOS PÚBLICOS DOMICILIARIOS</t>
        </is>
      </c>
      <c r="G460" t="inlineStr">
        <is>
          <t>2024546600066</t>
        </is>
      </c>
      <c r="H460" t="inlineStr">
        <is>
          <t>FORTALECIMIENTO EN EL ACCESO DE LA POBLACIÓN A LOS SERVICIOS DE AGUA POTABLE Y SANEAMIENTO BÁSICO PDM UNIDOS SOMOS MÁS EN EL MUNICIPIO DE  SALAZAR</t>
        </is>
      </c>
      <c r="I460" t="inlineStr">
        <is>
          <t>00</t>
        </is>
      </c>
      <c r="J460" t="inlineStr">
        <is>
          <t>SIN PRODUCTO DANE</t>
        </is>
      </c>
      <c r="K460" t="inlineStr">
        <is>
          <t>00</t>
        </is>
      </c>
      <c r="L460" t="inlineStr">
        <is>
          <t>SIN ATRIBUTO</t>
        </is>
      </c>
      <c r="N460" t="inlineStr">
        <is>
          <t>2.3.3.01.02.004.01.40.01</t>
        </is>
      </c>
      <c r="O460" t="inlineStr">
        <is>
          <t>Subsidios de acueducto</t>
        </is>
      </c>
      <c r="P460" t="inlineStr">
        <is>
          <t>290</t>
        </is>
      </c>
      <c r="Q460" t="inlineStr">
        <is>
          <t>SGP AGUA POTABLE Y SANEAMIENTO BASICO - ONCE DOCEAVAS VIGENCIA ACTUAL MAS ULTIMA DOCEAVA VIGENCIA ANTERIOR</t>
        </is>
      </c>
      <c r="R460" t="n">
        <v>177394675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177394675</v>
      </c>
      <c r="Z460" t="n">
        <v>88762075.31999999</v>
      </c>
      <c r="AA460" t="n">
        <v>88762075.31999999</v>
      </c>
      <c r="AB460" t="n">
        <v>88762075.31999999</v>
      </c>
      <c r="AC460" t="n">
        <v>88762075.31999999</v>
      </c>
      <c r="AD460" t="n">
        <v>88632599.68000001</v>
      </c>
      <c r="AE460" t="n">
        <v>50.04</v>
      </c>
    </row>
    <row r="461">
      <c r="A461" t="inlineStr">
        <is>
          <t>1 - ADMINISTRACIÓN CENTRAL</t>
        </is>
      </c>
      <c r="B461" t="inlineStr">
        <is>
          <t>00 - SIN SECTOR</t>
        </is>
      </c>
      <c r="C461" t="inlineStr">
        <is>
          <t>00</t>
        </is>
      </c>
      <c r="D461" t="inlineStr">
        <is>
          <t>0000</t>
        </is>
      </c>
      <c r="E461" t="inlineStr">
        <is>
          <t>000000</t>
        </is>
      </c>
      <c r="F461" t="inlineStr">
        <is>
          <t>SIN PRODUCTO</t>
        </is>
      </c>
      <c r="G461" t="inlineStr">
        <is>
          <t>00</t>
        </is>
      </c>
      <c r="H461" t="inlineStr">
        <is>
          <t>00</t>
        </is>
      </c>
      <c r="I461" t="inlineStr">
        <is>
          <t>00</t>
        </is>
      </c>
      <c r="J461" t="inlineStr">
        <is>
          <t>SIN PRODUCTO DANE</t>
        </is>
      </c>
      <c r="K461" t="inlineStr">
        <is>
          <t>00</t>
        </is>
      </c>
      <c r="L461" t="inlineStr">
        <is>
          <t>SIN ATRIBUTO</t>
        </is>
      </c>
      <c r="N461" t="inlineStr">
        <is>
          <t>2.3.3.01.02.004.02</t>
        </is>
      </c>
      <c r="O461" t="inlineStr">
        <is>
          <t>SUBSIDIOS DE ALCANTARILLADO</t>
        </is>
      </c>
      <c r="P461" t="inlineStr">
        <is>
          <t>00</t>
        </is>
      </c>
      <c r="Q461" t="inlineStr">
        <is>
          <t>RECURSOS</t>
        </is>
      </c>
      <c r="R461" t="n">
        <v>78292899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78292899</v>
      </c>
      <c r="Z461" t="n">
        <v>39141246.71</v>
      </c>
      <c r="AA461" t="n">
        <v>39141246.71</v>
      </c>
      <c r="AB461" t="n">
        <v>39141246.71</v>
      </c>
      <c r="AC461" t="n">
        <v>39141246.71</v>
      </c>
      <c r="AD461" t="n">
        <v>39151652.29</v>
      </c>
      <c r="AE461" t="n">
        <v>49.99</v>
      </c>
    </row>
    <row r="462">
      <c r="A462" t="inlineStr">
        <is>
          <t>1 - ADMINISTRACIÓN CENTRAL</t>
        </is>
      </c>
      <c r="B462" t="inlineStr">
        <is>
          <t>40 - VIVIENDA, CIUDAD Y TERRITORIO</t>
        </is>
      </c>
      <c r="C462" t="inlineStr">
        <is>
          <t>1400</t>
        </is>
      </c>
      <c r="D462" t="inlineStr">
        <is>
          <t>4003</t>
        </is>
      </c>
      <c r="E462" t="inlineStr">
        <is>
          <t>4003047</t>
        </is>
      </c>
      <c r="F462" t="inlineStr">
        <is>
          <t>SERVICIO DE APOYO FINANCIERO PARA SUBSIDIOS AL CONSUMO EN LOS SERVICIOS PÚBLICOS DOMICILIARIOS</t>
        </is>
      </c>
      <c r="G462" t="inlineStr">
        <is>
          <t>2024546600066</t>
        </is>
      </c>
      <c r="H462" t="inlineStr">
        <is>
          <t>FORTALECIMIENTO EN EL ACCESO DE LA POBLACIÓN A LOS SERVICIOS DE AGUA POTABLE Y SANEAMIENTO BÁSICO PDM UNIDOS SOMOS MÁS EN EL MUNICIPIO DE  SALAZAR</t>
        </is>
      </c>
      <c r="I462" t="inlineStr">
        <is>
          <t>00</t>
        </is>
      </c>
      <c r="J462" t="inlineStr">
        <is>
          <t>SIN PRODUCTO DANE</t>
        </is>
      </c>
      <c r="K462" t="inlineStr">
        <is>
          <t>00</t>
        </is>
      </c>
      <c r="L462" t="inlineStr">
        <is>
          <t>SIN ATRIBUTO</t>
        </is>
      </c>
      <c r="N462" t="inlineStr">
        <is>
          <t>2.3.3.01.02.004.02.40.01</t>
        </is>
      </c>
      <c r="O462" t="inlineStr">
        <is>
          <t>Subsidios de alcantarillado</t>
        </is>
      </c>
      <c r="P462" t="inlineStr">
        <is>
          <t>290</t>
        </is>
      </c>
      <c r="Q462" t="inlineStr">
        <is>
          <t>SGP AGUA POTABLE Y SANEAMIENTO BASICO - ONCE DOCEAVAS VIGENCIA ACTUAL MAS ULTIMA DOCEAVA VIGENCIA ANTERIOR</t>
        </is>
      </c>
      <c r="R462" t="n">
        <v>78292899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78292899</v>
      </c>
      <c r="Z462" t="n">
        <v>39141246.71</v>
      </c>
      <c r="AA462" t="n">
        <v>39141246.71</v>
      </c>
      <c r="AB462" t="n">
        <v>39141246.71</v>
      </c>
      <c r="AC462" t="n">
        <v>39141246.71</v>
      </c>
      <c r="AD462" t="n">
        <v>39151652.29</v>
      </c>
      <c r="AE462" t="n">
        <v>49.99</v>
      </c>
    </row>
    <row r="463">
      <c r="A463" t="inlineStr">
        <is>
          <t>1 - ADMINISTRACIÓN CENTRAL</t>
        </is>
      </c>
      <c r="B463" t="inlineStr">
        <is>
          <t>00 - SIN SECTOR</t>
        </is>
      </c>
      <c r="C463" t="inlineStr">
        <is>
          <t>00</t>
        </is>
      </c>
      <c r="D463" t="inlineStr">
        <is>
          <t>0000</t>
        </is>
      </c>
      <c r="E463" t="inlineStr">
        <is>
          <t>000000</t>
        </is>
      </c>
      <c r="F463" t="inlineStr">
        <is>
          <t>SIN PRODUCTO</t>
        </is>
      </c>
      <c r="G463" t="inlineStr">
        <is>
          <t>00</t>
        </is>
      </c>
      <c r="H463" t="inlineStr">
        <is>
          <t>00</t>
        </is>
      </c>
      <c r="I463" t="inlineStr">
        <is>
          <t>00</t>
        </is>
      </c>
      <c r="J463" t="inlineStr">
        <is>
          <t>SIN PRODUCTO DANE</t>
        </is>
      </c>
      <c r="K463" t="inlineStr">
        <is>
          <t>00</t>
        </is>
      </c>
      <c r="L463" t="inlineStr">
        <is>
          <t>SIN ATRIBUTO</t>
        </is>
      </c>
      <c r="N463" t="inlineStr">
        <is>
          <t>2.3.3.01.02.004.03</t>
        </is>
      </c>
      <c r="O463" t="inlineStr">
        <is>
          <t>SUBSIDIOS DE ASEO</t>
        </is>
      </c>
      <c r="P463" t="inlineStr">
        <is>
          <t>00</t>
        </is>
      </c>
      <c r="Q463" t="inlineStr">
        <is>
          <t>RECURSOS</t>
        </is>
      </c>
      <c r="R463" t="n">
        <v>75428799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75428799</v>
      </c>
      <c r="Z463" t="n">
        <v>37518110.54</v>
      </c>
      <c r="AA463" t="n">
        <v>37518110.54</v>
      </c>
      <c r="AB463" t="n">
        <v>37518110.54</v>
      </c>
      <c r="AC463" t="n">
        <v>37518110.54</v>
      </c>
      <c r="AD463" t="n">
        <v>37910688.46</v>
      </c>
      <c r="AE463" t="n">
        <v>49.74</v>
      </c>
    </row>
    <row r="464">
      <c r="A464" t="inlineStr">
        <is>
          <t>1 - ADMINISTRACIÓN CENTRAL</t>
        </is>
      </c>
      <c r="B464" t="inlineStr">
        <is>
          <t>40 - VIVIENDA, CIUDAD Y TERRITORIO</t>
        </is>
      </c>
      <c r="C464" t="inlineStr">
        <is>
          <t>1400</t>
        </is>
      </c>
      <c r="D464" t="inlineStr">
        <is>
          <t>4003</t>
        </is>
      </c>
      <c r="E464" t="inlineStr">
        <is>
          <t>4003047</t>
        </is>
      </c>
      <c r="F464" t="inlineStr">
        <is>
          <t>SERVICIO DE APOYO FINANCIERO PARA SUBSIDIOS AL CONSUMO EN LOS SERVICIOS PÚBLICOS DOMICILIARIOS</t>
        </is>
      </c>
      <c r="G464" t="inlineStr">
        <is>
          <t>2024546600066</t>
        </is>
      </c>
      <c r="H464" t="inlineStr">
        <is>
          <t>FORTALECIMIENTO EN EL ACCESO DE LA POBLACIÓN A LOS SERVICIOS DE AGUA POTABLE Y SANEAMIENTO BÁSICO PDM UNIDOS SOMOS MÁS EN EL MUNICIPIO DE  SALAZAR</t>
        </is>
      </c>
      <c r="I464" t="inlineStr">
        <is>
          <t>00</t>
        </is>
      </c>
      <c r="J464" t="inlineStr">
        <is>
          <t>SIN PRODUCTO DANE</t>
        </is>
      </c>
      <c r="K464" t="inlineStr">
        <is>
          <t>00</t>
        </is>
      </c>
      <c r="L464" t="inlineStr">
        <is>
          <t>SIN ATRIBUTO</t>
        </is>
      </c>
      <c r="N464" t="inlineStr">
        <is>
          <t>2.3.3.01.02.004.03.40.01</t>
        </is>
      </c>
      <c r="O464" t="inlineStr">
        <is>
          <t>Subsidios de aseo</t>
        </is>
      </c>
      <c r="P464" t="inlineStr">
        <is>
          <t>290</t>
        </is>
      </c>
      <c r="Q464" t="inlineStr">
        <is>
          <t>SGP AGUA POTABLE Y SANEAMIENTO BASICO - ONCE DOCEAVAS VIGENCIA ACTUAL MAS ULTIMA DOCEAVA VIGENCIA ANTERIOR</t>
        </is>
      </c>
      <c r="R464" t="n">
        <v>75428799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75428799</v>
      </c>
      <c r="Z464" t="n">
        <v>37518110.54</v>
      </c>
      <c r="AA464" t="n">
        <v>37518110.54</v>
      </c>
      <c r="AB464" t="n">
        <v>37518110.54</v>
      </c>
      <c r="AC464" t="n">
        <v>37518110.54</v>
      </c>
      <c r="AD464" t="n">
        <v>37910688.46</v>
      </c>
      <c r="AE464" t="n">
        <v>49.74</v>
      </c>
    </row>
    <row r="465">
      <c r="A465" t="inlineStr">
        <is>
          <t>1 - ADMINISTRACIÓN CENTRAL</t>
        </is>
      </c>
      <c r="B465" t="inlineStr">
        <is>
          <t>00 - SIN SECTOR</t>
        </is>
      </c>
      <c r="C465" t="inlineStr">
        <is>
          <t>00</t>
        </is>
      </c>
      <c r="D465" t="inlineStr">
        <is>
          <t>0000</t>
        </is>
      </c>
      <c r="E465" t="inlineStr">
        <is>
          <t>000000</t>
        </is>
      </c>
      <c r="F465" t="inlineStr">
        <is>
          <t>SIN PRODUCTO</t>
        </is>
      </c>
      <c r="G465" t="inlineStr">
        <is>
          <t>00</t>
        </is>
      </c>
      <c r="H465" t="inlineStr">
        <is>
          <t>00</t>
        </is>
      </c>
      <c r="I465" t="inlineStr">
        <is>
          <t>00</t>
        </is>
      </c>
      <c r="J465" t="inlineStr">
        <is>
          <t>SIN PRODUCTO DANE</t>
        </is>
      </c>
      <c r="K465" t="inlineStr">
        <is>
          <t>00</t>
        </is>
      </c>
      <c r="L465" t="inlineStr">
        <is>
          <t>SIN ATRIBUTO</t>
        </is>
      </c>
      <c r="N465" t="inlineStr">
        <is>
          <t>2.3.4</t>
        </is>
      </c>
      <c r="O465" t="inlineStr">
        <is>
          <t>TRANSFERENCIAS DE CAPITAL</t>
        </is>
      </c>
      <c r="P465" t="inlineStr">
        <is>
          <t>00</t>
        </is>
      </c>
      <c r="Q465" t="inlineStr">
        <is>
          <t>RECURSOS</t>
        </is>
      </c>
      <c r="R465" t="n">
        <v>263728235</v>
      </c>
      <c r="S465" t="n">
        <v>0</v>
      </c>
      <c r="T465" t="n">
        <v>0</v>
      </c>
      <c r="U465" t="n">
        <v>27816980</v>
      </c>
      <c r="V465" t="n">
        <v>0</v>
      </c>
      <c r="W465" t="n">
        <v>0</v>
      </c>
      <c r="X465" t="n">
        <v>0</v>
      </c>
      <c r="Y465" t="n">
        <v>291545215</v>
      </c>
      <c r="Z465" t="n">
        <v>291545215</v>
      </c>
      <c r="AA465" t="n">
        <v>291545215</v>
      </c>
      <c r="AB465" t="n">
        <v>291545215</v>
      </c>
      <c r="AC465" t="n">
        <v>291545215</v>
      </c>
      <c r="AD465" t="n">
        <v>0</v>
      </c>
      <c r="AE465" t="n">
        <v>100</v>
      </c>
    </row>
    <row r="466">
      <c r="A466" t="inlineStr">
        <is>
          <t>1 - ADMINISTRACIÓN CENTRAL</t>
        </is>
      </c>
      <c r="B466" t="inlineStr">
        <is>
          <t>00 - SIN SECTOR</t>
        </is>
      </c>
      <c r="C466" t="inlineStr">
        <is>
          <t>00</t>
        </is>
      </c>
      <c r="D466" t="inlineStr">
        <is>
          <t>0000</t>
        </is>
      </c>
      <c r="E466" t="inlineStr">
        <is>
          <t>000000</t>
        </is>
      </c>
      <c r="F466" t="inlineStr">
        <is>
          <t>SIN PRODUCTO</t>
        </is>
      </c>
      <c r="G466" t="inlineStr">
        <is>
          <t>00</t>
        </is>
      </c>
      <c r="H466" t="inlineStr">
        <is>
          <t>00</t>
        </is>
      </c>
      <c r="I466" t="inlineStr">
        <is>
          <t>00</t>
        </is>
      </c>
      <c r="J466" t="inlineStr">
        <is>
          <t>SIN PRODUCTO DANE</t>
        </is>
      </c>
      <c r="K466" t="inlineStr">
        <is>
          <t>00</t>
        </is>
      </c>
      <c r="L466" t="inlineStr">
        <is>
          <t>SIN ATRIBUTO</t>
        </is>
      </c>
      <c r="N466" t="inlineStr">
        <is>
          <t>2.3.4.09</t>
        </is>
      </c>
      <c r="O466" t="inlineStr">
        <is>
          <t xml:space="preserve">PLANES DEPARTAMENTALES PARA EL MANEJO EMPRESARIAL DE LOS SERVICIOS DE AGUA Y SANEAMIENTO (PDA) </t>
        </is>
      </c>
      <c r="P466" t="inlineStr">
        <is>
          <t>00</t>
        </is>
      </c>
      <c r="Q466" t="inlineStr">
        <is>
          <t>RECURSOS</t>
        </is>
      </c>
      <c r="R466" t="n">
        <v>263728235</v>
      </c>
      <c r="S466" t="n">
        <v>0</v>
      </c>
      <c r="T466" t="n">
        <v>0</v>
      </c>
      <c r="U466" t="n">
        <v>27816980</v>
      </c>
      <c r="V466" t="n">
        <v>0</v>
      </c>
      <c r="W466" t="n">
        <v>0</v>
      </c>
      <c r="X466" t="n">
        <v>0</v>
      </c>
      <c r="Y466" t="n">
        <v>291545215</v>
      </c>
      <c r="Z466" t="n">
        <v>291545215</v>
      </c>
      <c r="AA466" t="n">
        <v>291545215</v>
      </c>
      <c r="AB466" t="n">
        <v>291545215</v>
      </c>
      <c r="AC466" t="n">
        <v>291545215</v>
      </c>
      <c r="AD466" t="n">
        <v>0</v>
      </c>
      <c r="AE466" t="n">
        <v>100</v>
      </c>
    </row>
    <row r="467">
      <c r="A467" t="inlineStr">
        <is>
          <t>1 - ADMINISTRACIÓN CENTRAL</t>
        </is>
      </c>
      <c r="B467" t="inlineStr">
        <is>
          <t>00 - SIN SECTOR</t>
        </is>
      </c>
      <c r="C467" t="inlineStr">
        <is>
          <t>00</t>
        </is>
      </c>
      <c r="D467" t="inlineStr">
        <is>
          <t>0000</t>
        </is>
      </c>
      <c r="E467" t="inlineStr">
        <is>
          <t>000000</t>
        </is>
      </c>
      <c r="F467" t="inlineStr">
        <is>
          <t>SIN PRODUCTO</t>
        </is>
      </c>
      <c r="G467" t="inlineStr">
        <is>
          <t>00</t>
        </is>
      </c>
      <c r="H467" t="inlineStr">
        <is>
          <t>00</t>
        </is>
      </c>
      <c r="I467" t="inlineStr">
        <is>
          <t>00</t>
        </is>
      </c>
      <c r="J467" t="inlineStr">
        <is>
          <t>SIN PRODUCTO DANE</t>
        </is>
      </c>
      <c r="K467" t="inlineStr">
        <is>
          <t>00</t>
        </is>
      </c>
      <c r="L467" t="inlineStr">
        <is>
          <t>SIN ATRIBUTO</t>
        </is>
      </c>
      <c r="N467" t="inlineStr">
        <is>
          <t>2.3.4.09.40</t>
        </is>
      </c>
      <c r="O467" t="inlineStr">
        <is>
          <t xml:space="preserve">PLANES DEPARTAMENTALES PARA EL MANEJO EMPRESARIAL DE LOS SERVICIOS DE AGUA Y SANEAMIENTO (PDA) </t>
        </is>
      </c>
      <c r="P467" t="inlineStr">
        <is>
          <t>00</t>
        </is>
      </c>
      <c r="Q467" t="inlineStr">
        <is>
          <t>RECURSOS</t>
        </is>
      </c>
      <c r="R467" t="n">
        <v>263728235</v>
      </c>
      <c r="S467" t="n">
        <v>0</v>
      </c>
      <c r="T467" t="n">
        <v>0</v>
      </c>
      <c r="U467" t="n">
        <v>27816980</v>
      </c>
      <c r="V467" t="n">
        <v>0</v>
      </c>
      <c r="W467" t="n">
        <v>0</v>
      </c>
      <c r="X467" t="n">
        <v>0</v>
      </c>
      <c r="Y467" t="n">
        <v>291545215</v>
      </c>
      <c r="Z467" t="n">
        <v>291545215</v>
      </c>
      <c r="AA467" t="n">
        <v>291545215</v>
      </c>
      <c r="AB467" t="n">
        <v>291545215</v>
      </c>
      <c r="AC467" t="n">
        <v>291545215</v>
      </c>
      <c r="AD467" t="n">
        <v>0</v>
      </c>
      <c r="AE467" t="n">
        <v>100</v>
      </c>
    </row>
    <row r="468">
      <c r="A468" t="inlineStr">
        <is>
          <t>1 - ADMINISTRACIÓN CENTRAL</t>
        </is>
      </c>
      <c r="B468" t="inlineStr">
        <is>
          <t>40 - VIVIENDA, CIUDAD Y TERRITORIO</t>
        </is>
      </c>
      <c r="C468" t="inlineStr">
        <is>
          <t>1400</t>
        </is>
      </c>
      <c r="D468" t="inlineStr">
        <is>
          <t>4003</t>
        </is>
      </c>
      <c r="E468" t="inlineStr">
        <is>
          <t>4003008</t>
        </is>
      </c>
      <c r="F468" t="inlineStr">
        <is>
          <t>SERVICIO DE APOYO FINANCIERO A LOS PLANES, PROGRAMAS Y PROYECTOS DE AGUA POTABLE Y SANEAMIENTO BÁSICO</t>
        </is>
      </c>
      <c r="G468" t="inlineStr">
        <is>
          <t>2024546600066</t>
        </is>
      </c>
      <c r="H468" t="inlineStr">
        <is>
          <t>FORTALECIMIENTO EN EL ACCESO DE LA POBLACIÓN A LOS SERVICIOS DE AGUA POTABLE Y SANEAMIENTO BÁSICO PDM UNIDOS SOMOS MÁS EN EL MUNICIPIO DE  SALAZAR</t>
        </is>
      </c>
      <c r="I468" t="inlineStr">
        <is>
          <t>00</t>
        </is>
      </c>
      <c r="J468" t="inlineStr">
        <is>
          <t>SIN PRODUCTO DANE</t>
        </is>
      </c>
      <c r="K468" t="inlineStr">
        <is>
          <t>00</t>
        </is>
      </c>
      <c r="L468" t="inlineStr">
        <is>
          <t>SIN ATRIBUTO</t>
        </is>
      </c>
      <c r="N468" t="inlineStr">
        <is>
          <t>2.3.4.09.40.01</t>
        </is>
      </c>
      <c r="O468" t="inlineStr">
        <is>
          <t>Plan departamental de agua</t>
        </is>
      </c>
      <c r="P468" t="inlineStr">
        <is>
          <t>290</t>
        </is>
      </c>
      <c r="Q468" t="inlineStr">
        <is>
          <t>SGP AGUA POTABLE Y SANEAMIENTO BASICO - ONCE DOCEAVAS VIGENCIA ACTUAL MAS ULTIMA DOCEAVA VIGENCIA ANTERIOR</t>
        </is>
      </c>
      <c r="R468" t="n">
        <v>263728235</v>
      </c>
      <c r="S468" t="n">
        <v>0</v>
      </c>
      <c r="T468" t="n">
        <v>0</v>
      </c>
      <c r="U468" t="n">
        <v>27816980</v>
      </c>
      <c r="V468" t="n">
        <v>0</v>
      </c>
      <c r="W468" t="n">
        <v>0</v>
      </c>
      <c r="X468" t="n">
        <v>0</v>
      </c>
      <c r="Y468" t="n">
        <v>291545215</v>
      </c>
      <c r="Z468" t="n">
        <v>291545215</v>
      </c>
      <c r="AA468" t="n">
        <v>291545215</v>
      </c>
      <c r="AB468" t="n">
        <v>291545215</v>
      </c>
      <c r="AC468" t="n">
        <v>291545215</v>
      </c>
      <c r="AD468" t="n">
        <v>0</v>
      </c>
      <c r="AE468" t="n">
        <v>100</v>
      </c>
    </row>
    <row r="469">
      <c r="A469" t="inlineStr">
        <is>
          <t>1.1 - FONDO LOCAL DE SALUD</t>
        </is>
      </c>
      <c r="B469" t="inlineStr">
        <is>
          <t>00 - SIN SECTOR</t>
        </is>
      </c>
      <c r="C469" t="inlineStr">
        <is>
          <t>00</t>
        </is>
      </c>
      <c r="D469" t="inlineStr">
        <is>
          <t>0000</t>
        </is>
      </c>
      <c r="E469" t="inlineStr">
        <is>
          <t>000000</t>
        </is>
      </c>
      <c r="F469" t="inlineStr">
        <is>
          <t>SIN PRODUCTO</t>
        </is>
      </c>
      <c r="G469" t="inlineStr">
        <is>
          <t>00</t>
        </is>
      </c>
      <c r="H469" t="inlineStr">
        <is>
          <t>00</t>
        </is>
      </c>
      <c r="I469" t="inlineStr">
        <is>
          <t>00</t>
        </is>
      </c>
      <c r="J469" t="inlineStr">
        <is>
          <t>SIN PRODUCTO DANE</t>
        </is>
      </c>
      <c r="K469" t="inlineStr">
        <is>
          <t>00</t>
        </is>
      </c>
      <c r="L469" t="inlineStr">
        <is>
          <t>SIN ATRIBUTO</t>
        </is>
      </c>
      <c r="N469" t="inlineStr">
        <is>
          <t>2</t>
        </is>
      </c>
      <c r="O469" t="inlineStr">
        <is>
          <t>Gastos</t>
        </is>
      </c>
      <c r="P469" t="inlineStr">
        <is>
          <t>00</t>
        </is>
      </c>
      <c r="Q469" t="inlineStr">
        <is>
          <t>RECURSOS</t>
        </is>
      </c>
      <c r="R469" t="n">
        <v>13791481336</v>
      </c>
      <c r="S469" t="n">
        <v>52976753</v>
      </c>
      <c r="T469" t="n">
        <v>23000000</v>
      </c>
      <c r="U469" t="n">
        <v>1400100</v>
      </c>
      <c r="V469" t="n">
        <v>1400100</v>
      </c>
      <c r="W469" t="n">
        <v>0</v>
      </c>
      <c r="X469" t="n">
        <v>0</v>
      </c>
      <c r="Y469" t="n">
        <v>13821458089</v>
      </c>
      <c r="Z469" t="n">
        <v>13437640034</v>
      </c>
      <c r="AA469" t="n">
        <v>6555084976.98</v>
      </c>
      <c r="AB469" t="n">
        <v>6510936178.78</v>
      </c>
      <c r="AC469" t="n">
        <v>6510936178.78</v>
      </c>
      <c r="AD469" t="n">
        <v>383818055</v>
      </c>
      <c r="AE469" t="n">
        <v>97.22</v>
      </c>
    </row>
    <row r="470">
      <c r="A470" t="inlineStr">
        <is>
          <t>1.1 - FONDO LOCAL DE SALUD</t>
        </is>
      </c>
      <c r="B470" t="inlineStr">
        <is>
          <t>00 - SIN SECTOR</t>
        </is>
      </c>
      <c r="C470" t="inlineStr">
        <is>
          <t>00</t>
        </is>
      </c>
      <c r="D470" t="inlineStr">
        <is>
          <t>0000</t>
        </is>
      </c>
      <c r="E470" t="inlineStr">
        <is>
          <t>000000</t>
        </is>
      </c>
      <c r="F470" t="inlineStr">
        <is>
          <t>SIN PRODUCTO</t>
        </is>
      </c>
      <c r="G470" t="inlineStr">
        <is>
          <t>00</t>
        </is>
      </c>
      <c r="H470" t="inlineStr">
        <is>
          <t>00</t>
        </is>
      </c>
      <c r="I470" t="inlineStr">
        <is>
          <t>00</t>
        </is>
      </c>
      <c r="J470" t="inlineStr">
        <is>
          <t>SIN PRODUCTO DANE</t>
        </is>
      </c>
      <c r="K470" t="inlineStr">
        <is>
          <t>00</t>
        </is>
      </c>
      <c r="L470" t="inlineStr">
        <is>
          <t>SIN ATRIBUTO</t>
        </is>
      </c>
      <c r="N470" t="inlineStr">
        <is>
          <t>2.3</t>
        </is>
      </c>
      <c r="O470" t="inlineStr">
        <is>
          <t>INVERSION</t>
        </is>
      </c>
      <c r="P470" t="inlineStr">
        <is>
          <t>00</t>
        </is>
      </c>
      <c r="Q470" t="inlineStr">
        <is>
          <t>RECURSOS</t>
        </is>
      </c>
      <c r="R470" t="n">
        <v>13791481336</v>
      </c>
      <c r="S470" t="n">
        <v>52976753</v>
      </c>
      <c r="T470" t="n">
        <v>23000000</v>
      </c>
      <c r="U470" t="n">
        <v>1400100</v>
      </c>
      <c r="V470" t="n">
        <v>1400100</v>
      </c>
      <c r="W470" t="n">
        <v>0</v>
      </c>
      <c r="X470" t="n">
        <v>0</v>
      </c>
      <c r="Y470" t="n">
        <v>13821458089</v>
      </c>
      <c r="Z470" t="n">
        <v>13437640034</v>
      </c>
      <c r="AA470" t="n">
        <v>6555084976.98</v>
      </c>
      <c r="AB470" t="n">
        <v>6510936178.78</v>
      </c>
      <c r="AC470" t="n">
        <v>6510936178.78</v>
      </c>
      <c r="AD470" t="n">
        <v>383818055</v>
      </c>
      <c r="AE470" t="n">
        <v>97.22</v>
      </c>
    </row>
    <row r="471">
      <c r="A471" t="inlineStr">
        <is>
          <t>1.1 - FONDO LOCAL DE SALUD</t>
        </is>
      </c>
      <c r="B471" t="inlineStr">
        <is>
          <t>00 - SIN SECTOR</t>
        </is>
      </c>
      <c r="C471" t="inlineStr">
        <is>
          <t>00</t>
        </is>
      </c>
      <c r="D471" t="inlineStr">
        <is>
          <t>0000</t>
        </is>
      </c>
      <c r="E471" t="inlineStr">
        <is>
          <t>000000</t>
        </is>
      </c>
      <c r="F471" t="inlineStr">
        <is>
          <t>SIN PRODUCTO</t>
        </is>
      </c>
      <c r="G471" t="inlineStr">
        <is>
          <t>00</t>
        </is>
      </c>
      <c r="H471" t="inlineStr">
        <is>
          <t>00</t>
        </is>
      </c>
      <c r="I471" t="inlineStr">
        <is>
          <t>00</t>
        </is>
      </c>
      <c r="J471" t="inlineStr">
        <is>
          <t>SIN PRODUCTO DANE</t>
        </is>
      </c>
      <c r="K471" t="inlineStr">
        <is>
          <t>00</t>
        </is>
      </c>
      <c r="L471" t="inlineStr">
        <is>
          <t>SIN ATRIBUTO</t>
        </is>
      </c>
      <c r="N471" t="inlineStr">
        <is>
          <t>2.3.2</t>
        </is>
      </c>
      <c r="O471" t="inlineStr">
        <is>
          <t>Adquisición de bienes y servicios</t>
        </is>
      </c>
      <c r="P471" t="inlineStr">
        <is>
          <t>00</t>
        </is>
      </c>
      <c r="Q471" t="inlineStr">
        <is>
          <t>RECURSOS</t>
        </is>
      </c>
      <c r="R471" t="n">
        <v>13791481336</v>
      </c>
      <c r="S471" t="n">
        <v>52976753</v>
      </c>
      <c r="T471" t="n">
        <v>23000000</v>
      </c>
      <c r="U471" t="n">
        <v>1400100</v>
      </c>
      <c r="V471" t="n">
        <v>1400100</v>
      </c>
      <c r="W471" t="n">
        <v>0</v>
      </c>
      <c r="X471" t="n">
        <v>0</v>
      </c>
      <c r="Y471" t="n">
        <v>13821458089</v>
      </c>
      <c r="Z471" t="n">
        <v>13437640034</v>
      </c>
      <c r="AA471" t="n">
        <v>6555084976.98</v>
      </c>
      <c r="AB471" t="n">
        <v>6510936178.78</v>
      </c>
      <c r="AC471" t="n">
        <v>6510936178.78</v>
      </c>
      <c r="AD471" t="n">
        <v>383818055</v>
      </c>
      <c r="AE471" t="n">
        <v>97.22</v>
      </c>
    </row>
    <row r="472">
      <c r="A472" t="inlineStr">
        <is>
          <t>1.1 - FONDO LOCAL DE SALUD</t>
        </is>
      </c>
      <c r="B472" t="inlineStr">
        <is>
          <t>00 - SIN SECTOR</t>
        </is>
      </c>
      <c r="C472" t="inlineStr">
        <is>
          <t>00</t>
        </is>
      </c>
      <c r="D472" t="inlineStr">
        <is>
          <t>0000</t>
        </is>
      </c>
      <c r="E472" t="inlineStr">
        <is>
          <t>000000</t>
        </is>
      </c>
      <c r="F472" t="inlineStr">
        <is>
          <t>SIN PRODUCTO</t>
        </is>
      </c>
      <c r="G472" t="inlineStr">
        <is>
          <t>00</t>
        </is>
      </c>
      <c r="H472" t="inlineStr">
        <is>
          <t>00</t>
        </is>
      </c>
      <c r="I472" t="inlineStr">
        <is>
          <t>00</t>
        </is>
      </c>
      <c r="J472" t="inlineStr">
        <is>
          <t>SIN PRODUCTO DANE</t>
        </is>
      </c>
      <c r="K472" t="inlineStr">
        <is>
          <t>00</t>
        </is>
      </c>
      <c r="L472" t="inlineStr">
        <is>
          <t>SIN ATRIBUTO</t>
        </is>
      </c>
      <c r="N472" t="inlineStr">
        <is>
          <t>2.3.2.02</t>
        </is>
      </c>
      <c r="O472" t="inlineStr">
        <is>
          <t>Adquisiciones diferentes de activos</t>
        </is>
      </c>
      <c r="P472" t="inlineStr">
        <is>
          <t>00</t>
        </is>
      </c>
      <c r="Q472" t="inlineStr">
        <is>
          <t>RECURSOS</t>
        </is>
      </c>
      <c r="R472" t="n">
        <v>13791481336</v>
      </c>
      <c r="S472" t="n">
        <v>52976753</v>
      </c>
      <c r="T472" t="n">
        <v>23000000</v>
      </c>
      <c r="U472" t="n">
        <v>1400100</v>
      </c>
      <c r="V472" t="n">
        <v>1400100</v>
      </c>
      <c r="W472" t="n">
        <v>0</v>
      </c>
      <c r="X472" t="n">
        <v>0</v>
      </c>
      <c r="Y472" t="n">
        <v>13821458089</v>
      </c>
      <c r="Z472" t="n">
        <v>13437640034</v>
      </c>
      <c r="AA472" t="n">
        <v>6555084976.98</v>
      </c>
      <c r="AB472" t="n">
        <v>6510936178.78</v>
      </c>
      <c r="AC472" t="n">
        <v>6510936178.78</v>
      </c>
      <c r="AD472" t="n">
        <v>383818055</v>
      </c>
      <c r="AE472" t="n">
        <v>97.22</v>
      </c>
    </row>
    <row r="473">
      <c r="A473" t="inlineStr">
        <is>
          <t>1.1 - FONDO LOCAL DE SALUD</t>
        </is>
      </c>
      <c r="B473" t="inlineStr">
        <is>
          <t>00 - SIN SECTOR</t>
        </is>
      </c>
      <c r="C473" t="inlineStr">
        <is>
          <t>00</t>
        </is>
      </c>
      <c r="D473" t="inlineStr">
        <is>
          <t>0000</t>
        </is>
      </c>
      <c r="E473" t="inlineStr">
        <is>
          <t>000000</t>
        </is>
      </c>
      <c r="F473" t="inlineStr">
        <is>
          <t>SIN PRODUCTO</t>
        </is>
      </c>
      <c r="G473" t="inlineStr">
        <is>
          <t>00</t>
        </is>
      </c>
      <c r="H473" t="inlineStr">
        <is>
          <t>00</t>
        </is>
      </c>
      <c r="I473" t="inlineStr">
        <is>
          <t>00</t>
        </is>
      </c>
      <c r="J473" t="inlineStr">
        <is>
          <t>SIN PRODUCTO DANE</t>
        </is>
      </c>
      <c r="K473" t="inlineStr">
        <is>
          <t>00</t>
        </is>
      </c>
      <c r="L473" t="inlineStr">
        <is>
          <t>SIN ATRIBUTO</t>
        </is>
      </c>
      <c r="N473" t="inlineStr">
        <is>
          <t>2.3.2.02.02</t>
        </is>
      </c>
      <c r="O473" t="inlineStr">
        <is>
          <t>ADQUISICION DE SERVICIOS</t>
        </is>
      </c>
      <c r="P473" t="inlineStr">
        <is>
          <t>00</t>
        </is>
      </c>
      <c r="Q473" t="inlineStr">
        <is>
          <t>RECURSOS</t>
        </is>
      </c>
      <c r="R473" t="n">
        <v>13791481336</v>
      </c>
      <c r="S473" t="n">
        <v>52976753</v>
      </c>
      <c r="T473" t="n">
        <v>23000000</v>
      </c>
      <c r="U473" t="n">
        <v>1400100</v>
      </c>
      <c r="V473" t="n">
        <v>1400100</v>
      </c>
      <c r="W473" t="n">
        <v>0</v>
      </c>
      <c r="X473" t="n">
        <v>0</v>
      </c>
      <c r="Y473" t="n">
        <v>13821458089</v>
      </c>
      <c r="Z473" t="n">
        <v>13437640034</v>
      </c>
      <c r="AA473" t="n">
        <v>6555084976.98</v>
      </c>
      <c r="AB473" t="n">
        <v>6510936178.78</v>
      </c>
      <c r="AC473" t="n">
        <v>6510936178.78</v>
      </c>
      <c r="AD473" t="n">
        <v>383818055</v>
      </c>
      <c r="AE473" t="n">
        <v>97.22</v>
      </c>
    </row>
    <row r="474">
      <c r="A474" t="inlineStr">
        <is>
          <t>1.1 - FONDO LOCAL DE SALUD</t>
        </is>
      </c>
      <c r="B474" t="inlineStr">
        <is>
          <t>00 - SIN SECTOR</t>
        </is>
      </c>
      <c r="C474" t="inlineStr">
        <is>
          <t>00</t>
        </is>
      </c>
      <c r="D474" t="inlineStr">
        <is>
          <t>0000</t>
        </is>
      </c>
      <c r="E474" t="inlineStr">
        <is>
          <t>000000</t>
        </is>
      </c>
      <c r="F474" t="inlineStr">
        <is>
          <t>SIN PRODUCTO</t>
        </is>
      </c>
      <c r="G474" t="inlineStr">
        <is>
          <t>00</t>
        </is>
      </c>
      <c r="H474" t="inlineStr">
        <is>
          <t>00</t>
        </is>
      </c>
      <c r="I474" t="inlineStr">
        <is>
          <t>00</t>
        </is>
      </c>
      <c r="J474" t="inlineStr">
        <is>
          <t>SIN PRODUCTO DANE</t>
        </is>
      </c>
      <c r="K474" t="inlineStr">
        <is>
          <t>00</t>
        </is>
      </c>
      <c r="L474" t="inlineStr">
        <is>
          <t>SIN ATRIBUTO</t>
        </is>
      </c>
      <c r="N474" t="inlineStr">
        <is>
          <t>2.3.2.02.02.009</t>
        </is>
      </c>
      <c r="O474" t="inlineStr">
        <is>
          <t>SERVICIOS PARA LA COMUNIDAD, SOCIALES Y PERSONALES</t>
        </is>
      </c>
      <c r="P474" t="inlineStr">
        <is>
          <t>00</t>
        </is>
      </c>
      <c r="Q474" t="inlineStr">
        <is>
          <t>RECURSOS</t>
        </is>
      </c>
      <c r="R474" t="n">
        <v>13791481336</v>
      </c>
      <c r="S474" t="n">
        <v>52976753</v>
      </c>
      <c r="T474" t="n">
        <v>23000000</v>
      </c>
      <c r="U474" t="n">
        <v>1400100</v>
      </c>
      <c r="V474" t="n">
        <v>1400100</v>
      </c>
      <c r="W474" t="n">
        <v>0</v>
      </c>
      <c r="X474" t="n">
        <v>0</v>
      </c>
      <c r="Y474" t="n">
        <v>13821458089</v>
      </c>
      <c r="Z474" t="n">
        <v>13437640034</v>
      </c>
      <c r="AA474" t="n">
        <v>6555084976.98</v>
      </c>
      <c r="AB474" t="n">
        <v>6510936178.78</v>
      </c>
      <c r="AC474" t="n">
        <v>6510936178.78</v>
      </c>
      <c r="AD474" t="n">
        <v>383818055</v>
      </c>
      <c r="AE474" t="n">
        <v>97.22</v>
      </c>
    </row>
    <row r="475">
      <c r="A475" t="inlineStr">
        <is>
          <t>1.1 - FONDO LOCAL DE SALUD</t>
        </is>
      </c>
      <c r="B475" t="inlineStr">
        <is>
          <t>00 - SIN SECTOR</t>
        </is>
      </c>
      <c r="C475" t="inlineStr">
        <is>
          <t>00</t>
        </is>
      </c>
      <c r="D475" t="inlineStr">
        <is>
          <t>0000</t>
        </is>
      </c>
      <c r="E475" t="inlineStr">
        <is>
          <t>000000</t>
        </is>
      </c>
      <c r="F475" t="inlineStr">
        <is>
          <t>SIN PRODUCTO</t>
        </is>
      </c>
      <c r="G475" t="inlineStr">
        <is>
          <t>00</t>
        </is>
      </c>
      <c r="H475" t="inlineStr">
        <is>
          <t>00</t>
        </is>
      </c>
      <c r="I475" t="inlineStr">
        <is>
          <t>00</t>
        </is>
      </c>
      <c r="J475" t="inlineStr">
        <is>
          <t>SIN PRODUCTO DANE</t>
        </is>
      </c>
      <c r="K475" t="inlineStr">
        <is>
          <t>00</t>
        </is>
      </c>
      <c r="L475" t="inlineStr">
        <is>
          <t>SIN ATRIBUTO</t>
        </is>
      </c>
      <c r="N475" t="inlineStr">
        <is>
          <t>2.3.2.02.02.009.19</t>
        </is>
      </c>
      <c r="O475" t="inlineStr">
        <is>
          <t>SECTOR SALUD</t>
        </is>
      </c>
      <c r="P475" t="inlineStr">
        <is>
          <t>00</t>
        </is>
      </c>
      <c r="Q475" t="inlineStr">
        <is>
          <t>RECURSOS</t>
        </is>
      </c>
      <c r="R475" t="n">
        <v>13791481336</v>
      </c>
      <c r="S475" t="n">
        <v>52976753</v>
      </c>
      <c r="T475" t="n">
        <v>23000000</v>
      </c>
      <c r="U475" t="n">
        <v>1400100</v>
      </c>
      <c r="V475" t="n">
        <v>1400100</v>
      </c>
      <c r="W475" t="n">
        <v>0</v>
      </c>
      <c r="X475" t="n">
        <v>0</v>
      </c>
      <c r="Y475" t="n">
        <v>13821458089</v>
      </c>
      <c r="Z475" t="n">
        <v>13437640034</v>
      </c>
      <c r="AA475" t="n">
        <v>6555084976.98</v>
      </c>
      <c r="AB475" t="n">
        <v>6510936178.78</v>
      </c>
      <c r="AC475" t="n">
        <v>6510936178.78</v>
      </c>
      <c r="AD475" t="n">
        <v>383818055</v>
      </c>
      <c r="AE475" t="n">
        <v>97.22</v>
      </c>
    </row>
    <row r="476">
      <c r="A476" t="inlineStr">
        <is>
          <t>1.1 - FONDO LOCAL DE SALUD</t>
        </is>
      </c>
      <c r="B476" t="inlineStr">
        <is>
          <t>19 - SALUD Y PROTECCIÓN SOCIAL</t>
        </is>
      </c>
      <c r="C476" t="inlineStr">
        <is>
          <t>0300</t>
        </is>
      </c>
      <c r="D476" t="inlineStr">
        <is>
          <t>1906</t>
        </is>
      </c>
      <c r="E476" t="inlineStr">
        <is>
          <t>1906044</t>
        </is>
      </c>
      <c r="F476" t="inlineStr">
        <is>
          <t>SERVICIO DE AFILIACIONES AL REGIMEN SUBSIDIADO DEL SISTEMA GENERAL DE SEGURIDAD SOCIAL</t>
        </is>
      </c>
      <c r="G476" t="inlineStr">
        <is>
          <t>2024546600048</t>
        </is>
      </c>
      <c r="H476" t="inlineStr">
        <is>
          <t>FORTALECIMIENTO DEL ASEGURAMIENTO Y PRESTACIÓN INTEGRAL DE SERVICIOS DE SALUD PDM UNIDOS SOMOS MÁS EN EL MUNICIPIO DE   SALAZAR</t>
        </is>
      </c>
      <c r="I476" t="inlineStr">
        <is>
          <t>91122</t>
        </is>
      </c>
      <c r="J476" t="inlineStr">
        <is>
          <t>Servicios de la administración pública relacionados con la salud</t>
        </is>
      </c>
      <c r="K476" t="inlineStr">
        <is>
          <t>00</t>
        </is>
      </c>
      <c r="L476" t="inlineStr">
        <is>
          <t>SIN ATRIBUTO</t>
        </is>
      </c>
      <c r="N476" t="inlineStr">
        <is>
          <t>2.3.2.02.02.009.19.01</t>
        </is>
      </c>
      <c r="O476" t="inlineStr">
        <is>
          <t>Regimen subsidiado</t>
        </is>
      </c>
      <c r="P476" t="inlineStr">
        <is>
          <t>260</t>
        </is>
      </c>
      <c r="Q476" t="inlineStr">
        <is>
          <t>SGP SALUD REGIMEN SUBSIDIADO ONCE DOCEAVAS VIGENCIA ACTUAL MAS ULTIMA DOCEAVA VIGENCIA ANTERIOR</t>
        </is>
      </c>
      <c r="R476" t="n">
        <v>5164858462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5164858462</v>
      </c>
      <c r="Z476" t="n">
        <v>5164858462</v>
      </c>
      <c r="AA476" t="n">
        <v>2133097777</v>
      </c>
      <c r="AB476" t="n">
        <v>2133097777</v>
      </c>
      <c r="AC476" t="n">
        <v>2133097777</v>
      </c>
      <c r="AD476" t="n">
        <v>0</v>
      </c>
      <c r="AE476" t="n">
        <v>100</v>
      </c>
    </row>
    <row r="477">
      <c r="A477" t="inlineStr">
        <is>
          <t>1.1 - FONDO LOCAL DE SALUD</t>
        </is>
      </c>
      <c r="B477" t="inlineStr">
        <is>
          <t>19 - SALUD Y PROTECCIÓN SOCIAL</t>
        </is>
      </c>
      <c r="C477" t="inlineStr">
        <is>
          <t>0300</t>
        </is>
      </c>
      <c r="D477" t="inlineStr">
        <is>
          <t>1906</t>
        </is>
      </c>
      <c r="E477" t="inlineStr">
        <is>
          <t>1906044</t>
        </is>
      </c>
      <c r="F477" t="inlineStr">
        <is>
          <t>SERVICIO DE AFILIACIONES AL REGIMEN SUBSIDIADO DEL SISTEMA GENERAL DE SEGURIDAD SOCIAL</t>
        </is>
      </c>
      <c r="G477" t="inlineStr">
        <is>
          <t>2024546600048</t>
        </is>
      </c>
      <c r="H477" t="inlineStr">
        <is>
          <t>FORTALECIMIENTO DEL ASEGURAMIENTO Y PRESTACIÓN INTEGRAL DE SERVICIOS DE SALUD PDM UNIDOS SOMOS MÁS EN EL MUNICIPIO DE   SALAZAR</t>
        </is>
      </c>
      <c r="I477" t="inlineStr">
        <is>
          <t>91122</t>
        </is>
      </c>
      <c r="J477" t="inlineStr">
        <is>
          <t>Servicios de la administración pública relacionados con la salud</t>
        </is>
      </c>
      <c r="K477" t="inlineStr">
        <is>
          <t>00</t>
        </is>
      </c>
      <c r="L477" t="inlineStr">
        <is>
          <t>SIN ATRIBUTO</t>
        </is>
      </c>
      <c r="N477" t="inlineStr">
        <is>
          <t>2.3.2.02.02.009.19.02</t>
        </is>
      </c>
      <c r="O477" t="inlineStr">
        <is>
          <t>Régimen subsidiado</t>
        </is>
      </c>
      <c r="P477" t="inlineStr">
        <is>
          <t>630</t>
        </is>
      </c>
      <c r="Q477" t="inlineStr">
        <is>
          <t>COLJUEGOS</t>
        </is>
      </c>
      <c r="R477" t="n">
        <v>106032935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106032935</v>
      </c>
      <c r="Z477" t="n">
        <v>106032935</v>
      </c>
      <c r="AA477" t="n">
        <v>40263025</v>
      </c>
      <c r="AB477" t="n">
        <v>40263025</v>
      </c>
      <c r="AC477" t="n">
        <v>40263025</v>
      </c>
      <c r="AD477" t="n">
        <v>0</v>
      </c>
      <c r="AE477" t="n">
        <v>100</v>
      </c>
    </row>
    <row r="478">
      <c r="A478" t="inlineStr">
        <is>
          <t>1.1 - FONDO LOCAL DE SALUD</t>
        </is>
      </c>
      <c r="B478" t="inlineStr">
        <is>
          <t>19 - SALUD Y PROTECCIÓN SOCIAL</t>
        </is>
      </c>
      <c r="C478" t="inlineStr">
        <is>
          <t>0300</t>
        </is>
      </c>
      <c r="D478" t="inlineStr">
        <is>
          <t>1906</t>
        </is>
      </c>
      <c r="E478" t="inlineStr">
        <is>
          <t>1906044</t>
        </is>
      </c>
      <c r="F478" t="inlineStr">
        <is>
          <t>SERVICIO DE AFILIACIONES AL REGIMEN SUBSIDIADO DEL SISTEMA GENERAL DE SEGURIDAD SOCIAL</t>
        </is>
      </c>
      <c r="G478" t="inlineStr">
        <is>
          <t>2024546600048</t>
        </is>
      </c>
      <c r="H478" t="inlineStr">
        <is>
          <t>FORTALECIMIENTO DEL ASEGURAMIENTO Y PRESTACIÓN INTEGRAL DE SERVICIOS DE SALUD PDM UNIDOS SOMOS MÁS EN EL MUNICIPIO DE   SALAZAR</t>
        </is>
      </c>
      <c r="I478" t="inlineStr">
        <is>
          <t>91122</t>
        </is>
      </c>
      <c r="J478" t="inlineStr">
        <is>
          <t>Servicios de la administración pública relacionados con la salud</t>
        </is>
      </c>
      <c r="K478" t="inlineStr">
        <is>
          <t>00</t>
        </is>
      </c>
      <c r="L478" t="inlineStr">
        <is>
          <t>SIN ATRIBUTO</t>
        </is>
      </c>
      <c r="N478" t="inlineStr">
        <is>
          <t>2.3.2.02.02.009.19.03</t>
        </is>
      </c>
      <c r="O478" t="inlineStr">
        <is>
          <t>Régimen subsidiado</t>
        </is>
      </c>
      <c r="P478" t="inlineStr">
        <is>
          <t>600</t>
        </is>
      </c>
      <c r="Q478" t="inlineStr">
        <is>
          <t>ADRES</t>
        </is>
      </c>
      <c r="R478" t="n">
        <v>7705754382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7705754382</v>
      </c>
      <c r="Z478" t="n">
        <v>7705754382</v>
      </c>
      <c r="AA478" t="n">
        <v>4085561906.82</v>
      </c>
      <c r="AB478" t="n">
        <v>4085561906.82</v>
      </c>
      <c r="AC478" t="n">
        <v>4085561906.82</v>
      </c>
      <c r="AD478" t="n">
        <v>0</v>
      </c>
      <c r="AE478" t="n">
        <v>100</v>
      </c>
    </row>
    <row r="479">
      <c r="A479" t="inlineStr">
        <is>
          <t>1.1 - FONDO LOCAL DE SALUD</t>
        </is>
      </c>
      <c r="B479" t="inlineStr">
        <is>
          <t>19 - SALUD Y PROTECCIÓN SOCIAL</t>
        </is>
      </c>
      <c r="C479" t="inlineStr">
        <is>
          <t>0300</t>
        </is>
      </c>
      <c r="D479" t="inlineStr">
        <is>
          <t>1906</t>
        </is>
      </c>
      <c r="E479" t="inlineStr">
        <is>
          <t>1906044</t>
        </is>
      </c>
      <c r="F479" t="inlineStr">
        <is>
          <t>SERVICIO DE AFILIACIONES AL REGIMEN SUBSIDIADO DEL SISTEMA GENERAL DE SEGURIDAD SOCIAL</t>
        </is>
      </c>
      <c r="G479" t="inlineStr">
        <is>
          <t>2024546600048</t>
        </is>
      </c>
      <c r="H479" t="inlineStr">
        <is>
          <t>FORTALECIMIENTO DEL ASEGURAMIENTO Y PRESTACIÓN INTEGRAL DE SERVICIOS DE SALUD PDM UNIDOS SOMOS MÁS EN EL MUNICIPIO DE   SALAZAR</t>
        </is>
      </c>
      <c r="I479" t="inlineStr">
        <is>
          <t>91122</t>
        </is>
      </c>
      <c r="J479" t="inlineStr">
        <is>
          <t>Servicios de la administración pública relacionados con la salud</t>
        </is>
      </c>
      <c r="K479" t="inlineStr">
        <is>
          <t>00</t>
        </is>
      </c>
      <c r="L479" t="inlineStr">
        <is>
          <t>SIN ATRIBUTO</t>
        </is>
      </c>
      <c r="N479" t="inlineStr">
        <is>
          <t>2.3.2.02.02.009.19.04</t>
        </is>
      </c>
      <c r="O479" t="inlineStr">
        <is>
          <t>Régimen subsidiado</t>
        </is>
      </c>
      <c r="P479" t="inlineStr">
        <is>
          <t>680</t>
        </is>
      </c>
      <c r="Q479" t="inlineStr">
        <is>
          <t>OTRAS FUENTES DIFERENTES A LAS ANTERIORES</t>
        </is>
      </c>
      <c r="R479" t="n">
        <v>3396564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3396564</v>
      </c>
      <c r="Z479" t="n">
        <v>3396564</v>
      </c>
      <c r="AA479" t="n">
        <v>1538907.89</v>
      </c>
      <c r="AB479" t="n">
        <v>1538907.89</v>
      </c>
      <c r="AC479" t="n">
        <v>1538907.89</v>
      </c>
      <c r="AD479" t="n">
        <v>0</v>
      </c>
      <c r="AE479" t="n">
        <v>100</v>
      </c>
    </row>
    <row r="480">
      <c r="A480" t="inlineStr">
        <is>
          <t>1.1 - FONDO LOCAL DE SALUD</t>
        </is>
      </c>
      <c r="B480" t="inlineStr">
        <is>
          <t>19 - SALUD Y PROTECCIÓN SOCIAL</t>
        </is>
      </c>
      <c r="C480" t="inlineStr">
        <is>
          <t>0300</t>
        </is>
      </c>
      <c r="D480" t="inlineStr">
        <is>
          <t>1906</t>
        </is>
      </c>
      <c r="E480" t="inlineStr">
        <is>
          <t>1906044</t>
        </is>
      </c>
      <c r="F480" t="inlineStr">
        <is>
          <t>SERVICIO DE AFILIACIONES AL REGIMEN SUBSIDIADO DEL SISTEMA GENERAL DE SEGURIDAD SOCIAL</t>
        </is>
      </c>
      <c r="G480" t="inlineStr">
        <is>
          <t>2024546600048</t>
        </is>
      </c>
      <c r="H480" t="inlineStr">
        <is>
          <t>FORTALECIMIENTO DEL ASEGURAMIENTO Y PRESTACIÓN INTEGRAL DE SERVICIOS DE SALUD PDM UNIDOS SOMOS MÁS EN EL MUNICIPIO DE   SALAZAR</t>
        </is>
      </c>
      <c r="I480" t="inlineStr">
        <is>
          <t>91122</t>
        </is>
      </c>
      <c r="J480" t="inlineStr">
        <is>
          <t>Servicios de la administración pública relacionados con la salud</t>
        </is>
      </c>
      <c r="K480" t="inlineStr">
        <is>
          <t>00</t>
        </is>
      </c>
      <c r="L480" t="inlineStr">
        <is>
          <t>SIN ATRIBUTO</t>
        </is>
      </c>
      <c r="N480" t="inlineStr">
        <is>
          <t>2.3.2.02.02.009.19.05</t>
        </is>
      </c>
      <c r="O480" t="inlineStr">
        <is>
          <t>Régimen subsidiado</t>
        </is>
      </c>
      <c r="P480" t="inlineStr">
        <is>
          <t>510</t>
        </is>
      </c>
      <c r="Q480" t="inlineStr">
        <is>
          <t>COFINANCIACION DEPARTAMENTAL</t>
        </is>
      </c>
      <c r="R480" t="n">
        <v>315954895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315954895</v>
      </c>
      <c r="Z480" t="n">
        <v>315954895</v>
      </c>
      <c r="AA480" t="n">
        <v>152980564.27</v>
      </c>
      <c r="AB480" t="n">
        <v>152980564.27</v>
      </c>
      <c r="AC480" t="n">
        <v>152980564.27</v>
      </c>
      <c r="AD480" t="n">
        <v>0</v>
      </c>
      <c r="AE480" t="n">
        <v>100</v>
      </c>
    </row>
    <row r="481">
      <c r="A481" t="inlineStr">
        <is>
          <t>1.1 - FONDO LOCAL DE SALUD</t>
        </is>
      </c>
      <c r="B481" t="inlineStr">
        <is>
          <t>19 - SALUD Y PROTECCIÓN SOCIAL</t>
        </is>
      </c>
      <c r="C481" t="inlineStr">
        <is>
          <t>0300</t>
        </is>
      </c>
      <c r="D481" t="inlineStr">
        <is>
          <t>1906</t>
        </is>
      </c>
      <c r="E481" t="inlineStr">
        <is>
          <t>1906044</t>
        </is>
      </c>
      <c r="F481" t="inlineStr">
        <is>
          <t>SERVICIO DE AFILIACIONES AL REGIMEN SUBSIDIADO DEL SISTEMA GENERAL DE SEGURIDAD SOCIAL</t>
        </is>
      </c>
      <c r="G481" t="inlineStr">
        <is>
          <t>2024546600048</t>
        </is>
      </c>
      <c r="H481" t="inlineStr">
        <is>
          <t>FORTALECIMIENTO DEL ASEGURAMIENTO Y PRESTACIÓN INTEGRAL DE SERVICIOS DE SALUD PDM UNIDOS SOMOS MÁS EN EL MUNICIPIO DE   SALAZAR</t>
        </is>
      </c>
      <c r="I481" t="inlineStr">
        <is>
          <t>91122</t>
        </is>
      </c>
      <c r="J481" t="inlineStr">
        <is>
          <t>Servicios de la administración pública relacionados con la salud</t>
        </is>
      </c>
      <c r="K481" t="inlineStr">
        <is>
          <t>00</t>
        </is>
      </c>
      <c r="L481" t="inlineStr">
        <is>
          <t>SIN ATRIBUTO</t>
        </is>
      </c>
      <c r="N481" t="inlineStr">
        <is>
          <t>2.3.2.02.02.009.19.06</t>
        </is>
      </c>
      <c r="O481" t="inlineStr">
        <is>
          <t>Régimen subsidiado</t>
        </is>
      </c>
      <c r="P481" t="inlineStr">
        <is>
          <t>670.22</t>
        </is>
      </c>
      <c r="Q481" t="inlineStr">
        <is>
          <t>REND. FCROS. REGIMEN SUBSIDIADO EN SALUD</t>
        </is>
      </c>
      <c r="R481" t="n">
        <v>100000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100000</v>
      </c>
      <c r="Z481" t="n">
        <v>0</v>
      </c>
      <c r="AA481" t="n">
        <v>0</v>
      </c>
      <c r="AB481" t="n">
        <v>0</v>
      </c>
      <c r="AC481" t="n">
        <v>0</v>
      </c>
      <c r="AD481" t="n">
        <v>100000</v>
      </c>
      <c r="AE481" t="n">
        <v>0</v>
      </c>
    </row>
    <row r="482">
      <c r="A482" t="inlineStr">
        <is>
          <t>1.1 - FONDO LOCAL DE SALUD</t>
        </is>
      </c>
      <c r="B482" t="inlineStr">
        <is>
          <t>19 - SALUD Y PROTECCIÓN SOCIAL</t>
        </is>
      </c>
      <c r="C482" t="inlineStr">
        <is>
          <t>0300</t>
        </is>
      </c>
      <c r="D482" t="inlineStr">
        <is>
          <t>1906</t>
        </is>
      </c>
      <c r="E482" t="inlineStr">
        <is>
          <t>1906044</t>
        </is>
      </c>
      <c r="F482" t="inlineStr">
        <is>
          <t>SERVICIO DE AFILIACIONES AL REGIMEN SUBSIDIADO DEL SISTEMA GENERAL DE SEGURIDAD SOCIAL</t>
        </is>
      </c>
      <c r="G482" t="inlineStr">
        <is>
          <t>2024546600048</t>
        </is>
      </c>
      <c r="H482" t="inlineStr">
        <is>
          <t>FORTALECIMIENTO DEL ASEGURAMIENTO Y PRESTACIÓN INTEGRAL DE SERVICIOS DE SALUD PDM UNIDOS SOMOS MÁS EN EL MUNICIPIO DE   SALAZAR</t>
        </is>
      </c>
      <c r="I482" t="inlineStr">
        <is>
          <t>91122</t>
        </is>
      </c>
      <c r="J482" t="inlineStr">
        <is>
          <t>Servicios de la administración pública relacionados con la salud</t>
        </is>
      </c>
      <c r="K482" t="inlineStr">
        <is>
          <t>00</t>
        </is>
      </c>
      <c r="L482" t="inlineStr">
        <is>
          <t>SIN ATRIBUTO</t>
        </is>
      </c>
      <c r="N482" t="inlineStr">
        <is>
          <t>2.3.2.02.02.009.19.07</t>
        </is>
      </c>
      <c r="O482" t="inlineStr">
        <is>
          <t>Auditoria Régimen subsidiado</t>
        </is>
      </c>
      <c r="P482" t="inlineStr">
        <is>
          <t>360</t>
        </is>
      </c>
      <c r="Q482" t="inlineStr">
        <is>
          <t>SGP PROPOSITO GENERAL 42 POR CIENTO RECURSOS LIBRE DESTINACION SGP PROPOSITO GENERAL MPIOS DE CATEGORIA 4 5 Y 6 SGP ONCE</t>
        </is>
      </c>
      <c r="R482" t="n">
        <v>48000000</v>
      </c>
      <c r="S482" t="n">
        <v>0</v>
      </c>
      <c r="T482" t="n">
        <v>23000000</v>
      </c>
      <c r="U482" t="n">
        <v>0</v>
      </c>
      <c r="V482" t="n">
        <v>0</v>
      </c>
      <c r="W482" t="n">
        <v>0</v>
      </c>
      <c r="X482" t="n">
        <v>0</v>
      </c>
      <c r="Y482" t="n">
        <v>25000000</v>
      </c>
      <c r="Z482" t="n">
        <v>25000000</v>
      </c>
      <c r="AA482" t="n">
        <v>25000000</v>
      </c>
      <c r="AB482" t="n">
        <v>15000000</v>
      </c>
      <c r="AC482" t="n">
        <v>15000000</v>
      </c>
      <c r="AD482" t="n">
        <v>0</v>
      </c>
      <c r="AE482" t="n">
        <v>100</v>
      </c>
    </row>
    <row r="483">
      <c r="A483" t="inlineStr">
        <is>
          <t>1.1 - FONDO LOCAL DE SALUD</t>
        </is>
      </c>
      <c r="B483" t="inlineStr">
        <is>
          <t>19 - SALUD Y PROTECCIÓN SOCIAL</t>
        </is>
      </c>
      <c r="C483" t="inlineStr">
        <is>
          <t>0300</t>
        </is>
      </c>
      <c r="D483" t="inlineStr">
        <is>
          <t>1906</t>
        </is>
      </c>
      <c r="E483" t="inlineStr">
        <is>
          <t>1906044</t>
        </is>
      </c>
      <c r="F483" t="inlineStr">
        <is>
          <t>SERVICIO DE AFILIACIONES AL REGIMEN SUBSIDIADO DEL SISTEMA GENERAL DE SEGURIDAD SOCIAL</t>
        </is>
      </c>
      <c r="G483" t="inlineStr">
        <is>
          <t>2024546600048</t>
        </is>
      </c>
      <c r="H483" t="inlineStr">
        <is>
          <t>FORTALECIMIENTO DEL ASEGURAMIENTO Y PRESTACIÓN INTEGRAL DE SERVICIOS DE SALUD PDM UNIDOS SOMOS MÁS EN EL MUNICIPIO DE   SALAZAR</t>
        </is>
      </c>
      <c r="I483" t="inlineStr">
        <is>
          <t>91122</t>
        </is>
      </c>
      <c r="J483" t="inlineStr">
        <is>
          <t>Servicios de la administración pública relacionados con la salud</t>
        </is>
      </c>
      <c r="K483" t="inlineStr">
        <is>
          <t>00</t>
        </is>
      </c>
      <c r="L483" t="inlineStr">
        <is>
          <t>SIN ATRIBUTO</t>
        </is>
      </c>
      <c r="N483" t="inlineStr">
        <is>
          <t>2.3.2.02.02.009.19.08</t>
        </is>
      </c>
      <c r="O483" t="inlineStr">
        <is>
          <t>Apoyo afiliación Régimen subsidiado</t>
        </is>
      </c>
      <c r="P483" t="inlineStr">
        <is>
          <t>631</t>
        </is>
      </c>
      <c r="Q483" t="inlineStr">
        <is>
          <t>Coljuegos 25%</t>
        </is>
      </c>
      <c r="R483" t="n">
        <v>35991278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35991278</v>
      </c>
      <c r="Z483" t="n">
        <v>12000000</v>
      </c>
      <c r="AA483" t="n">
        <v>12000000</v>
      </c>
      <c r="AB483" t="n">
        <v>9457432.199999999</v>
      </c>
      <c r="AC483" t="n">
        <v>9457432.199999999</v>
      </c>
      <c r="AD483" t="n">
        <v>23991278</v>
      </c>
      <c r="AE483" t="n">
        <v>33.34</v>
      </c>
    </row>
    <row r="484">
      <c r="A484" t="inlineStr">
        <is>
          <t>1.1 - FONDO LOCAL DE SALUD</t>
        </is>
      </c>
      <c r="B484" t="inlineStr">
        <is>
          <t>19 - SALUD Y PROTECCIÓN SOCIAL</t>
        </is>
      </c>
      <c r="C484" t="inlineStr">
        <is>
          <t>0300</t>
        </is>
      </c>
      <c r="D484" t="inlineStr">
        <is>
          <t>1906</t>
        </is>
      </c>
      <c r="E484" t="inlineStr">
        <is>
          <t>1906044</t>
        </is>
      </c>
      <c r="F484" t="inlineStr">
        <is>
          <t>SERVICIO DE AFILIACIONES AL REGIMEN SUBSIDIADO DEL SISTEMA GENERAL DE SEGURIDAD SOCIAL</t>
        </is>
      </c>
      <c r="G484" t="inlineStr">
        <is>
          <t>2024546600048</t>
        </is>
      </c>
      <c r="H484" t="inlineStr">
        <is>
          <t>FORTALECIMIENTO DEL ASEGURAMIENTO Y PRESTACIÓN INTEGRAL DE SERVICIOS DE SALUD PDM UNIDOS SOMOS MÁS EN EL MUNICIPIO DE   SALAZAR</t>
        </is>
      </c>
      <c r="I484" t="inlineStr">
        <is>
          <t>91122</t>
        </is>
      </c>
      <c r="J484" t="inlineStr">
        <is>
          <t>Servicios de la administración pública relacionados con la salud</t>
        </is>
      </c>
      <c r="K484" t="inlineStr">
        <is>
          <t>00</t>
        </is>
      </c>
      <c r="L484" t="inlineStr">
        <is>
          <t>SIN ATRIBUTO</t>
        </is>
      </c>
      <c r="N484" t="inlineStr">
        <is>
          <t>2.3.2.02.02.009.19.09</t>
        </is>
      </c>
      <c r="O484" t="inlineStr">
        <is>
          <t>Apoyo afiliación Régimen subsidiado</t>
        </is>
      </c>
      <c r="P484" t="inlineStr">
        <is>
          <t>631.2</t>
        </is>
      </c>
      <c r="Q484" t="inlineStr">
        <is>
          <t>RF Coljuegos 25%</t>
        </is>
      </c>
      <c r="R484" t="n">
        <v>100000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100000</v>
      </c>
      <c r="Z484" t="n">
        <v>0</v>
      </c>
      <c r="AA484" t="n">
        <v>0</v>
      </c>
      <c r="AB484" t="n">
        <v>0</v>
      </c>
      <c r="AC484" t="n">
        <v>0</v>
      </c>
      <c r="AD484" t="n">
        <v>100000</v>
      </c>
      <c r="AE484" t="n">
        <v>0</v>
      </c>
    </row>
    <row r="485">
      <c r="A485" t="inlineStr">
        <is>
          <t>1.1 - FONDO LOCAL DE SALUD</t>
        </is>
      </c>
      <c r="B485" t="inlineStr">
        <is>
          <t>00 - SIN SECTOR</t>
        </is>
      </c>
      <c r="C485" t="inlineStr">
        <is>
          <t>00</t>
        </is>
      </c>
      <c r="D485" t="inlineStr">
        <is>
          <t>0000</t>
        </is>
      </c>
      <c r="E485" t="inlineStr">
        <is>
          <t>000000</t>
        </is>
      </c>
      <c r="F485" t="inlineStr">
        <is>
          <t>SIN PRODUCTO</t>
        </is>
      </c>
      <c r="G485" t="inlineStr">
        <is>
          <t>00</t>
        </is>
      </c>
      <c r="H485" t="inlineStr">
        <is>
          <t>00</t>
        </is>
      </c>
      <c r="I485" t="inlineStr">
        <is>
          <t>00</t>
        </is>
      </c>
      <c r="J485" t="inlineStr">
        <is>
          <t>SIN PRODUCTO DANE</t>
        </is>
      </c>
      <c r="K485" t="inlineStr">
        <is>
          <t>00</t>
        </is>
      </c>
      <c r="L485" t="inlineStr">
        <is>
          <t>SIN ATRIBUTO</t>
        </is>
      </c>
      <c r="N485" t="inlineStr">
        <is>
          <t>2.3.2.02.02.009.19.1</t>
        </is>
      </c>
      <c r="O485" t="inlineStr">
        <is>
          <t>SALUD PUBLICA</t>
        </is>
      </c>
      <c r="P485" t="inlineStr">
        <is>
          <t>00</t>
        </is>
      </c>
      <c r="Q485" t="inlineStr">
        <is>
          <t>RECURSOS</t>
        </is>
      </c>
      <c r="R485" t="n">
        <v>0</v>
      </c>
      <c r="S485" t="n">
        <v>16832114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16832114</v>
      </c>
      <c r="Z485" t="n">
        <v>0</v>
      </c>
      <c r="AA485" t="n">
        <v>0</v>
      </c>
      <c r="AB485" t="n">
        <v>0</v>
      </c>
      <c r="AC485" t="n">
        <v>0</v>
      </c>
      <c r="AD485" t="n">
        <v>16832114</v>
      </c>
      <c r="AE485" t="n">
        <v>0</v>
      </c>
    </row>
    <row r="486">
      <c r="A486" t="inlineStr">
        <is>
          <t>1.1 - FONDO LOCAL DE SALUD</t>
        </is>
      </c>
      <c r="B486" t="inlineStr">
        <is>
          <t>19 - SALUD Y PROTECCIÓN SOCIAL</t>
        </is>
      </c>
      <c r="C486" t="inlineStr">
        <is>
          <t>0300</t>
        </is>
      </c>
      <c r="D486" t="inlineStr">
        <is>
          <t>1905</t>
        </is>
      </c>
      <c r="E486" t="inlineStr">
        <is>
          <t>1905020</t>
        </is>
      </c>
      <c r="F486" t="inlineStr">
        <is>
          <t>SERVICIO DE GESTIÓN DEL RIESGO EN TEMAS DE CONSUMO DE SUSTANCIAS PSICOACTIVAS</t>
        </is>
      </c>
      <c r="G486" t="inlineStr">
        <is>
          <t>2024546600046</t>
        </is>
      </c>
      <c r="H486" t="inlineStr">
        <is>
          <t>FORTALECIMIENTO DE LA SALUD PÚBLICA PDM UNIDOS SOMOS MÁS EN EL MUNICIPIO DE  SALAZAR</t>
        </is>
      </c>
      <c r="I486" t="inlineStr">
        <is>
          <t>91122</t>
        </is>
      </c>
      <c r="J486" t="inlineStr">
        <is>
          <t>Servicios de la administración pública relacionados con la salud</t>
        </is>
      </c>
      <c r="K486" t="inlineStr">
        <is>
          <t>00</t>
        </is>
      </c>
      <c r="L486" t="inlineStr">
        <is>
          <t>SIN ATRIBUTO</t>
        </is>
      </c>
      <c r="N486" t="inlineStr">
        <is>
          <t>2.3.2.02.02.009.19.10</t>
        </is>
      </c>
      <c r="O486" t="inlineStr">
        <is>
          <t>Servicio de gestión del riesgo en temas de consumo de sustancias psicoactivas - Gestión</t>
        </is>
      </c>
      <c r="P486" t="inlineStr">
        <is>
          <t>261</t>
        </is>
      </c>
      <c r="Q486" t="inlineStr">
        <is>
          <t>SGP SALUD PUBLICA ONCE DOCEAVAS VIGENCIA ACTUAL MAS ULTIMA DOCEAVA VIGENCIA ANTERIOR</t>
        </is>
      </c>
      <c r="R486" t="n">
        <v>9630000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9630000</v>
      </c>
      <c r="Z486" t="n">
        <v>4293333.33</v>
      </c>
      <c r="AA486" t="n">
        <v>4293333.33</v>
      </c>
      <c r="AB486" t="n">
        <v>3826666.66</v>
      </c>
      <c r="AC486" t="n">
        <v>3826666.66</v>
      </c>
      <c r="AD486" t="n">
        <v>5336666.67</v>
      </c>
      <c r="AE486" t="n">
        <v>44.58</v>
      </c>
    </row>
    <row r="487">
      <c r="A487" t="inlineStr">
        <is>
          <t>1.1 - FONDO LOCAL DE SALUD</t>
        </is>
      </c>
      <c r="B487" t="inlineStr">
        <is>
          <t>19 - SALUD Y PROTECCIÓN SOCIAL</t>
        </is>
      </c>
      <c r="C487" t="inlineStr">
        <is>
          <t>0300</t>
        </is>
      </c>
      <c r="D487" t="inlineStr">
        <is>
          <t>1905</t>
        </is>
      </c>
      <c r="E487" t="inlineStr">
        <is>
          <t>1905020</t>
        </is>
      </c>
      <c r="F487" t="inlineStr">
        <is>
          <t>SERVICIO DE GESTIÓN DEL RIESGO EN TEMAS DE CONSUMO DE SUSTANCIAS PSICOACTIVAS</t>
        </is>
      </c>
      <c r="G487" t="inlineStr">
        <is>
          <t>2024546600046</t>
        </is>
      </c>
      <c r="H487" t="inlineStr">
        <is>
          <t>FORTALECIMIENTO DE LA SALUD PÚBLICA PDM UNIDOS SOMOS MÁS EN EL MUNICIPIO DE  SALAZAR</t>
        </is>
      </c>
      <c r="I487" t="inlineStr">
        <is>
          <t>91122</t>
        </is>
      </c>
      <c r="J487" t="inlineStr">
        <is>
          <t>Servicios de la administración pública relacionados con la salud</t>
        </is>
      </c>
      <c r="K487" t="inlineStr">
        <is>
          <t>00</t>
        </is>
      </c>
      <c r="L487" t="inlineStr">
        <is>
          <t>SIN ATRIBUTO</t>
        </is>
      </c>
      <c r="N487" t="inlineStr">
        <is>
          <t>2.3.2.02.02.009.19.11</t>
        </is>
      </c>
      <c r="O487" t="inlineStr">
        <is>
          <t>Servicio de gestión del riesgo en temas de consumo de sustancias psicoactivas - PIC</t>
        </is>
      </c>
      <c r="P487" t="inlineStr">
        <is>
          <t>261</t>
        </is>
      </c>
      <c r="Q487" t="inlineStr">
        <is>
          <t>SGP SALUD PUBLICA ONCE DOCEAVAS VIGENCIA ACTUAL MAS ULTIMA DOCEAVA VIGENCIA ANTERIOR</t>
        </is>
      </c>
      <c r="R487" t="n">
        <v>20653115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20653115</v>
      </c>
      <c r="Z487" t="n">
        <v>0</v>
      </c>
      <c r="AA487" t="n">
        <v>0</v>
      </c>
      <c r="AB487" t="n">
        <v>0</v>
      </c>
      <c r="AC487" t="n">
        <v>0</v>
      </c>
      <c r="AD487" t="n">
        <v>20653115</v>
      </c>
      <c r="AE487" t="n">
        <v>0</v>
      </c>
    </row>
    <row r="488">
      <c r="A488" t="inlineStr">
        <is>
          <t>1.1 - FONDO LOCAL DE SALUD</t>
        </is>
      </c>
      <c r="B488" t="inlineStr">
        <is>
          <t>19 - SALUD Y PROTECCIÓN SOCIAL</t>
        </is>
      </c>
      <c r="C488" t="inlineStr">
        <is>
          <t>0300</t>
        </is>
      </c>
      <c r="D488" t="inlineStr">
        <is>
          <t>1905</t>
        </is>
      </c>
      <c r="E488" t="inlineStr">
        <is>
          <t>1905021</t>
        </is>
      </c>
      <c r="F488" t="inlineStr">
        <is>
          <t>SERVICIO DE GESTIÓN DEL RIESGO EN TEMAS DE SALUD SEXUAL Y REPRODUCTIVA</t>
        </is>
      </c>
      <c r="G488" t="inlineStr">
        <is>
          <t>2024546600046</t>
        </is>
      </c>
      <c r="H488" t="inlineStr">
        <is>
          <t>FORTALECIMIENTO DE LA SALUD PÚBLICA PDM UNIDOS SOMOS MÁS EN EL MUNICIPIO DE  SALAZAR</t>
        </is>
      </c>
      <c r="I488" t="inlineStr">
        <is>
          <t>91122</t>
        </is>
      </c>
      <c r="J488" t="inlineStr">
        <is>
          <t>Servicios de la administración pública relacionados con la salud</t>
        </is>
      </c>
      <c r="K488" t="inlineStr">
        <is>
          <t>00</t>
        </is>
      </c>
      <c r="L488" t="inlineStr">
        <is>
          <t>SIN ATRIBUTO</t>
        </is>
      </c>
      <c r="N488" t="inlineStr">
        <is>
          <t>2.3.2.02.02.009.19.12</t>
        </is>
      </c>
      <c r="O488" t="inlineStr">
        <is>
          <t>Servicio de gestión del riesgo en temas de salud sexual y reproductiva - Gestión</t>
        </is>
      </c>
      <c r="P488" t="inlineStr">
        <is>
          <t>261</t>
        </is>
      </c>
      <c r="Q488" t="inlineStr">
        <is>
          <t>SGP SALUD PUBLICA ONCE DOCEAVAS VIGENCIA ACTUAL MAS ULTIMA DOCEAVA VIGENCIA ANTERIOR</t>
        </is>
      </c>
      <c r="R488" t="n">
        <v>9630000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9630000</v>
      </c>
      <c r="Z488" t="n">
        <v>4293333.33</v>
      </c>
      <c r="AA488" t="n">
        <v>4293333.33</v>
      </c>
      <c r="AB488" t="n">
        <v>3826666.66</v>
      </c>
      <c r="AC488" t="n">
        <v>3826666.66</v>
      </c>
      <c r="AD488" t="n">
        <v>5336666.67</v>
      </c>
      <c r="AE488" t="n">
        <v>44.58</v>
      </c>
    </row>
    <row r="489">
      <c r="A489" t="inlineStr">
        <is>
          <t>1.1 - FONDO LOCAL DE SALUD</t>
        </is>
      </c>
      <c r="B489" t="inlineStr">
        <is>
          <t>19 - SALUD Y PROTECCIÓN SOCIAL</t>
        </is>
      </c>
      <c r="C489" t="inlineStr">
        <is>
          <t>0300</t>
        </is>
      </c>
      <c r="D489" t="inlineStr">
        <is>
          <t>1905</t>
        </is>
      </c>
      <c r="E489" t="inlineStr">
        <is>
          <t>1905021</t>
        </is>
      </c>
      <c r="F489" t="inlineStr">
        <is>
          <t>SERVICIO DE GESTIÓN DEL RIESGO EN TEMAS DE SALUD SEXUAL Y REPRODUCTIVA</t>
        </is>
      </c>
      <c r="G489" t="inlineStr">
        <is>
          <t>2024546600046</t>
        </is>
      </c>
      <c r="H489" t="inlineStr">
        <is>
          <t>FORTALECIMIENTO DE LA SALUD PÚBLICA PDM UNIDOS SOMOS MÁS EN EL MUNICIPIO DE  SALAZAR</t>
        </is>
      </c>
      <c r="I489" t="inlineStr">
        <is>
          <t>91122</t>
        </is>
      </c>
      <c r="J489" t="inlineStr">
        <is>
          <t>Servicios de la administración pública relacionados con la salud</t>
        </is>
      </c>
      <c r="K489" t="inlineStr">
        <is>
          <t>00</t>
        </is>
      </c>
      <c r="L489" t="inlineStr">
        <is>
          <t>SIN ATRIBUTO</t>
        </is>
      </c>
      <c r="N489" t="inlineStr">
        <is>
          <t>2.3.2.02.02.009.19.13</t>
        </is>
      </c>
      <c r="O489" t="inlineStr">
        <is>
          <t>Servicio de gestión del riesgo en temas de salud sexual y reproductiva - PIC</t>
        </is>
      </c>
      <c r="P489" t="inlineStr">
        <is>
          <t>261</t>
        </is>
      </c>
      <c r="Q489" t="inlineStr">
        <is>
          <t>SGP SALUD PUBLICA ONCE DOCEAVAS VIGENCIA ACTUAL MAS ULTIMA DOCEAVA VIGENCIA ANTERIOR</t>
        </is>
      </c>
      <c r="R489" t="n">
        <v>25816394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25816394</v>
      </c>
      <c r="Z489" t="n">
        <v>0</v>
      </c>
      <c r="AA489" t="n">
        <v>0</v>
      </c>
      <c r="AB489" t="n">
        <v>0</v>
      </c>
      <c r="AC489" t="n">
        <v>0</v>
      </c>
      <c r="AD489" t="n">
        <v>25816394</v>
      </c>
      <c r="AE489" t="n">
        <v>0</v>
      </c>
    </row>
    <row r="490">
      <c r="A490" t="inlineStr">
        <is>
          <t>1.1 - FONDO LOCAL DE SALUD</t>
        </is>
      </c>
      <c r="B490" t="inlineStr">
        <is>
          <t>19 - SALUD Y PROTECCIÓN SOCIAL</t>
        </is>
      </c>
      <c r="C490" t="inlineStr">
        <is>
          <t>0300</t>
        </is>
      </c>
      <c r="D490" t="inlineStr">
        <is>
          <t>1905</t>
        </is>
      </c>
      <c r="E490" t="inlineStr">
        <is>
          <t>1905022</t>
        </is>
      </c>
      <c r="F490" t="inlineStr">
        <is>
          <t>SERVICIO DE GESTIÓN DEL RIESGO EN TEMAS DE TRASTORNOS MENTALES</t>
        </is>
      </c>
      <c r="G490" t="inlineStr">
        <is>
          <t>2024546600046</t>
        </is>
      </c>
      <c r="H490" t="inlineStr">
        <is>
          <t>FORTALECIMIENTO DE LA SALUD PÚBLICA PDM UNIDOS SOMOS MÁS EN EL MUNICIPIO DE  SALAZAR</t>
        </is>
      </c>
      <c r="I490" t="inlineStr">
        <is>
          <t>91122</t>
        </is>
      </c>
      <c r="J490" t="inlineStr">
        <is>
          <t>Servicios de la administración pública relacionados con la salud</t>
        </is>
      </c>
      <c r="K490" t="inlineStr">
        <is>
          <t>00</t>
        </is>
      </c>
      <c r="L490" t="inlineStr">
        <is>
          <t>SIN ATRIBUTO</t>
        </is>
      </c>
      <c r="N490" t="inlineStr">
        <is>
          <t>2.3.2.02.02.009.19.14</t>
        </is>
      </c>
      <c r="O490" t="inlineStr">
        <is>
          <t>Servicio de gestión del riesgo en temas de trastornos mentales - Gestión</t>
        </is>
      </c>
      <c r="P490" t="inlineStr">
        <is>
          <t>261</t>
        </is>
      </c>
      <c r="Q490" t="inlineStr">
        <is>
          <t>SGP SALUD PUBLICA ONCE DOCEAVAS VIGENCIA ACTUAL MAS ULTIMA DOCEAVA VIGENCIA ANTERIOR</t>
        </is>
      </c>
      <c r="R490" t="n">
        <v>9630000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9630000</v>
      </c>
      <c r="Z490" t="n">
        <v>4293333.34</v>
      </c>
      <c r="AA490" t="n">
        <v>4293333.34</v>
      </c>
      <c r="AB490" t="n">
        <v>3826666.68</v>
      </c>
      <c r="AC490" t="n">
        <v>3826666.68</v>
      </c>
      <c r="AD490" t="n">
        <v>5336666.66</v>
      </c>
      <c r="AE490" t="n">
        <v>44.58</v>
      </c>
    </row>
    <row r="491">
      <c r="A491" t="inlineStr">
        <is>
          <t>1.1 - FONDO LOCAL DE SALUD</t>
        </is>
      </c>
      <c r="B491" t="inlineStr">
        <is>
          <t>19 - SALUD Y PROTECCIÓN SOCIAL</t>
        </is>
      </c>
      <c r="C491" t="inlineStr">
        <is>
          <t>0300</t>
        </is>
      </c>
      <c r="D491" t="inlineStr">
        <is>
          <t>1905</t>
        </is>
      </c>
      <c r="E491" t="inlineStr">
        <is>
          <t>1905022</t>
        </is>
      </c>
      <c r="F491" t="inlineStr">
        <is>
          <t>SERVICIO DE GESTIÓN DEL RIESGO EN TEMAS DE TRASTORNOS MENTALES</t>
        </is>
      </c>
      <c r="G491" t="inlineStr">
        <is>
          <t>2024546600046</t>
        </is>
      </c>
      <c r="H491" t="inlineStr">
        <is>
          <t>FORTALECIMIENTO DE LA SALUD PÚBLICA PDM UNIDOS SOMOS MÁS EN EL MUNICIPIO DE  SALAZAR</t>
        </is>
      </c>
      <c r="I491" t="inlineStr">
        <is>
          <t>91122</t>
        </is>
      </c>
      <c r="J491" t="inlineStr">
        <is>
          <t>Servicios de la administración pública relacionados con la salud</t>
        </is>
      </c>
      <c r="K491" t="inlineStr">
        <is>
          <t>00</t>
        </is>
      </c>
      <c r="L491" t="inlineStr">
        <is>
          <t>SIN ATRIBUTO</t>
        </is>
      </c>
      <c r="N491" t="inlineStr">
        <is>
          <t>2.3.2.02.02.009.19.15</t>
        </is>
      </c>
      <c r="O491" t="inlineStr">
        <is>
          <t>Servicio de gestión del riesgo en temas de trastornos mentales - PIC</t>
        </is>
      </c>
      <c r="P491" t="inlineStr">
        <is>
          <t>261</t>
        </is>
      </c>
      <c r="Q491" t="inlineStr">
        <is>
          <t>SGP SALUD PUBLICA ONCE DOCEAVAS VIGENCIA ACTUAL MAS ULTIMA DOCEAVA VIGENCIA ANTERIOR</t>
        </is>
      </c>
      <c r="R491" t="n">
        <v>25816394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25816394</v>
      </c>
      <c r="Z491" t="n">
        <v>0</v>
      </c>
      <c r="AA491" t="n">
        <v>0</v>
      </c>
      <c r="AB491" t="n">
        <v>0</v>
      </c>
      <c r="AC491" t="n">
        <v>0</v>
      </c>
      <c r="AD491" t="n">
        <v>25816394</v>
      </c>
      <c r="AE491" t="n">
        <v>0</v>
      </c>
    </row>
    <row r="492">
      <c r="A492" t="inlineStr">
        <is>
          <t>1.1 - FONDO LOCAL DE SALUD</t>
        </is>
      </c>
      <c r="B492" t="inlineStr">
        <is>
          <t>19 - SALUD Y PROTECCIÓN SOCIAL</t>
        </is>
      </c>
      <c r="C492" t="inlineStr">
        <is>
          <t>0300</t>
        </is>
      </c>
      <c r="D492" t="inlineStr">
        <is>
          <t>1905</t>
        </is>
      </c>
      <c r="E492" t="inlineStr">
        <is>
          <t>1905023</t>
        </is>
      </c>
      <c r="F492" t="inlineStr">
        <is>
          <t>SERVICIO DE GESTIÓN DEL RIESGO PARA ABORDAR CONDICIONES CRÓNICAS PREVALENTES</t>
        </is>
      </c>
      <c r="G492" t="inlineStr">
        <is>
          <t>2024546600046</t>
        </is>
      </c>
      <c r="H492" t="inlineStr">
        <is>
          <t>FORTALECIMIENTO DE LA SALUD PÚBLICA PDM UNIDOS SOMOS MÁS EN EL MUNICIPIO DE  SALAZAR</t>
        </is>
      </c>
      <c r="I492" t="inlineStr">
        <is>
          <t>91122</t>
        </is>
      </c>
      <c r="J492" t="inlineStr">
        <is>
          <t>Servicios de la administración pública relacionados con la salud</t>
        </is>
      </c>
      <c r="K492" t="inlineStr">
        <is>
          <t>00</t>
        </is>
      </c>
      <c r="L492" t="inlineStr">
        <is>
          <t>SIN ATRIBUTO</t>
        </is>
      </c>
      <c r="N492" t="inlineStr">
        <is>
          <t>2.3.2.02.02.009.19.16</t>
        </is>
      </c>
      <c r="O492" t="inlineStr">
        <is>
          <t>Servicio de gestión del riesgo para abordar condiciones crónicas prevalentes - Gestión</t>
        </is>
      </c>
      <c r="P492" t="inlineStr">
        <is>
          <t>261</t>
        </is>
      </c>
      <c r="Q492" t="inlineStr">
        <is>
          <t>SGP SALUD PUBLICA ONCE DOCEAVAS VIGENCIA ACTUAL MAS ULTIMA DOCEAVA VIGENCIA ANTERIOR</t>
        </is>
      </c>
      <c r="R492" t="n">
        <v>7134000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7134000</v>
      </c>
      <c r="Z492" t="n">
        <v>5500000</v>
      </c>
      <c r="AA492" t="n">
        <v>5500000</v>
      </c>
      <c r="AB492" t="n">
        <v>4766667.5</v>
      </c>
      <c r="AC492" t="n">
        <v>4766667.5</v>
      </c>
      <c r="AD492" t="n">
        <v>1634000</v>
      </c>
      <c r="AE492" t="n">
        <v>77.09999999999999</v>
      </c>
    </row>
    <row r="493">
      <c r="A493" t="inlineStr">
        <is>
          <t>1.1 - FONDO LOCAL DE SALUD</t>
        </is>
      </c>
      <c r="B493" t="inlineStr">
        <is>
          <t>19 - SALUD Y PROTECCIÓN SOCIAL</t>
        </is>
      </c>
      <c r="C493" t="inlineStr">
        <is>
          <t>0300</t>
        </is>
      </c>
      <c r="D493" t="inlineStr">
        <is>
          <t>1905</t>
        </is>
      </c>
      <c r="E493" t="inlineStr">
        <is>
          <t>1905023</t>
        </is>
      </c>
      <c r="F493" t="inlineStr">
        <is>
          <t>SERVICIO DE GESTIÓN DEL RIESGO PARA ABORDAR CONDICIONES CRÓNICAS PREVALENTES</t>
        </is>
      </c>
      <c r="G493" t="inlineStr">
        <is>
          <t>2024546600046</t>
        </is>
      </c>
      <c r="H493" t="inlineStr">
        <is>
          <t>FORTALECIMIENTO DE LA SALUD PÚBLICA PDM UNIDOS SOMOS MÁS EN EL MUNICIPIO DE  SALAZAR</t>
        </is>
      </c>
      <c r="I493" t="inlineStr">
        <is>
          <t>91122</t>
        </is>
      </c>
      <c r="J493" t="inlineStr">
        <is>
          <t>Servicios de la administración pública relacionados con la salud</t>
        </is>
      </c>
      <c r="K493" t="inlineStr">
        <is>
          <t>00</t>
        </is>
      </c>
      <c r="L493" t="inlineStr">
        <is>
          <t>SIN ATRIBUTO</t>
        </is>
      </c>
      <c r="N493" t="inlineStr">
        <is>
          <t>2.3.2.02.02.009.19.17</t>
        </is>
      </c>
      <c r="O493" t="inlineStr">
        <is>
          <t>Servicio de gestión del riesgo para abordar condiciones crónicas prevalentes - PIC</t>
        </is>
      </c>
      <c r="P493" t="inlineStr">
        <is>
          <t>261</t>
        </is>
      </c>
      <c r="Q493" t="inlineStr">
        <is>
          <t>SGP SALUD PUBLICA ONCE DOCEAVAS VIGENCIA ACTUAL MAS ULTIMA DOCEAVA VIGENCIA ANTERIOR</t>
        </is>
      </c>
      <c r="R493" t="n">
        <v>20653115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20653115</v>
      </c>
      <c r="Z493" t="n">
        <v>0</v>
      </c>
      <c r="AA493" t="n">
        <v>0</v>
      </c>
      <c r="AB493" t="n">
        <v>0</v>
      </c>
      <c r="AC493" t="n">
        <v>0</v>
      </c>
      <c r="AD493" t="n">
        <v>20653115</v>
      </c>
      <c r="AE493" t="n">
        <v>0</v>
      </c>
    </row>
    <row r="494">
      <c r="A494" t="inlineStr">
        <is>
          <t>1.1 - FONDO LOCAL DE SALUD</t>
        </is>
      </c>
      <c r="B494" t="inlineStr">
        <is>
          <t>19 - SALUD Y PROTECCIÓN SOCIAL</t>
        </is>
      </c>
      <c r="C494" t="inlineStr">
        <is>
          <t>0300</t>
        </is>
      </c>
      <c r="D494" t="inlineStr">
        <is>
          <t>1905</t>
        </is>
      </c>
      <c r="E494" t="inlineStr">
        <is>
          <t>1905024</t>
        </is>
      </c>
      <c r="F494" t="inlineStr">
        <is>
          <t>SERVICIO DE GESTIÓN DEL RIESGO PARA ABORDAR SITUACIONES DE SALUD RELACIONADAS CON CONDICIONES AMBIENTALES</t>
        </is>
      </c>
      <c r="G494" t="inlineStr">
        <is>
          <t>2024546600046</t>
        </is>
      </c>
      <c r="H494" t="inlineStr">
        <is>
          <t>FORTALECIMIENTO DE LA SALUD PÚBLICA PDM UNIDOS SOMOS MÁS EN EL MUNICIPIO DE  SALAZAR</t>
        </is>
      </c>
      <c r="I494" t="inlineStr">
        <is>
          <t>91122</t>
        </is>
      </c>
      <c r="J494" t="inlineStr">
        <is>
          <t>Servicios de la administración pública relacionados con la salud</t>
        </is>
      </c>
      <c r="K494" t="inlineStr">
        <is>
          <t>00</t>
        </is>
      </c>
      <c r="L494" t="inlineStr">
        <is>
          <t>SIN ATRIBUTO</t>
        </is>
      </c>
      <c r="N494" t="inlineStr">
        <is>
          <t>2.3.2.02.02.009.19.18</t>
        </is>
      </c>
      <c r="O494" t="inlineStr">
        <is>
          <t>Servicio de gestión del riesgo para abordar situaciones de salud relacionadas con condiciones ambientales - Gestión</t>
        </is>
      </c>
      <c r="P494" t="inlineStr">
        <is>
          <t>261</t>
        </is>
      </c>
      <c r="Q494" t="inlineStr">
        <is>
          <t>SGP SALUD PUBLICA ONCE DOCEAVAS VIGENCIA ACTUAL MAS ULTIMA DOCEAVA VIGENCIA ANTERIOR</t>
        </is>
      </c>
      <c r="R494" t="n">
        <v>10400000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10400000</v>
      </c>
      <c r="Z494" t="n">
        <v>4574200</v>
      </c>
      <c r="AA494" t="n">
        <v>4574200</v>
      </c>
      <c r="AB494" t="n">
        <v>4100000</v>
      </c>
      <c r="AC494" t="n">
        <v>4100000</v>
      </c>
      <c r="AD494" t="n">
        <v>5825800</v>
      </c>
      <c r="AE494" t="n">
        <v>43.98</v>
      </c>
    </row>
    <row r="495">
      <c r="A495" t="inlineStr">
        <is>
          <t>1.1 - FONDO LOCAL DE SALUD</t>
        </is>
      </c>
      <c r="B495" t="inlineStr">
        <is>
          <t>19 - SALUD Y PROTECCIÓN SOCIAL</t>
        </is>
      </c>
      <c r="C495" t="inlineStr">
        <is>
          <t>0300</t>
        </is>
      </c>
      <c r="D495" t="inlineStr">
        <is>
          <t>1905</t>
        </is>
      </c>
      <c r="E495" t="inlineStr">
        <is>
          <t>1905024</t>
        </is>
      </c>
      <c r="F495" t="inlineStr">
        <is>
          <t>SERVICIO DE GESTIÓN DEL RIESGO PARA ABORDAR SITUACIONES DE SALUD RELACIONADAS CON CONDICIONES AMBIENTALES</t>
        </is>
      </c>
      <c r="G495" t="inlineStr">
        <is>
          <t>2024546600046</t>
        </is>
      </c>
      <c r="H495" t="inlineStr">
        <is>
          <t>FORTALECIMIENTO DE LA SALUD PÚBLICA PDM UNIDOS SOMOS MÁS EN EL MUNICIPIO DE  SALAZAR</t>
        </is>
      </c>
      <c r="I495" t="inlineStr">
        <is>
          <t>91122</t>
        </is>
      </c>
      <c r="J495" t="inlineStr">
        <is>
          <t>Servicios de la administración pública relacionados con la salud</t>
        </is>
      </c>
      <c r="K495" t="inlineStr">
        <is>
          <t>00</t>
        </is>
      </c>
      <c r="L495" t="inlineStr">
        <is>
          <t>SIN ATRIBUTO</t>
        </is>
      </c>
      <c r="N495" t="inlineStr">
        <is>
          <t>2.3.2.02.02.009.19.19</t>
        </is>
      </c>
      <c r="O495" t="inlineStr">
        <is>
          <t>Servicio de gestión del riesgo para abordar situaciones de salud relacionadas con condiciones ambientales - PIC</t>
        </is>
      </c>
      <c r="P495" t="inlineStr">
        <is>
          <t>261</t>
        </is>
      </c>
      <c r="Q495" t="inlineStr">
        <is>
          <t>SGP SALUD PUBLICA ONCE DOCEAVAS VIGENCIA ACTUAL MAS ULTIMA DOCEAVA VIGENCIA ANTERIOR</t>
        </is>
      </c>
      <c r="R495" t="n">
        <v>20653115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20653115</v>
      </c>
      <c r="Z495" t="n">
        <v>0</v>
      </c>
      <c r="AA495" t="n">
        <v>0</v>
      </c>
      <c r="AB495" t="n">
        <v>0</v>
      </c>
      <c r="AC495" t="n">
        <v>0</v>
      </c>
      <c r="AD495" t="n">
        <v>20653115</v>
      </c>
      <c r="AE495" t="n">
        <v>0</v>
      </c>
    </row>
    <row r="496">
      <c r="A496" t="inlineStr">
        <is>
          <t>1.1 - FONDO LOCAL DE SALUD</t>
        </is>
      </c>
      <c r="B496" t="inlineStr">
        <is>
          <t>19 - SALUD Y PROTECCIÓN SOCIAL</t>
        </is>
      </c>
      <c r="C496" t="inlineStr">
        <is>
          <t>0300</t>
        </is>
      </c>
      <c r="D496" t="inlineStr">
        <is>
          <t>1905</t>
        </is>
      </c>
      <c r="E496" t="inlineStr">
        <is>
          <t>1905025</t>
        </is>
      </c>
      <c r="F496" t="inlineStr">
        <is>
          <t>SERVICIO DE GESTIÓN DEL RIESGO PARA ABORDAR SITUACIONES PREVALENTES DE ORIGEN LABORAL</t>
        </is>
      </c>
      <c r="G496" t="inlineStr">
        <is>
          <t>2024546600046</t>
        </is>
      </c>
      <c r="H496" t="inlineStr">
        <is>
          <t>FORTALECIMIENTO DE LA SALUD PÚBLICA PDM UNIDOS SOMOS MÁS EN EL MUNICIPIO DE  SALAZAR</t>
        </is>
      </c>
      <c r="I496" t="inlineStr">
        <is>
          <t>91122</t>
        </is>
      </c>
      <c r="J496" t="inlineStr">
        <is>
          <t>Servicios de la administración pública relacionados con la salud</t>
        </is>
      </c>
      <c r="K496" t="inlineStr">
        <is>
          <t>00</t>
        </is>
      </c>
      <c r="L496" t="inlineStr">
        <is>
          <t>SIN ATRIBUTO</t>
        </is>
      </c>
      <c r="N496" t="inlineStr">
        <is>
          <t>2.3.2.02.02.009.19.20</t>
        </is>
      </c>
      <c r="O496" t="inlineStr">
        <is>
          <t>Servicio de gestión del riesgo para abordar situaciones prevalentes de origen laboral - Gestión</t>
        </is>
      </c>
      <c r="P496" t="inlineStr">
        <is>
          <t>261</t>
        </is>
      </c>
      <c r="Q496" t="inlineStr">
        <is>
          <t>SGP SALUD PUBLICA ONCE DOCEAVAS VIGENCIA ACTUAL MAS ULTIMA DOCEAVA VIGENCIA ANTERIOR</t>
        </is>
      </c>
      <c r="R496" t="n">
        <v>6000000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6000000</v>
      </c>
      <c r="Z496" t="n">
        <v>3409600</v>
      </c>
      <c r="AA496" t="n">
        <v>3409600</v>
      </c>
      <c r="AB496" t="n">
        <v>2993000</v>
      </c>
      <c r="AC496" t="n">
        <v>2993000</v>
      </c>
      <c r="AD496" t="n">
        <v>2590400</v>
      </c>
      <c r="AE496" t="n">
        <v>56.83</v>
      </c>
    </row>
    <row r="497">
      <c r="A497" t="inlineStr">
        <is>
          <t>1.1 - FONDO LOCAL DE SALUD</t>
        </is>
      </c>
      <c r="B497" t="inlineStr">
        <is>
          <t>19 - SALUD Y PROTECCIÓN SOCIAL</t>
        </is>
      </c>
      <c r="C497" t="inlineStr">
        <is>
          <t>0300</t>
        </is>
      </c>
      <c r="D497" t="inlineStr">
        <is>
          <t>1905</t>
        </is>
      </c>
      <c r="E497" t="inlineStr">
        <is>
          <t>1905025</t>
        </is>
      </c>
      <c r="F497" t="inlineStr">
        <is>
          <t>SERVICIO DE GESTIÓN DEL RIESGO PARA ABORDAR SITUACIONES PREVALENTES DE ORIGEN LABORAL</t>
        </is>
      </c>
      <c r="G497" t="inlineStr">
        <is>
          <t>2024546600046</t>
        </is>
      </c>
      <c r="H497" t="inlineStr">
        <is>
          <t>FORTALECIMIENTO DE LA SALUD PÚBLICA PDM UNIDOS SOMOS MÁS EN EL MUNICIPIO DE  SALAZAR</t>
        </is>
      </c>
      <c r="I497" t="inlineStr">
        <is>
          <t>91122</t>
        </is>
      </c>
      <c r="J497" t="inlineStr">
        <is>
          <t>Servicios de la administración pública relacionados con la salud</t>
        </is>
      </c>
      <c r="K497" t="inlineStr">
        <is>
          <t>00</t>
        </is>
      </c>
      <c r="L497" t="inlineStr">
        <is>
          <t>SIN ATRIBUTO</t>
        </is>
      </c>
      <c r="N497" t="inlineStr">
        <is>
          <t>2.3.2.02.02.009.19.21</t>
        </is>
      </c>
      <c r="O497" t="inlineStr">
        <is>
          <t>Servicio de gestión del riesgo para abordar situaciones prevalentes de origen laboral - PIC</t>
        </is>
      </c>
      <c r="P497" t="inlineStr">
        <is>
          <t>261</t>
        </is>
      </c>
      <c r="Q497" t="inlineStr">
        <is>
          <t>SGP SALUD PUBLICA ONCE DOCEAVAS VIGENCIA ACTUAL MAS ULTIMA DOCEAVA VIGENCIA ANTERIOR</t>
        </is>
      </c>
      <c r="R497" t="n">
        <v>10326558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10326558</v>
      </c>
      <c r="Z497" t="n">
        <v>0</v>
      </c>
      <c r="AA497" t="n">
        <v>0</v>
      </c>
      <c r="AB497" t="n">
        <v>0</v>
      </c>
      <c r="AC497" t="n">
        <v>0</v>
      </c>
      <c r="AD497" t="n">
        <v>10326558</v>
      </c>
      <c r="AE497" t="n">
        <v>0</v>
      </c>
    </row>
    <row r="498">
      <c r="A498" t="inlineStr">
        <is>
          <t>1.1 - FONDO LOCAL DE SALUD</t>
        </is>
      </c>
      <c r="B498" t="inlineStr">
        <is>
          <t>19 - SALUD Y PROTECCIÓN SOCIAL</t>
        </is>
      </c>
      <c r="C498" t="inlineStr">
        <is>
          <t>0300</t>
        </is>
      </c>
      <c r="D498" t="inlineStr">
        <is>
          <t>1905</t>
        </is>
      </c>
      <c r="E498" t="inlineStr">
        <is>
          <t>1905026</t>
        </is>
      </c>
      <c r="F498" t="inlineStr">
        <is>
          <t>SERVICIO DE GESTIÓN DEL RIESGO PARA ENFERMEDADES EMERGENTES, REEMERGENTES Y DESATENDIDAS</t>
        </is>
      </c>
      <c r="G498" t="inlineStr">
        <is>
          <t>2024546600046</t>
        </is>
      </c>
      <c r="H498" t="inlineStr">
        <is>
          <t>FORTALECIMIENTO DE LA SALUD PÚBLICA PDM UNIDOS SOMOS MÁS EN EL MUNICIPIO DE  SALAZAR</t>
        </is>
      </c>
      <c r="I498" t="inlineStr">
        <is>
          <t>91122</t>
        </is>
      </c>
      <c r="J498" t="inlineStr">
        <is>
          <t>Servicios de la administración pública relacionados con la salud</t>
        </is>
      </c>
      <c r="K498" t="inlineStr">
        <is>
          <t>00</t>
        </is>
      </c>
      <c r="L498" t="inlineStr">
        <is>
          <t>SIN ATRIBUTO</t>
        </is>
      </c>
      <c r="N498" t="inlineStr">
        <is>
          <t>2.3.2.02.02.009.19.22</t>
        </is>
      </c>
      <c r="O498" t="inlineStr">
        <is>
          <t>Servicio de gestión del riesgo para enfermedades emergentes, reemergentes y desatendidas - Gestión</t>
        </is>
      </c>
      <c r="P498" t="inlineStr">
        <is>
          <t>261</t>
        </is>
      </c>
      <c r="Q498" t="inlineStr">
        <is>
          <t>SGP SALUD PUBLICA ONCE DOCEAVAS VIGENCIA ACTUAL MAS ULTIMA DOCEAVA VIGENCIA ANTERIOR</t>
        </is>
      </c>
      <c r="R498" t="n">
        <v>4799999.99</v>
      </c>
      <c r="S498" t="n">
        <v>0</v>
      </c>
      <c r="T498" t="n">
        <v>0</v>
      </c>
      <c r="U498" t="n">
        <v>700100</v>
      </c>
      <c r="V498" t="n">
        <v>0</v>
      </c>
      <c r="W498" t="n">
        <v>0</v>
      </c>
      <c r="X498" t="n">
        <v>0</v>
      </c>
      <c r="Y498" t="n">
        <v>5500099.99</v>
      </c>
      <c r="Z498" t="n">
        <v>5500000</v>
      </c>
      <c r="AA498" t="n">
        <v>5500000</v>
      </c>
      <c r="AB498" t="n">
        <v>4766667</v>
      </c>
      <c r="AC498" t="n">
        <v>4766667</v>
      </c>
      <c r="AD498" t="n">
        <v>99.98999999999999</v>
      </c>
      <c r="AE498" t="n">
        <v>100</v>
      </c>
    </row>
    <row r="499">
      <c r="A499" t="inlineStr">
        <is>
          <t>1.1 - FONDO LOCAL DE SALUD</t>
        </is>
      </c>
      <c r="B499" t="inlineStr">
        <is>
          <t>19 - SALUD Y PROTECCIÓN SOCIAL</t>
        </is>
      </c>
      <c r="C499" t="inlineStr">
        <is>
          <t>0300</t>
        </is>
      </c>
      <c r="D499" t="inlineStr">
        <is>
          <t>1905</t>
        </is>
      </c>
      <c r="E499" t="inlineStr">
        <is>
          <t>1905026</t>
        </is>
      </c>
      <c r="F499" t="inlineStr">
        <is>
          <t>SERVICIO DE GESTIÓN DEL RIESGO PARA ENFERMEDADES EMERGENTES, REEMERGENTES Y DESATENDIDAS</t>
        </is>
      </c>
      <c r="G499" t="inlineStr">
        <is>
          <t>2024546600046</t>
        </is>
      </c>
      <c r="H499" t="inlineStr">
        <is>
          <t>FORTALECIMIENTO DE LA SALUD PÚBLICA PDM UNIDOS SOMOS MÁS EN EL MUNICIPIO DE  SALAZAR</t>
        </is>
      </c>
      <c r="I499" t="inlineStr">
        <is>
          <t>91122</t>
        </is>
      </c>
      <c r="J499" t="inlineStr">
        <is>
          <t>Servicios de la administración pública relacionados con la salud</t>
        </is>
      </c>
      <c r="K499" t="inlineStr">
        <is>
          <t>00</t>
        </is>
      </c>
      <c r="L499" t="inlineStr">
        <is>
          <t>SIN ATRIBUTO</t>
        </is>
      </c>
      <c r="N499" t="inlineStr">
        <is>
          <t>2.3.2.02.02.009.19.23</t>
        </is>
      </c>
      <c r="O499" t="inlineStr">
        <is>
          <t>Servicio de gestión del riesgo para enfermedades emergentes, reemergentes y desatendidas - PIC</t>
        </is>
      </c>
      <c r="P499" t="inlineStr">
        <is>
          <t>261</t>
        </is>
      </c>
      <c r="Q499" t="inlineStr">
        <is>
          <t>SGP SALUD PUBLICA ONCE DOCEAVAS VIGENCIA ACTUAL MAS ULTIMA DOCEAVA VIGENCIA ANTERIOR</t>
        </is>
      </c>
      <c r="R499" t="n">
        <v>10326558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10326558</v>
      </c>
      <c r="Z499" t="n">
        <v>0</v>
      </c>
      <c r="AA499" t="n">
        <v>0</v>
      </c>
      <c r="AB499" t="n">
        <v>0</v>
      </c>
      <c r="AC499" t="n">
        <v>0</v>
      </c>
      <c r="AD499" t="n">
        <v>10326558</v>
      </c>
      <c r="AE499" t="n">
        <v>0</v>
      </c>
    </row>
    <row r="500">
      <c r="A500" t="inlineStr">
        <is>
          <t>1.1 - FONDO LOCAL DE SALUD</t>
        </is>
      </c>
      <c r="B500" t="inlineStr">
        <is>
          <t>19 - SALUD Y PROTECCIÓN SOCIAL</t>
        </is>
      </c>
      <c r="C500" t="inlineStr">
        <is>
          <t>0300</t>
        </is>
      </c>
      <c r="D500" t="inlineStr">
        <is>
          <t>1905</t>
        </is>
      </c>
      <c r="E500" t="inlineStr">
        <is>
          <t>1905027</t>
        </is>
      </c>
      <c r="F500" t="inlineStr">
        <is>
          <t>SERVICIO DE GESTIÓN DEL RIESGO PARA ENFERMEDADES INMUNOPREVENIBLES</t>
        </is>
      </c>
      <c r="G500" t="inlineStr">
        <is>
          <t>2024546600046</t>
        </is>
      </c>
      <c r="H500" t="inlineStr">
        <is>
          <t>FORTALECIMIENTO DE LA SALUD PÚBLICA PDM UNIDOS SOMOS MÁS EN EL MUNICIPIO DE  SALAZAR</t>
        </is>
      </c>
      <c r="I500" t="inlineStr">
        <is>
          <t>91122</t>
        </is>
      </c>
      <c r="J500" t="inlineStr">
        <is>
          <t>Servicios de la administración pública relacionados con la salud</t>
        </is>
      </c>
      <c r="K500" t="inlineStr">
        <is>
          <t>00</t>
        </is>
      </c>
      <c r="L500" t="inlineStr">
        <is>
          <t>SIN ATRIBUTO</t>
        </is>
      </c>
      <c r="N500" t="inlineStr">
        <is>
          <t>2.3.2.02.02.009.19.24</t>
        </is>
      </c>
      <c r="O500" t="inlineStr">
        <is>
          <t>Servicio de gestión del riesgo para enfermedades inmunoprevenibles - Gestión</t>
        </is>
      </c>
      <c r="P500" t="inlineStr">
        <is>
          <t>261</t>
        </is>
      </c>
      <c r="Q500" t="inlineStr">
        <is>
          <t>SGP SALUD PUBLICA ONCE DOCEAVAS VIGENCIA ACTUAL MAS ULTIMA DOCEAVA VIGENCIA ANTERIOR</t>
        </is>
      </c>
      <c r="R500" t="n">
        <v>4800000.01</v>
      </c>
      <c r="S500" t="n">
        <v>0</v>
      </c>
      <c r="T500" t="n">
        <v>0</v>
      </c>
      <c r="U500" t="n">
        <v>700000</v>
      </c>
      <c r="V500" t="n">
        <v>0</v>
      </c>
      <c r="W500" t="n">
        <v>0</v>
      </c>
      <c r="X500" t="n">
        <v>0</v>
      </c>
      <c r="Y500" t="n">
        <v>5500000.01</v>
      </c>
      <c r="Z500" t="n">
        <v>5499999</v>
      </c>
      <c r="AA500" t="n">
        <v>5499999</v>
      </c>
      <c r="AB500" t="n">
        <v>4766666</v>
      </c>
      <c r="AC500" t="n">
        <v>4766666</v>
      </c>
      <c r="AD500" t="n">
        <v>1.01</v>
      </c>
      <c r="AE500" t="n">
        <v>100</v>
      </c>
    </row>
    <row r="501">
      <c r="A501" t="inlineStr">
        <is>
          <t>1.1 - FONDO LOCAL DE SALUD</t>
        </is>
      </c>
      <c r="B501" t="inlineStr">
        <is>
          <t>19 - SALUD Y PROTECCIÓN SOCIAL</t>
        </is>
      </c>
      <c r="C501" t="inlineStr">
        <is>
          <t>0300</t>
        </is>
      </c>
      <c r="D501" t="inlineStr">
        <is>
          <t>1905</t>
        </is>
      </c>
      <c r="E501" t="inlineStr">
        <is>
          <t>1905027</t>
        </is>
      </c>
      <c r="F501" t="inlineStr">
        <is>
          <t>SERVICIO DE GESTIÓN DEL RIESGO PARA ENFERMEDADES INMUNOPREVENIBLES</t>
        </is>
      </c>
      <c r="G501" t="inlineStr">
        <is>
          <t>2024546600046</t>
        </is>
      </c>
      <c r="H501" t="inlineStr">
        <is>
          <t>FORTALECIMIENTO DE LA SALUD PÚBLICA PDM UNIDOS SOMOS MÁS EN EL MUNICIPIO DE  SALAZAR</t>
        </is>
      </c>
      <c r="I501" t="inlineStr">
        <is>
          <t>91122</t>
        </is>
      </c>
      <c r="J501" t="inlineStr">
        <is>
          <t>Servicios de la administración pública relacionados con la salud</t>
        </is>
      </c>
      <c r="K501" t="inlineStr">
        <is>
          <t>00</t>
        </is>
      </c>
      <c r="L501" t="inlineStr">
        <is>
          <t>SIN ATRIBUTO</t>
        </is>
      </c>
      <c r="N501" t="inlineStr">
        <is>
          <t>2.3.2.02.02.009.19.25</t>
        </is>
      </c>
      <c r="O501" t="inlineStr">
        <is>
          <t>Servicio de gestión del riesgo para enfermedades inmunoprevenibles - PIC</t>
        </is>
      </c>
      <c r="P501" t="inlineStr">
        <is>
          <t>261</t>
        </is>
      </c>
      <c r="Q501" t="inlineStr">
        <is>
          <t>SGP SALUD PUBLICA ONCE DOCEAVAS VIGENCIA ACTUAL MAS ULTIMA DOCEAVA VIGENCIA ANTERIOR</t>
        </is>
      </c>
      <c r="R501" t="n">
        <v>71104213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71104213</v>
      </c>
      <c r="Z501" t="n">
        <v>0</v>
      </c>
      <c r="AA501" t="n">
        <v>0</v>
      </c>
      <c r="AB501" t="n">
        <v>0</v>
      </c>
      <c r="AC501" t="n">
        <v>0</v>
      </c>
      <c r="AD501" t="n">
        <v>71104213</v>
      </c>
      <c r="AE501" t="n">
        <v>0</v>
      </c>
    </row>
    <row r="502">
      <c r="A502" t="inlineStr">
        <is>
          <t>1.1 - FONDO LOCAL DE SALUD</t>
        </is>
      </c>
      <c r="B502" t="inlineStr">
        <is>
          <t>19 - SALUD Y PROTECCIÓN SOCIAL</t>
        </is>
      </c>
      <c r="C502" t="inlineStr">
        <is>
          <t>0300</t>
        </is>
      </c>
      <c r="D502" t="inlineStr">
        <is>
          <t>1905</t>
        </is>
      </c>
      <c r="E502" t="inlineStr">
        <is>
          <t>1905028</t>
        </is>
      </c>
      <c r="F502" t="inlineStr">
        <is>
          <t>SERVICIO DE GESTIÓN DEL RIESGO PARA TEMAS DE CONSUMO, APROVECHAMIENTO BIOLÓGICO, CALIDAD E INOCUIDAD DE LOS ALIMENTOS</t>
        </is>
      </c>
      <c r="G502" t="inlineStr">
        <is>
          <t>2024546600046</t>
        </is>
      </c>
      <c r="H502" t="inlineStr">
        <is>
          <t>FORTALECIMIENTO DE LA SALUD PÚBLICA PDM UNIDOS SOMOS MÁS EN EL MUNICIPIO DE  SALAZAR</t>
        </is>
      </c>
      <c r="I502" t="inlineStr">
        <is>
          <t>91122</t>
        </is>
      </c>
      <c r="J502" t="inlineStr">
        <is>
          <t>Servicios de la administración pública relacionados con la salud</t>
        </is>
      </c>
      <c r="K502" t="inlineStr">
        <is>
          <t>00</t>
        </is>
      </c>
      <c r="L502" t="inlineStr">
        <is>
          <t>SIN ATRIBUTO</t>
        </is>
      </c>
      <c r="N502" t="inlineStr">
        <is>
          <t>2.3.2.02.02.009.19.26</t>
        </is>
      </c>
      <c r="O502" t="inlineStr">
        <is>
          <t>Servicio de gestión del riesgo para temas de consumo, aprovechamiento biológico, calidad e inocuidad de los alimentos - Gestión</t>
        </is>
      </c>
      <c r="P502" t="inlineStr">
        <is>
          <t>261</t>
        </is>
      </c>
      <c r="Q502" t="inlineStr">
        <is>
          <t>SGP SALUD PUBLICA ONCE DOCEAVAS VIGENCIA ACTUAL MAS ULTIMA DOCEAVA VIGENCIA ANTERIOR</t>
        </is>
      </c>
      <c r="R502" t="n">
        <v>7133333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7133333</v>
      </c>
      <c r="Z502" t="n">
        <v>5499999</v>
      </c>
      <c r="AA502" t="n">
        <v>5499999</v>
      </c>
      <c r="AB502" t="n">
        <v>4766665.5</v>
      </c>
      <c r="AC502" t="n">
        <v>4766665.5</v>
      </c>
      <c r="AD502" t="n">
        <v>1633334</v>
      </c>
      <c r="AE502" t="n">
        <v>77.09999999999999</v>
      </c>
    </row>
    <row r="503">
      <c r="A503" t="inlineStr">
        <is>
          <t>1.1 - FONDO LOCAL DE SALUD</t>
        </is>
      </c>
      <c r="B503" t="inlineStr">
        <is>
          <t>19 - SALUD Y PROTECCIÓN SOCIAL</t>
        </is>
      </c>
      <c r="C503" t="inlineStr">
        <is>
          <t>0300</t>
        </is>
      </c>
      <c r="D503" t="inlineStr">
        <is>
          <t>1905</t>
        </is>
      </c>
      <c r="E503" t="inlineStr">
        <is>
          <t>1905028</t>
        </is>
      </c>
      <c r="F503" t="inlineStr">
        <is>
          <t>SERVICIO DE GESTIÓN DEL RIESGO PARA TEMAS DE CONSUMO, APROVECHAMIENTO BIOLÓGICO, CALIDAD E INOCUIDAD DE LOS ALIMENTOS</t>
        </is>
      </c>
      <c r="G503" t="inlineStr">
        <is>
          <t>2024546600046</t>
        </is>
      </c>
      <c r="H503" t="inlineStr">
        <is>
          <t>FORTALECIMIENTO DE LA SALUD PÚBLICA PDM UNIDOS SOMOS MÁS EN EL MUNICIPIO DE  SALAZAR</t>
        </is>
      </c>
      <c r="I503" t="inlineStr">
        <is>
          <t>91122</t>
        </is>
      </c>
      <c r="J503" t="inlineStr">
        <is>
          <t>Servicios de la administración pública relacionados con la salud</t>
        </is>
      </c>
      <c r="K503" t="inlineStr">
        <is>
          <t>00</t>
        </is>
      </c>
      <c r="L503" t="inlineStr">
        <is>
          <t>SIN ATRIBUTO</t>
        </is>
      </c>
      <c r="N503" t="inlineStr">
        <is>
          <t>2.3.2.02.02.009.19.27</t>
        </is>
      </c>
      <c r="O503" t="inlineStr">
        <is>
          <t>Servicio de gestión del riesgo para temas de consumo, aprovechamiento biológico, calidad e inocuidad de los alimentos - PIC</t>
        </is>
      </c>
      <c r="P503" t="inlineStr">
        <is>
          <t>261</t>
        </is>
      </c>
      <c r="Q503" t="inlineStr">
        <is>
          <t>SGP SALUD PUBLICA ONCE DOCEAVAS VIGENCIA ACTUAL MAS ULTIMA DOCEAVA VIGENCIA ANTERIOR</t>
        </is>
      </c>
      <c r="R503" t="n">
        <v>20653115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20653115</v>
      </c>
      <c r="Z503" t="n">
        <v>0</v>
      </c>
      <c r="AA503" t="n">
        <v>0</v>
      </c>
      <c r="AB503" t="n">
        <v>0</v>
      </c>
      <c r="AC503" t="n">
        <v>0</v>
      </c>
      <c r="AD503" t="n">
        <v>20653115</v>
      </c>
      <c r="AE503" t="n">
        <v>0</v>
      </c>
    </row>
    <row r="504">
      <c r="A504" t="inlineStr">
        <is>
          <t>1.1 - FONDO LOCAL DE SALUD</t>
        </is>
      </c>
      <c r="B504" t="inlineStr">
        <is>
          <t>19 - SALUD Y PROTECCIÓN SOCIAL</t>
        </is>
      </c>
      <c r="C504" t="inlineStr">
        <is>
          <t>0300</t>
        </is>
      </c>
      <c r="D504" t="inlineStr">
        <is>
          <t>1905</t>
        </is>
      </c>
      <c r="E504" t="inlineStr">
        <is>
          <t>1905031</t>
        </is>
      </c>
      <c r="F504" t="inlineStr">
        <is>
          <t>SERVICIO DE PROMOCIÓN DE LA SALUD Y PREVENCIÓN DE RIESGOS ASOCIADOS A CONDICIONES NO TRANSMISIBLES</t>
        </is>
      </c>
      <c r="G504" t="inlineStr">
        <is>
          <t>2024546600046</t>
        </is>
      </c>
      <c r="H504" t="inlineStr">
        <is>
          <t>FORTALECIMIENTO DE LA SALUD PÚBLICA PDM UNIDOS SOMOS MÁS EN EL MUNICIPIO DE  SALAZAR</t>
        </is>
      </c>
      <c r="I504" t="inlineStr">
        <is>
          <t>91122</t>
        </is>
      </c>
      <c r="J504" t="inlineStr">
        <is>
          <t>Servicios de la administración pública relacionados con la salud</t>
        </is>
      </c>
      <c r="K504" t="inlineStr">
        <is>
          <t>00</t>
        </is>
      </c>
      <c r="L504" t="inlineStr">
        <is>
          <t>SIN ATRIBUTO</t>
        </is>
      </c>
      <c r="N504" t="inlineStr">
        <is>
          <t>2.3.2.02.02.009.19.28</t>
        </is>
      </c>
      <c r="O504" t="inlineStr">
        <is>
          <t>Servicio de promoción de la salud y prevención de riesgos asociados a condiciones no transmisibles - Gestión</t>
        </is>
      </c>
      <c r="P504" t="inlineStr">
        <is>
          <t>261</t>
        </is>
      </c>
      <c r="Q504" t="inlineStr">
        <is>
          <t>SGP SALUD PUBLICA ONCE DOCEAVAS VIGENCIA ACTUAL MAS ULTIMA DOCEAVA VIGENCIA ANTERIOR</t>
        </is>
      </c>
      <c r="R504" t="n">
        <v>7133334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7133334</v>
      </c>
      <c r="Z504" t="n">
        <v>1744000</v>
      </c>
      <c r="AA504" t="n">
        <v>1744000</v>
      </c>
      <c r="AB504" t="n">
        <v>1736000</v>
      </c>
      <c r="AC504" t="n">
        <v>1736000</v>
      </c>
      <c r="AD504" t="n">
        <v>5389334</v>
      </c>
      <c r="AE504" t="n">
        <v>24.45</v>
      </c>
    </row>
    <row r="505">
      <c r="A505" t="inlineStr">
        <is>
          <t>1.1 - FONDO LOCAL DE SALUD</t>
        </is>
      </c>
      <c r="B505" t="inlineStr">
        <is>
          <t>19 - SALUD Y PROTECCIÓN SOCIAL</t>
        </is>
      </c>
      <c r="C505" t="inlineStr">
        <is>
          <t>0300</t>
        </is>
      </c>
      <c r="D505" t="inlineStr">
        <is>
          <t>1905</t>
        </is>
      </c>
      <c r="E505" t="inlineStr">
        <is>
          <t>1905031</t>
        </is>
      </c>
      <c r="F505" t="inlineStr">
        <is>
          <t>SERVICIO DE PROMOCIÓN DE LA SALUD Y PREVENCIÓN DE RIESGOS ASOCIADOS A CONDICIONES NO TRANSMISIBLES</t>
        </is>
      </c>
      <c r="G505" t="inlineStr">
        <is>
          <t>2024546600046</t>
        </is>
      </c>
      <c r="H505" t="inlineStr">
        <is>
          <t>FORTALECIMIENTO DE LA SALUD PÚBLICA PDM UNIDOS SOMOS MÁS EN EL MUNICIPIO DE  SALAZAR</t>
        </is>
      </c>
      <c r="I505" t="inlineStr">
        <is>
          <t>91122</t>
        </is>
      </c>
      <c r="J505" t="inlineStr">
        <is>
          <t>Servicios de la administración pública relacionados con la salud</t>
        </is>
      </c>
      <c r="K505" t="inlineStr">
        <is>
          <t>00</t>
        </is>
      </c>
      <c r="L505" t="inlineStr">
        <is>
          <t>SIN ATRIBUTO</t>
        </is>
      </c>
      <c r="N505" t="inlineStr">
        <is>
          <t>2.3.2.02.02.009.19.29</t>
        </is>
      </c>
      <c r="O505" t="inlineStr">
        <is>
          <t>Servicio de promoción de la salud y prevención de riesgos asociados a condiciones no transmisibles - PIC</t>
        </is>
      </c>
      <c r="P505" t="inlineStr">
        <is>
          <t>261</t>
        </is>
      </c>
      <c r="Q505" t="inlineStr">
        <is>
          <t>SGP SALUD PUBLICA ONCE DOCEAVAS VIGENCIA ACTUAL MAS ULTIMA DOCEAVA VIGENCIA ANTERIOR</t>
        </is>
      </c>
      <c r="R505" t="n">
        <v>20653115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20653115</v>
      </c>
      <c r="Z505" t="n">
        <v>0</v>
      </c>
      <c r="AA505" t="n">
        <v>0</v>
      </c>
      <c r="AB505" t="n">
        <v>0</v>
      </c>
      <c r="AC505" t="n">
        <v>0</v>
      </c>
      <c r="AD505" t="n">
        <v>20653115</v>
      </c>
      <c r="AE505" t="n">
        <v>0</v>
      </c>
    </row>
    <row r="506">
      <c r="A506" t="inlineStr">
        <is>
          <t>1.1 - FONDO LOCAL DE SALUD</t>
        </is>
      </c>
      <c r="B506" t="inlineStr">
        <is>
          <t>19 - SALUD Y PROTECCIÓN SOCIAL</t>
        </is>
      </c>
      <c r="C506" t="inlineStr">
        <is>
          <t>0300</t>
        </is>
      </c>
      <c r="D506" t="inlineStr">
        <is>
          <t>1905</t>
        </is>
      </c>
      <c r="E506" t="inlineStr">
        <is>
          <t>1905050</t>
        </is>
      </c>
      <c r="F506" t="inlineStr">
        <is>
          <t>SERVICIO DE ASISTENCIA TÉCNICA</t>
        </is>
      </c>
      <c r="G506" t="inlineStr">
        <is>
          <t>2024546600046</t>
        </is>
      </c>
      <c r="H506" t="inlineStr">
        <is>
          <t>FORTALECIMIENTO DE LA SALUD PÚBLICA PDM UNIDOS SOMOS MÁS EN EL MUNICIPIO DE  SALAZAR</t>
        </is>
      </c>
      <c r="I506" t="inlineStr">
        <is>
          <t>91122</t>
        </is>
      </c>
      <c r="J506" t="inlineStr">
        <is>
          <t>Servicios de la administración pública relacionados con la salud</t>
        </is>
      </c>
      <c r="K506" t="inlineStr">
        <is>
          <t>00</t>
        </is>
      </c>
      <c r="L506" t="inlineStr">
        <is>
          <t>SIN ATRIBUTO</t>
        </is>
      </c>
      <c r="N506" t="inlineStr">
        <is>
          <t>2.3.2.02.02.009.19.30</t>
        </is>
      </c>
      <c r="O506" t="inlineStr">
        <is>
          <t>Servicio de asistencia técnica - Gestión</t>
        </is>
      </c>
      <c r="P506" t="inlineStr">
        <is>
          <t>261</t>
        </is>
      </c>
      <c r="Q506" t="inlineStr">
        <is>
          <t>SGP SALUD PUBLICA ONCE DOCEAVAS VIGENCIA ACTUAL MAS ULTIMA DOCEAVA VIGENCIA ANTERIOR</t>
        </is>
      </c>
      <c r="R506" t="n">
        <v>88146461</v>
      </c>
      <c r="S506" t="n">
        <v>0</v>
      </c>
      <c r="T506" t="n">
        <v>0</v>
      </c>
      <c r="U506" t="n">
        <v>0</v>
      </c>
      <c r="V506" t="n">
        <v>1400100</v>
      </c>
      <c r="W506" t="n">
        <v>0</v>
      </c>
      <c r="X506" t="n">
        <v>0</v>
      </c>
      <c r="Y506" t="n">
        <v>86746361</v>
      </c>
      <c r="Z506" t="n">
        <v>60034998</v>
      </c>
      <c r="AA506" t="n">
        <v>60034998</v>
      </c>
      <c r="AB506" t="n">
        <v>33660899.6</v>
      </c>
      <c r="AC506" t="n">
        <v>33660899.6</v>
      </c>
      <c r="AD506" t="n">
        <v>26711363</v>
      </c>
      <c r="AE506" t="n">
        <v>69.20999999999999</v>
      </c>
    </row>
    <row r="507">
      <c r="A507" t="inlineStr">
        <is>
          <t>1.1 - FONDO LOCAL DE SALUD</t>
        </is>
      </c>
      <c r="B507" t="inlineStr">
        <is>
          <t>19 - SALUD Y PROTECCIÓN SOCIAL</t>
        </is>
      </c>
      <c r="C507" t="inlineStr">
        <is>
          <t>0300</t>
        </is>
      </c>
      <c r="D507" t="inlineStr">
        <is>
          <t>1905</t>
        </is>
      </c>
      <c r="E507" t="inlineStr">
        <is>
          <t>1905050</t>
        </is>
      </c>
      <c r="F507" t="inlineStr">
        <is>
          <t>SERVICIO DE ASISTENCIA TÉCNICA</t>
        </is>
      </c>
      <c r="G507" t="inlineStr">
        <is>
          <t>2024546600046</t>
        </is>
      </c>
      <c r="H507" t="inlineStr">
        <is>
          <t>FORTALECIMIENTO DE LA SALUD PÚBLICA PDM UNIDOS SOMOS MÁS EN EL MUNICIPIO DE  SALAZAR</t>
        </is>
      </c>
      <c r="I507" t="inlineStr">
        <is>
          <t>91122</t>
        </is>
      </c>
      <c r="J507" t="inlineStr">
        <is>
          <t>Servicios de la administración pública relacionados con la salud</t>
        </is>
      </c>
      <c r="K507" t="inlineStr">
        <is>
          <t>00</t>
        </is>
      </c>
      <c r="L507" t="inlineStr">
        <is>
          <t>SIN ATRIBUTO</t>
        </is>
      </c>
      <c r="N507" t="inlineStr">
        <is>
          <t>2.3.2.02.02.009.19.31</t>
        </is>
      </c>
      <c r="O507" t="inlineStr">
        <is>
          <t>Servicio de asistencia técnica - Gestión</t>
        </is>
      </c>
      <c r="P507" t="inlineStr">
        <is>
          <t>270</t>
        </is>
      </c>
      <c r="Q507" t="inlineStr">
        <is>
          <t>SGP SALUD PUBLICA - RENDIMIENTOS FINANCIEROS RB</t>
        </is>
      </c>
      <c r="R507" t="n">
        <v>100000</v>
      </c>
      <c r="S507" t="n">
        <v>1246958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1346958</v>
      </c>
      <c r="Z507" t="n">
        <v>0</v>
      </c>
      <c r="AA507" t="n">
        <v>0</v>
      </c>
      <c r="AB507" t="n">
        <v>0</v>
      </c>
      <c r="AC507" t="n">
        <v>0</v>
      </c>
      <c r="AD507" t="n">
        <v>1346958</v>
      </c>
      <c r="AE507" t="n">
        <v>0</v>
      </c>
    </row>
    <row r="508">
      <c r="A508" t="inlineStr">
        <is>
          <t>1.1 - FONDO LOCAL DE SALUD</t>
        </is>
      </c>
      <c r="B508" t="inlineStr">
        <is>
          <t>19 - SALUD Y PROTECCIÓN SOCIAL</t>
        </is>
      </c>
      <c r="C508" t="inlineStr">
        <is>
          <t>0300</t>
        </is>
      </c>
      <c r="D508" t="inlineStr">
        <is>
          <t>1905</t>
        </is>
      </c>
      <c r="E508" t="inlineStr">
        <is>
          <t>1905050</t>
        </is>
      </c>
      <c r="F508" t="inlineStr">
        <is>
          <t>SERVICIO DE ASISTENCIA TÉCNICA</t>
        </is>
      </c>
      <c r="G508" t="inlineStr">
        <is>
          <t>2024546600046</t>
        </is>
      </c>
      <c r="H508" t="inlineStr">
        <is>
          <t>FORTALECIMIENTO DE LA SALUD PÚBLICA PDM UNIDOS SOMOS MÁS EN EL MUNICIPIO DE  SALAZAR</t>
        </is>
      </c>
      <c r="I508" t="inlineStr">
        <is>
          <t>91122</t>
        </is>
      </c>
      <c r="J508" t="inlineStr">
        <is>
          <t>Servicios de la administración pública relacionados con la salud</t>
        </is>
      </c>
      <c r="K508" t="inlineStr">
        <is>
          <t>00</t>
        </is>
      </c>
      <c r="L508" t="inlineStr">
        <is>
          <t>SIN ATRIBUTO</t>
        </is>
      </c>
      <c r="N508" t="inlineStr">
        <is>
          <t>2.3.2.02.02.009.19.32</t>
        </is>
      </c>
      <c r="O508" t="inlineStr">
        <is>
          <t>Servicio de asistencia técnica - Gestión</t>
        </is>
      </c>
      <c r="P508" t="inlineStr">
        <is>
          <t>670.9</t>
        </is>
      </c>
      <c r="Q508" t="inlineStr">
        <is>
          <t>REND. FCROS. OTROS GASTOS EN SALUD</t>
        </is>
      </c>
      <c r="R508" t="n">
        <v>100000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100000</v>
      </c>
      <c r="Z508" t="n">
        <v>0</v>
      </c>
      <c r="AA508" t="n">
        <v>0</v>
      </c>
      <c r="AB508" t="n">
        <v>0</v>
      </c>
      <c r="AC508" t="n">
        <v>0</v>
      </c>
      <c r="AD508" t="n">
        <v>100000</v>
      </c>
      <c r="AE508" t="n">
        <v>0</v>
      </c>
    </row>
    <row r="509">
      <c r="A509" t="inlineStr">
        <is>
          <t>1.1 - FONDO LOCAL DE SALUD</t>
        </is>
      </c>
      <c r="B509" t="inlineStr">
        <is>
          <t>19 - SALUD Y PROTECCIÓN SOCIAL</t>
        </is>
      </c>
      <c r="C509" t="inlineStr">
        <is>
          <t>0300</t>
        </is>
      </c>
      <c r="D509" t="inlineStr">
        <is>
          <t>1906</t>
        </is>
      </c>
      <c r="E509" t="inlineStr">
        <is>
          <t>1906044</t>
        </is>
      </c>
      <c r="F509" t="inlineStr">
        <is>
          <t>SERVICIO DE AFILIACIONES AL REGIMEN SUBSIDIADO DEL SISTEMA GENERAL DE SEGURIDAD SOCIAL</t>
        </is>
      </c>
      <c r="G509" t="inlineStr">
        <is>
          <t>2024546600048</t>
        </is>
      </c>
      <c r="H509" t="inlineStr">
        <is>
          <t>FORTALECIMIENTO DEL ASEGURAMIENTO Y PRESTACIÓN INTEGRAL DE SERVICIOS DE SALUD PDM UNIDOS SOMOS MÁS EN EL MUNICIPIO DE   SALAZAR</t>
        </is>
      </c>
      <c r="I509" t="inlineStr">
        <is>
          <t>91122</t>
        </is>
      </c>
      <c r="J509" t="inlineStr">
        <is>
          <t>Servicios de la administración pública relacionados con la salud</t>
        </is>
      </c>
      <c r="K509" t="inlineStr">
        <is>
          <t>00</t>
        </is>
      </c>
      <c r="L509" t="inlineStr">
        <is>
          <t>SIN ATRIBUTO</t>
        </is>
      </c>
      <c r="N509" t="inlineStr">
        <is>
          <t>2.3.2.02.02.009.19.33</t>
        </is>
      </c>
      <c r="O509" t="inlineStr">
        <is>
          <t>Régimen subsidiado</t>
        </is>
      </c>
      <c r="P509" t="inlineStr">
        <is>
          <t>270.2</t>
        </is>
      </c>
      <c r="Q509" t="inlineStr">
        <is>
          <t>RB RF REGIMEN SUBSIDIADO</t>
        </is>
      </c>
      <c r="R509" t="n">
        <v>0</v>
      </c>
      <c r="S509" t="n">
        <v>68666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68666</v>
      </c>
      <c r="Z509" t="n">
        <v>0</v>
      </c>
      <c r="AA509" t="n">
        <v>0</v>
      </c>
      <c r="AB509" t="n">
        <v>0</v>
      </c>
      <c r="AC509" t="n">
        <v>0</v>
      </c>
      <c r="AD509" t="n">
        <v>68666</v>
      </c>
      <c r="AE509" t="n">
        <v>0</v>
      </c>
    </row>
    <row r="510">
      <c r="A510" t="inlineStr">
        <is>
          <t>1.1 - FONDO LOCAL DE SALUD</t>
        </is>
      </c>
      <c r="B510" t="inlineStr">
        <is>
          <t>19 - SALUD Y PROTECCIÓN SOCIAL</t>
        </is>
      </c>
      <c r="C510" t="inlineStr">
        <is>
          <t>0300</t>
        </is>
      </c>
      <c r="D510" t="inlineStr">
        <is>
          <t>1906</t>
        </is>
      </c>
      <c r="E510" t="inlineStr">
        <is>
          <t>1906044</t>
        </is>
      </c>
      <c r="F510" t="inlineStr">
        <is>
          <t>SERVICIO DE AFILIACIONES AL REGIMEN SUBSIDIADO DEL SISTEMA GENERAL DE SEGURIDAD SOCIAL</t>
        </is>
      </c>
      <c r="G510" t="inlineStr">
        <is>
          <t>2024546600048</t>
        </is>
      </c>
      <c r="H510" t="inlineStr">
        <is>
          <t>FORTALECIMIENTO DEL ASEGURAMIENTO Y PRESTACIÓN INTEGRAL DE SERVICIOS DE SALUD PDM UNIDOS SOMOS MÁS EN EL MUNICIPIO DE   SALAZAR</t>
        </is>
      </c>
      <c r="I510" t="inlineStr">
        <is>
          <t>91122</t>
        </is>
      </c>
      <c r="J510" t="inlineStr">
        <is>
          <t>Servicios de la administración pública relacionados con la salud</t>
        </is>
      </c>
      <c r="K510" t="inlineStr">
        <is>
          <t>00</t>
        </is>
      </c>
      <c r="L510" t="inlineStr">
        <is>
          <t>SIN ATRIBUTO</t>
        </is>
      </c>
      <c r="N510" t="inlineStr">
        <is>
          <t>2.3.2.02.02.009.19.34</t>
        </is>
      </c>
      <c r="O510" t="inlineStr">
        <is>
          <t>Auditoria Régimen subsidiado</t>
        </is>
      </c>
      <c r="P510" t="inlineStr">
        <is>
          <t>100.1</t>
        </is>
      </c>
      <c r="Q510" t="inlineStr">
        <is>
          <t>RECURSOS PROPIOS RB</t>
        </is>
      </c>
      <c r="R510" t="n">
        <v>0</v>
      </c>
      <c r="S510" t="n">
        <v>23000000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23000000</v>
      </c>
      <c r="Z510" t="n">
        <v>0</v>
      </c>
      <c r="AA510" t="n">
        <v>0</v>
      </c>
      <c r="AB510" t="n">
        <v>0</v>
      </c>
      <c r="AC510" t="n">
        <v>0</v>
      </c>
      <c r="AD510" t="n">
        <v>23000000</v>
      </c>
      <c r="AE510" t="n">
        <v>0</v>
      </c>
    </row>
    <row r="511">
      <c r="A511" t="inlineStr">
        <is>
          <t>1.1 - FONDO LOCAL DE SALUD</t>
        </is>
      </c>
      <c r="B511" t="inlineStr">
        <is>
          <t>19 - SALUD Y PROTECCIÓN SOCIAL</t>
        </is>
      </c>
      <c r="C511" t="inlineStr">
        <is>
          <t>0300</t>
        </is>
      </c>
      <c r="D511" t="inlineStr">
        <is>
          <t>1905</t>
        </is>
      </c>
      <c r="E511" t="inlineStr">
        <is>
          <t>1905024</t>
        </is>
      </c>
      <c r="F511" t="inlineStr">
        <is>
          <t>SERVICIO DE GESTIÓN DEL RIESGO PARA ABORDAR SITUACIONES DE SALUD RELACIONADAS CON CONDICIONES AMBIENTALES</t>
        </is>
      </c>
      <c r="G511" t="inlineStr">
        <is>
          <t>2024546600046</t>
        </is>
      </c>
      <c r="H511" t="inlineStr">
        <is>
          <t>FORTALECIMIENTO DE LA SALUD PÚBLICA PDM UNIDOS SOMOS MÁS EN EL MUNICIPIO DE  SALAZAR</t>
        </is>
      </c>
      <c r="I511" t="inlineStr">
        <is>
          <t>91122</t>
        </is>
      </c>
      <c r="J511" t="inlineStr">
        <is>
          <t>Servicios de la administración pública relacionados con la salud</t>
        </is>
      </c>
      <c r="K511" t="inlineStr">
        <is>
          <t>00</t>
        </is>
      </c>
      <c r="L511" t="inlineStr">
        <is>
          <t>SIN ATRIBUTO</t>
        </is>
      </c>
      <c r="N511" t="inlineStr">
        <is>
          <t>2.3.2.02.02.009.19.35</t>
        </is>
      </c>
      <c r="O511" t="inlineStr">
        <is>
          <t>Servicio de gestión del riesgo para abordar situaciones de salud relacionadas con condiciones ambientales - Gestión</t>
        </is>
      </c>
      <c r="P511" t="inlineStr">
        <is>
          <t>250</t>
        </is>
      </c>
      <c r="Q511" t="inlineStr">
        <is>
          <t>SGP SALUD PUBLICA SALDOS NO EJECUTADOS VIGENCIAS ANTERIORES Y REINTEGROS</t>
        </is>
      </c>
      <c r="R511" t="n">
        <v>0</v>
      </c>
      <c r="S511" t="n">
        <v>1767680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1767680</v>
      </c>
      <c r="Z511" t="n">
        <v>0</v>
      </c>
      <c r="AA511" t="n">
        <v>0</v>
      </c>
      <c r="AB511" t="n">
        <v>0</v>
      </c>
      <c r="AC511" t="n">
        <v>0</v>
      </c>
      <c r="AD511" t="n">
        <v>1767680</v>
      </c>
      <c r="AE511" t="n">
        <v>0</v>
      </c>
    </row>
    <row r="512">
      <c r="A512" t="inlineStr">
        <is>
          <t>1.1 - FONDO LOCAL DE SALUD</t>
        </is>
      </c>
      <c r="B512" t="inlineStr">
        <is>
          <t>19 - SALUD Y PROTECCIÓN SOCIAL</t>
        </is>
      </c>
      <c r="C512" t="inlineStr">
        <is>
          <t>0300</t>
        </is>
      </c>
      <c r="D512" t="inlineStr">
        <is>
          <t>1905</t>
        </is>
      </c>
      <c r="E512" t="inlineStr">
        <is>
          <t>1905026</t>
        </is>
      </c>
      <c r="F512" t="inlineStr">
        <is>
          <t>SERVICIO DE GESTIÓN DEL RIESGO PARA ENFERMEDADES EMERGENTES, REEMERGENTES Y DESATENDIDAS</t>
        </is>
      </c>
      <c r="G512" t="inlineStr">
        <is>
          <t>2024546600046</t>
        </is>
      </c>
      <c r="H512" t="inlineStr">
        <is>
          <t>FORTALECIMIENTO DE LA SALUD PÚBLICA PDM UNIDOS SOMOS MÁS EN EL MUNICIPIO DE  SALAZAR</t>
        </is>
      </c>
      <c r="I512" t="inlineStr">
        <is>
          <t>91122</t>
        </is>
      </c>
      <c r="J512" t="inlineStr">
        <is>
          <t>Servicios de la administración pública relacionados con la salud</t>
        </is>
      </c>
      <c r="K512" t="inlineStr">
        <is>
          <t>00</t>
        </is>
      </c>
      <c r="L512" t="inlineStr">
        <is>
          <t>SIN ATRIBUTO</t>
        </is>
      </c>
      <c r="N512" t="inlineStr">
        <is>
          <t>2.3.2.02.02.009.19.36</t>
        </is>
      </c>
      <c r="O512" t="inlineStr">
        <is>
          <t>Servicio de gestión del riesgo para enfermedades emergentes, reemergentes y desatendidas - Gestión</t>
        </is>
      </c>
      <c r="P512" t="inlineStr">
        <is>
          <t>100.1</t>
        </is>
      </c>
      <c r="Q512" t="inlineStr">
        <is>
          <t>RECURSOS PROPIOS RB</t>
        </is>
      </c>
      <c r="R512" t="n">
        <v>0</v>
      </c>
      <c r="S512" t="n">
        <v>10000000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10000000</v>
      </c>
      <c r="Z512" t="n">
        <v>0</v>
      </c>
      <c r="AA512" t="n">
        <v>0</v>
      </c>
      <c r="AB512" t="n">
        <v>0</v>
      </c>
      <c r="AC512" t="n">
        <v>0</v>
      </c>
      <c r="AD512" t="n">
        <v>10000000</v>
      </c>
      <c r="AE512" t="n">
        <v>0</v>
      </c>
    </row>
    <row r="513">
      <c r="A513" t="inlineStr">
        <is>
          <t>1.1 - FONDO LOCAL DE SALUD</t>
        </is>
      </c>
      <c r="B513" t="inlineStr">
        <is>
          <t>19 - SALUD Y PROTECCIÓN SOCIAL</t>
        </is>
      </c>
      <c r="C513" t="inlineStr">
        <is>
          <t>0300</t>
        </is>
      </c>
      <c r="D513" t="inlineStr">
        <is>
          <t>1905</t>
        </is>
      </c>
      <c r="E513" t="inlineStr">
        <is>
          <t>1905027</t>
        </is>
      </c>
      <c r="F513" t="inlineStr">
        <is>
          <t>SERVICIO DE GESTIÓN DEL RIESGO PARA ENFERMEDADES INMUNOPREVENIBLES</t>
        </is>
      </c>
      <c r="G513" t="inlineStr">
        <is>
          <t>2024546600046</t>
        </is>
      </c>
      <c r="H513" t="inlineStr">
        <is>
          <t>FORTALECIMIENTO DE LA SALUD PÚBLICA PDM UNIDOS SOMOS MÁS EN EL MUNICIPIO DE  SALAZAR</t>
        </is>
      </c>
      <c r="I513" t="inlineStr">
        <is>
          <t>91122</t>
        </is>
      </c>
      <c r="J513" t="inlineStr">
        <is>
          <t>Servicios de la administración pública relacionados con la salud</t>
        </is>
      </c>
      <c r="K513" t="inlineStr">
        <is>
          <t>00</t>
        </is>
      </c>
      <c r="L513" t="inlineStr">
        <is>
          <t>SIN ATRIBUTO</t>
        </is>
      </c>
      <c r="N513" t="inlineStr">
        <is>
          <t>2.3.2.02.02.009.19.37</t>
        </is>
      </c>
      <c r="O513" t="inlineStr">
        <is>
          <t>Servicio de gestión del riesgo para abordar situaciones de salud relacionadas con condiciones ambientales - PIC</t>
        </is>
      </c>
      <c r="P513" t="inlineStr">
        <is>
          <t>250</t>
        </is>
      </c>
      <c r="Q513" t="inlineStr">
        <is>
          <t>SGP SALUD PUBLICA SALDOS NO EJECUTADOS VIGENCIAS ANTERIORES Y REINTEGROS</t>
        </is>
      </c>
      <c r="R513" t="n">
        <v>0</v>
      </c>
      <c r="S513" t="n">
        <v>6600000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6600000</v>
      </c>
      <c r="Z513" t="n">
        <v>0</v>
      </c>
      <c r="AA513" t="n">
        <v>0</v>
      </c>
      <c r="AB513" t="n">
        <v>0</v>
      </c>
      <c r="AC513" t="n">
        <v>0</v>
      </c>
      <c r="AD513" t="n">
        <v>6600000</v>
      </c>
      <c r="AE513" t="n">
        <v>0</v>
      </c>
    </row>
    <row r="514">
      <c r="A514" t="inlineStr">
        <is>
          <t>1.1 - FONDO LOCAL DE SALUD</t>
        </is>
      </c>
      <c r="B514" t="inlineStr">
        <is>
          <t>19 - SALUD Y PROTECCIÓN SOCIAL</t>
        </is>
      </c>
      <c r="C514" t="inlineStr">
        <is>
          <t>0300</t>
        </is>
      </c>
      <c r="D514" t="inlineStr">
        <is>
          <t>1905</t>
        </is>
      </c>
      <c r="E514" t="inlineStr">
        <is>
          <t>1905050</t>
        </is>
      </c>
      <c r="F514" t="inlineStr">
        <is>
          <t>SERVICIO DE ASISTENCIA TÉCNICA</t>
        </is>
      </c>
      <c r="G514" t="inlineStr">
        <is>
          <t>2024546600046</t>
        </is>
      </c>
      <c r="H514" t="inlineStr">
        <is>
          <t>FORTALECIMIENTO DE LA SALUD PÚBLICA PDM UNIDOS SOMOS MÁS EN EL MUNICIPIO DE  SALAZAR</t>
        </is>
      </c>
      <c r="I514" t="inlineStr">
        <is>
          <t>91122</t>
        </is>
      </c>
      <c r="J514" t="inlineStr">
        <is>
          <t>Servicios de la administración pública relacionados con la salud</t>
        </is>
      </c>
      <c r="K514" t="inlineStr">
        <is>
          <t>00</t>
        </is>
      </c>
      <c r="L514" t="inlineStr">
        <is>
          <t>SIN ATRIBUTO</t>
        </is>
      </c>
      <c r="N514" t="inlineStr">
        <is>
          <t>2.3.2.02.02.009.19.38</t>
        </is>
      </c>
      <c r="O514" t="inlineStr">
        <is>
          <t>Servicio de asistencia técnica - Gestión</t>
        </is>
      </c>
      <c r="P514" t="inlineStr">
        <is>
          <t>630.1</t>
        </is>
      </c>
      <c r="Q514" t="inlineStr">
        <is>
          <t>COLJUEGOS RB</t>
        </is>
      </c>
      <c r="R514" t="n">
        <v>0</v>
      </c>
      <c r="S514" t="n">
        <v>10232114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10232114</v>
      </c>
      <c r="Z514" t="n">
        <v>0</v>
      </c>
      <c r="AA514" t="n">
        <v>0</v>
      </c>
      <c r="AB514" t="n">
        <v>0</v>
      </c>
      <c r="AC514" t="n">
        <v>0</v>
      </c>
      <c r="AD514" t="n">
        <v>10232114</v>
      </c>
      <c r="AE514" t="n">
        <v>0</v>
      </c>
    </row>
    <row r="515">
      <c r="A515" t="inlineStr">
        <is>
          <t>1.1 - FONDO LOCAL DE SALUD</t>
        </is>
      </c>
      <c r="B515" t="inlineStr">
        <is>
          <t>19 - SALUD Y PROTECCIÓN SOCIAL</t>
        </is>
      </c>
      <c r="C515" t="inlineStr">
        <is>
          <t>0300</t>
        </is>
      </c>
      <c r="D515" t="inlineStr">
        <is>
          <t>1905</t>
        </is>
      </c>
      <c r="E515" t="inlineStr">
        <is>
          <t>1905050</t>
        </is>
      </c>
      <c r="F515" t="inlineStr">
        <is>
          <t>SERVICIO DE ASISTENCIA TÉCNICA</t>
        </is>
      </c>
      <c r="G515" t="inlineStr">
        <is>
          <t>2024546600046</t>
        </is>
      </c>
      <c r="H515" t="inlineStr">
        <is>
          <t>FORTALECIMIENTO DE LA SALUD PÚBLICA PDM UNIDOS SOMOS MÁS EN EL MUNICIPIO DE  SALAZAR</t>
        </is>
      </c>
      <c r="I515" t="inlineStr">
        <is>
          <t>91122</t>
        </is>
      </c>
      <c r="J515" t="inlineStr">
        <is>
          <t>Servicios de la administración pública relacionados con la salud</t>
        </is>
      </c>
      <c r="K515" t="inlineStr">
        <is>
          <t>00</t>
        </is>
      </c>
      <c r="L515" t="inlineStr">
        <is>
          <t>SIN ATRIBUTO</t>
        </is>
      </c>
      <c r="N515" t="inlineStr">
        <is>
          <t>2.3.2.02.02.009.19.39</t>
        </is>
      </c>
      <c r="O515" t="inlineStr">
        <is>
          <t>Servicio de asistencia técnica - Gestión</t>
        </is>
      </c>
      <c r="P515" t="inlineStr">
        <is>
          <t>670.11.1</t>
        </is>
      </c>
      <c r="Q515" t="inlineStr">
        <is>
          <t>REND. FCROS. OTROS GASTOS EN SALUD RB</t>
        </is>
      </c>
      <c r="R515" t="n">
        <v>0</v>
      </c>
      <c r="S515" t="n">
        <v>21155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21155</v>
      </c>
      <c r="Z515" t="n">
        <v>0</v>
      </c>
      <c r="AA515" t="n">
        <v>0</v>
      </c>
      <c r="AB515" t="n">
        <v>0</v>
      </c>
      <c r="AC515" t="n">
        <v>0</v>
      </c>
      <c r="AD515" t="n">
        <v>21155</v>
      </c>
      <c r="AE515" t="n">
        <v>0</v>
      </c>
    </row>
    <row r="516">
      <c r="A516" t="inlineStr">
        <is>
          <t>1.1 - FONDO LOCAL DE SALUD</t>
        </is>
      </c>
      <c r="B516" t="inlineStr">
        <is>
          <t>19 - SALUD Y PROTECCIÓN SOCIAL</t>
        </is>
      </c>
      <c r="C516" t="inlineStr">
        <is>
          <t>0300</t>
        </is>
      </c>
      <c r="D516" t="inlineStr">
        <is>
          <t>1905</t>
        </is>
      </c>
      <c r="E516" t="inlineStr">
        <is>
          <t>1905050</t>
        </is>
      </c>
      <c r="F516" t="inlineStr">
        <is>
          <t>SERVICIO DE ASISTENCIA TÉCNICA</t>
        </is>
      </c>
      <c r="G516" t="inlineStr">
        <is>
          <t>2024546600046</t>
        </is>
      </c>
      <c r="H516" t="inlineStr">
        <is>
          <t>FORTALECIMIENTO DE LA SALUD PÚBLICA PDM UNIDOS SOMOS MÁS EN EL MUNICIPIO DE  SALAZAR</t>
        </is>
      </c>
      <c r="I516" t="inlineStr">
        <is>
          <t>91122</t>
        </is>
      </c>
      <c r="J516" t="inlineStr">
        <is>
          <t>Servicios de la administración pública relacionados con la salud</t>
        </is>
      </c>
      <c r="K516" t="inlineStr">
        <is>
          <t>00</t>
        </is>
      </c>
      <c r="L516" t="inlineStr">
        <is>
          <t>SIN ATRIBUTO</t>
        </is>
      </c>
      <c r="N516" t="inlineStr">
        <is>
          <t>2.3.2.02.02.009.19.40</t>
        </is>
      </c>
      <c r="O516" t="inlineStr">
        <is>
          <t>Servicio de asistencia técnica - Gestión</t>
        </is>
      </c>
      <c r="P516" t="inlineStr">
        <is>
          <t>670.3.1</t>
        </is>
      </c>
      <c r="Q516" t="inlineStr">
        <is>
          <t>RB REND. FCROS COLJUEGOS 25%</t>
        </is>
      </c>
      <c r="R516" t="n">
        <v>0</v>
      </c>
      <c r="S516" t="n">
        <v>40180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40180</v>
      </c>
      <c r="Z516" t="n">
        <v>0</v>
      </c>
      <c r="AA516" t="n">
        <v>0</v>
      </c>
      <c r="AB516" t="n">
        <v>0</v>
      </c>
      <c r="AC516" t="n">
        <v>0</v>
      </c>
      <c r="AD516" t="n">
        <v>40180</v>
      </c>
      <c r="AE516" t="n">
        <v>0</v>
      </c>
    </row>
    <row r="517">
      <c r="A517" t="inlineStr">
        <is>
          <t>3 - CONCEJO</t>
        </is>
      </c>
      <c r="B517" t="inlineStr">
        <is>
          <t>00 - SIN SECTOR</t>
        </is>
      </c>
      <c r="C517" t="inlineStr">
        <is>
          <t>00</t>
        </is>
      </c>
      <c r="D517" t="inlineStr">
        <is>
          <t>0000</t>
        </is>
      </c>
      <c r="E517" t="inlineStr">
        <is>
          <t>000000</t>
        </is>
      </c>
      <c r="F517" t="inlineStr">
        <is>
          <t>SIN PRODUCTO</t>
        </is>
      </c>
      <c r="G517" t="inlineStr">
        <is>
          <t>00</t>
        </is>
      </c>
      <c r="H517" t="inlineStr">
        <is>
          <t>00</t>
        </is>
      </c>
      <c r="I517" t="inlineStr">
        <is>
          <t>00</t>
        </is>
      </c>
      <c r="J517" t="inlineStr">
        <is>
          <t>SIN PRODUCTO DANE</t>
        </is>
      </c>
      <c r="K517" t="inlineStr">
        <is>
          <t>00</t>
        </is>
      </c>
      <c r="L517" t="inlineStr">
        <is>
          <t>SIN ATRIBUTO</t>
        </is>
      </c>
      <c r="N517" t="inlineStr">
        <is>
          <t>2</t>
        </is>
      </c>
      <c r="O517" t="inlineStr">
        <is>
          <t>Gastos</t>
        </is>
      </c>
      <c r="P517" t="inlineStr">
        <is>
          <t>00</t>
        </is>
      </c>
      <c r="Q517" t="inlineStr">
        <is>
          <t>RECURSOS</t>
        </is>
      </c>
      <c r="R517" t="n">
        <v>411802051</v>
      </c>
      <c r="S517" t="n">
        <v>0</v>
      </c>
      <c r="T517" t="n">
        <v>0</v>
      </c>
      <c r="U517" t="n">
        <v>7437105</v>
      </c>
      <c r="V517" t="n">
        <v>7437105</v>
      </c>
      <c r="W517" t="n">
        <v>0</v>
      </c>
      <c r="X517" t="n">
        <v>0</v>
      </c>
      <c r="Y517" t="n">
        <v>411802051</v>
      </c>
      <c r="Z517" t="n">
        <v>161096019</v>
      </c>
      <c r="AA517" t="n">
        <v>160965992</v>
      </c>
      <c r="AB517" t="n">
        <v>160965019</v>
      </c>
      <c r="AC517" t="n">
        <v>160965019</v>
      </c>
      <c r="AD517" t="n">
        <v>250706032</v>
      </c>
      <c r="AE517" t="n">
        <v>39.12</v>
      </c>
    </row>
    <row r="518">
      <c r="A518" t="inlineStr">
        <is>
          <t>3 - CONCEJO</t>
        </is>
      </c>
      <c r="B518" t="inlineStr">
        <is>
          <t>00 - SIN SECTOR</t>
        </is>
      </c>
      <c r="C518" t="inlineStr">
        <is>
          <t>00</t>
        </is>
      </c>
      <c r="D518" t="inlineStr">
        <is>
          <t>0000</t>
        </is>
      </c>
      <c r="E518" t="inlineStr">
        <is>
          <t>000000</t>
        </is>
      </c>
      <c r="F518" t="inlineStr">
        <is>
          <t>SIN PRODUCTO</t>
        </is>
      </c>
      <c r="G518" t="inlineStr">
        <is>
          <t>00</t>
        </is>
      </c>
      <c r="H518" t="inlineStr">
        <is>
          <t>00</t>
        </is>
      </c>
      <c r="I518" t="inlineStr">
        <is>
          <t>00</t>
        </is>
      </c>
      <c r="J518" t="inlineStr">
        <is>
          <t>SIN PRODUCTO DANE</t>
        </is>
      </c>
      <c r="K518" t="inlineStr">
        <is>
          <t>00</t>
        </is>
      </c>
      <c r="L518" t="inlineStr">
        <is>
          <t>SIN ATRIBUTO</t>
        </is>
      </c>
      <c r="N518" t="inlineStr">
        <is>
          <t>2.1</t>
        </is>
      </c>
      <c r="O518" t="inlineStr">
        <is>
          <t>Funcionamiento</t>
        </is>
      </c>
      <c r="P518" t="inlineStr">
        <is>
          <t>00</t>
        </is>
      </c>
      <c r="Q518" t="inlineStr">
        <is>
          <t>RECURSOS</t>
        </is>
      </c>
      <c r="R518" t="n">
        <v>411802051</v>
      </c>
      <c r="S518" t="n">
        <v>0</v>
      </c>
      <c r="T518" t="n">
        <v>0</v>
      </c>
      <c r="U518" t="n">
        <v>7437105</v>
      </c>
      <c r="V518" t="n">
        <v>7437105</v>
      </c>
      <c r="W518" t="n">
        <v>0</v>
      </c>
      <c r="X518" t="n">
        <v>0</v>
      </c>
      <c r="Y518" t="n">
        <v>411802051</v>
      </c>
      <c r="Z518" t="n">
        <v>161096019</v>
      </c>
      <c r="AA518" t="n">
        <v>160965992</v>
      </c>
      <c r="AB518" t="n">
        <v>160965019</v>
      </c>
      <c r="AC518" t="n">
        <v>160965019</v>
      </c>
      <c r="AD518" t="n">
        <v>250706032</v>
      </c>
      <c r="AE518" t="n">
        <v>39.12</v>
      </c>
    </row>
    <row r="519">
      <c r="A519" t="inlineStr">
        <is>
          <t>3 - CONCEJO</t>
        </is>
      </c>
      <c r="B519" t="inlineStr">
        <is>
          <t>00 - SIN SECTOR</t>
        </is>
      </c>
      <c r="C519" t="inlineStr">
        <is>
          <t>00</t>
        </is>
      </c>
      <c r="D519" t="inlineStr">
        <is>
          <t>0000</t>
        </is>
      </c>
      <c r="E519" t="inlineStr">
        <is>
          <t>000000</t>
        </is>
      </c>
      <c r="F519" t="inlineStr">
        <is>
          <t>SIN PRODUCTO</t>
        </is>
      </c>
      <c r="G519" t="inlineStr">
        <is>
          <t>00</t>
        </is>
      </c>
      <c r="H519" t="inlineStr">
        <is>
          <t>00</t>
        </is>
      </c>
      <c r="I519" t="inlineStr">
        <is>
          <t>00</t>
        </is>
      </c>
      <c r="J519" t="inlineStr">
        <is>
          <t>SIN PRODUCTO DANE</t>
        </is>
      </c>
      <c r="K519" t="inlineStr">
        <is>
          <t>00</t>
        </is>
      </c>
      <c r="L519" t="inlineStr">
        <is>
          <t>SIN ATRIBUTO</t>
        </is>
      </c>
      <c r="N519" t="inlineStr">
        <is>
          <t>2.1.1</t>
        </is>
      </c>
      <c r="O519" t="inlineStr">
        <is>
          <t>Gastos de personal</t>
        </is>
      </c>
      <c r="P519" t="inlineStr">
        <is>
          <t>00</t>
        </is>
      </c>
      <c r="Q519" t="inlineStr">
        <is>
          <t>RECURSOS</t>
        </is>
      </c>
      <c r="R519" t="n">
        <v>393003230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393003230</v>
      </c>
      <c r="Z519" t="n">
        <v>153658914</v>
      </c>
      <c r="AA519" t="n">
        <v>153658914</v>
      </c>
      <c r="AB519" t="n">
        <v>153658914</v>
      </c>
      <c r="AC519" t="n">
        <v>153658914</v>
      </c>
      <c r="AD519" t="n">
        <v>239344316</v>
      </c>
      <c r="AE519" t="n">
        <v>39.1</v>
      </c>
    </row>
    <row r="520">
      <c r="A520" t="inlineStr">
        <is>
          <t>3 - CONCEJO</t>
        </is>
      </c>
      <c r="B520" t="inlineStr">
        <is>
          <t>00 - SIN SECTOR</t>
        </is>
      </c>
      <c r="C520" t="inlineStr">
        <is>
          <t>00</t>
        </is>
      </c>
      <c r="D520" t="inlineStr">
        <is>
          <t>0000</t>
        </is>
      </c>
      <c r="E520" t="inlineStr">
        <is>
          <t>000000</t>
        </is>
      </c>
      <c r="F520" t="inlineStr">
        <is>
          <t>SIN PRODUCTO</t>
        </is>
      </c>
      <c r="G520" t="inlineStr">
        <is>
          <t>00</t>
        </is>
      </c>
      <c r="H520" t="inlineStr">
        <is>
          <t>00</t>
        </is>
      </c>
      <c r="I520" t="inlineStr">
        <is>
          <t>00</t>
        </is>
      </c>
      <c r="J520" t="inlineStr">
        <is>
          <t>SIN PRODUCTO DANE</t>
        </is>
      </c>
      <c r="K520" t="inlineStr">
        <is>
          <t>00</t>
        </is>
      </c>
      <c r="L520" t="inlineStr">
        <is>
          <t>SIN ATRIBUTO</t>
        </is>
      </c>
      <c r="N520" t="inlineStr">
        <is>
          <t>2.1.1.01</t>
        </is>
      </c>
      <c r="O520" t="inlineStr">
        <is>
          <t>Planta de personal permanente</t>
        </is>
      </c>
      <c r="P520" t="inlineStr">
        <is>
          <t>00</t>
        </is>
      </c>
      <c r="Q520" t="inlineStr">
        <is>
          <t>RECURSOS</t>
        </is>
      </c>
      <c r="R520" t="n">
        <v>393003230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393003230</v>
      </c>
      <c r="Z520" t="n">
        <v>153658914</v>
      </c>
      <c r="AA520" t="n">
        <v>153658914</v>
      </c>
      <c r="AB520" t="n">
        <v>153658914</v>
      </c>
      <c r="AC520" t="n">
        <v>153658914</v>
      </c>
      <c r="AD520" t="n">
        <v>239344316</v>
      </c>
      <c r="AE520" t="n">
        <v>39.1</v>
      </c>
    </row>
    <row r="521">
      <c r="A521" t="inlineStr">
        <is>
          <t>3 - CONCEJO</t>
        </is>
      </c>
      <c r="B521" t="inlineStr">
        <is>
          <t>00 - SIN SECTOR</t>
        </is>
      </c>
      <c r="C521" t="inlineStr">
        <is>
          <t>00</t>
        </is>
      </c>
      <c r="D521" t="inlineStr">
        <is>
          <t>0000</t>
        </is>
      </c>
      <c r="E521" t="inlineStr">
        <is>
          <t>000000</t>
        </is>
      </c>
      <c r="F521" t="inlineStr">
        <is>
          <t>SIN PRODUCTO</t>
        </is>
      </c>
      <c r="G521" t="inlineStr">
        <is>
          <t>00</t>
        </is>
      </c>
      <c r="H521" t="inlineStr">
        <is>
          <t>00</t>
        </is>
      </c>
      <c r="I521" t="inlineStr">
        <is>
          <t>00</t>
        </is>
      </c>
      <c r="J521" t="inlineStr">
        <is>
          <t>SIN PRODUCTO DANE</t>
        </is>
      </c>
      <c r="K521" t="inlineStr">
        <is>
          <t>00</t>
        </is>
      </c>
      <c r="L521" t="inlineStr">
        <is>
          <t>SIN ATRIBUTO</t>
        </is>
      </c>
      <c r="N521" t="inlineStr">
        <is>
          <t>2.1.1.01.01</t>
        </is>
      </c>
      <c r="O521" t="inlineStr">
        <is>
          <t>Factores constitutivos de salario</t>
        </is>
      </c>
      <c r="P521" t="inlineStr">
        <is>
          <t>00</t>
        </is>
      </c>
      <c r="Q521" t="inlineStr">
        <is>
          <t>RECURSOS</t>
        </is>
      </c>
      <c r="R521" t="n">
        <v>29591855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29591855</v>
      </c>
      <c r="Z521" t="n">
        <v>10529285</v>
      </c>
      <c r="AA521" t="n">
        <v>10529285</v>
      </c>
      <c r="AB521" t="n">
        <v>10529285</v>
      </c>
      <c r="AC521" t="n">
        <v>10529285</v>
      </c>
      <c r="AD521" t="n">
        <v>19062570</v>
      </c>
      <c r="AE521" t="n">
        <v>35.58</v>
      </c>
    </row>
    <row r="522">
      <c r="A522" t="inlineStr">
        <is>
          <t>3 - CONCEJO</t>
        </is>
      </c>
      <c r="B522" t="inlineStr">
        <is>
          <t>00 - SIN SECTOR</t>
        </is>
      </c>
      <c r="C522" t="inlineStr">
        <is>
          <t>00</t>
        </is>
      </c>
      <c r="D522" t="inlineStr">
        <is>
          <t>0000</t>
        </is>
      </c>
      <c r="E522" t="inlineStr">
        <is>
          <t>000000</t>
        </is>
      </c>
      <c r="F522" t="inlineStr">
        <is>
          <t>SIN PRODUCTO</t>
        </is>
      </c>
      <c r="G522" t="inlineStr">
        <is>
          <t>00</t>
        </is>
      </c>
      <c r="H522" t="inlineStr">
        <is>
          <t>00</t>
        </is>
      </c>
      <c r="I522" t="inlineStr">
        <is>
          <t>00</t>
        </is>
      </c>
      <c r="J522" t="inlineStr">
        <is>
          <t>SIN PRODUCTO DANE</t>
        </is>
      </c>
      <c r="K522" t="inlineStr">
        <is>
          <t>00</t>
        </is>
      </c>
      <c r="L522" t="inlineStr">
        <is>
          <t>SIN ATRIBUTO</t>
        </is>
      </c>
      <c r="N522" t="inlineStr">
        <is>
          <t>2.1.1.01.01.001</t>
        </is>
      </c>
      <c r="O522" t="inlineStr">
        <is>
          <t>Factores salariales comunes</t>
        </is>
      </c>
      <c r="P522" t="inlineStr">
        <is>
          <t>00</t>
        </is>
      </c>
      <c r="Q522" t="inlineStr">
        <is>
          <t>RECURSOS</t>
        </is>
      </c>
      <c r="R522" t="n">
        <v>29591855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29591855</v>
      </c>
      <c r="Z522" t="n">
        <v>10529285</v>
      </c>
      <c r="AA522" t="n">
        <v>10529285</v>
      </c>
      <c r="AB522" t="n">
        <v>10529285</v>
      </c>
      <c r="AC522" t="n">
        <v>10529285</v>
      </c>
      <c r="AD522" t="n">
        <v>19062570</v>
      </c>
      <c r="AE522" t="n">
        <v>35.58</v>
      </c>
    </row>
    <row r="523">
      <c r="A523" t="inlineStr">
        <is>
          <t>3 - CONCEJO</t>
        </is>
      </c>
      <c r="B523" t="inlineStr">
        <is>
          <t>00 - SIN SECTOR</t>
        </is>
      </c>
      <c r="C523" t="inlineStr">
        <is>
          <t>00</t>
        </is>
      </c>
      <c r="D523" t="inlineStr">
        <is>
          <t>0000</t>
        </is>
      </c>
      <c r="E523" t="inlineStr">
        <is>
          <t>000000</t>
        </is>
      </c>
      <c r="F523" t="inlineStr">
        <is>
          <t>SIN PRODUCTO</t>
        </is>
      </c>
      <c r="G523" t="inlineStr">
        <is>
          <t>00</t>
        </is>
      </c>
      <c r="H523" t="inlineStr">
        <is>
          <t>00</t>
        </is>
      </c>
      <c r="I523" t="inlineStr">
        <is>
          <t>00</t>
        </is>
      </c>
      <c r="J523" t="inlineStr">
        <is>
          <t>SIN PRODUCTO DANE</t>
        </is>
      </c>
      <c r="K523" t="inlineStr">
        <is>
          <t>00</t>
        </is>
      </c>
      <c r="L523" t="inlineStr">
        <is>
          <t>SIN ATRIBUTO</t>
        </is>
      </c>
      <c r="N523" t="inlineStr">
        <is>
          <t>2.1.1.01.01.001.01</t>
        </is>
      </c>
      <c r="O523" t="inlineStr">
        <is>
          <t>Sueldo basico</t>
        </is>
      </c>
      <c r="P523" t="inlineStr">
        <is>
          <t>360</t>
        </is>
      </c>
      <c r="Q523" t="inlineStr">
        <is>
          <t>SGP PROPOSITO GENERAL 42 POR CIENTO RECURSOS LIBRE DESTINACION SGP PROPOSITO GENERAL MPIOS DE CATEGORIA 4 5 Y 6 SGP ONCE</t>
        </is>
      </c>
      <c r="R523" t="n">
        <v>20850362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20850362</v>
      </c>
      <c r="Z523" t="n">
        <v>8754525</v>
      </c>
      <c r="AA523" t="n">
        <v>8754525</v>
      </c>
      <c r="AB523" t="n">
        <v>8754525</v>
      </c>
      <c r="AC523" t="n">
        <v>8754525</v>
      </c>
      <c r="AD523" t="n">
        <v>12095837</v>
      </c>
      <c r="AE523" t="n">
        <v>41.99</v>
      </c>
    </row>
    <row r="524">
      <c r="A524" t="inlineStr">
        <is>
          <t>3 - CONCEJO</t>
        </is>
      </c>
      <c r="B524" t="inlineStr">
        <is>
          <t>00 - SIN SECTOR</t>
        </is>
      </c>
      <c r="C524" t="inlineStr">
        <is>
          <t>00</t>
        </is>
      </c>
      <c r="D524" t="inlineStr">
        <is>
          <t>0000</t>
        </is>
      </c>
      <c r="E524" t="inlineStr">
        <is>
          <t>000000</t>
        </is>
      </c>
      <c r="F524" t="inlineStr">
        <is>
          <t>SIN PRODUCTO</t>
        </is>
      </c>
      <c r="G524" t="inlineStr">
        <is>
          <t>00</t>
        </is>
      </c>
      <c r="H524" t="inlineStr">
        <is>
          <t>00</t>
        </is>
      </c>
      <c r="I524" t="inlineStr">
        <is>
          <t>00</t>
        </is>
      </c>
      <c r="J524" t="inlineStr">
        <is>
          <t>SIN PRODUCTO DANE</t>
        </is>
      </c>
      <c r="K524" t="inlineStr">
        <is>
          <t>00</t>
        </is>
      </c>
      <c r="L524" t="inlineStr">
        <is>
          <t>SIN ATRIBUTO</t>
        </is>
      </c>
      <c r="N524" t="inlineStr">
        <is>
          <t>2.1.1.01.01.001.04</t>
        </is>
      </c>
      <c r="O524" t="inlineStr">
        <is>
          <t>Subsidio de alimentacion</t>
        </is>
      </c>
      <c r="P524" t="inlineStr">
        <is>
          <t>360</t>
        </is>
      </c>
      <c r="Q524" t="inlineStr">
        <is>
          <t>SGP PROPOSITO GENERAL 42 POR CIENTO RECURSOS LIBRE DESTINACION SGP PROPOSITO GENERAL MPIOS DE CATEGORIA 4 5 Y 6 SGP ONCE</t>
        </is>
      </c>
      <c r="R524" t="n">
        <v>1270274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1270274</v>
      </c>
      <c r="Z524" t="n">
        <v>529285</v>
      </c>
      <c r="AA524" t="n">
        <v>529285</v>
      </c>
      <c r="AB524" t="n">
        <v>529285</v>
      </c>
      <c r="AC524" t="n">
        <v>529285</v>
      </c>
      <c r="AD524" t="n">
        <v>740989</v>
      </c>
      <c r="AE524" t="n">
        <v>41.67</v>
      </c>
    </row>
    <row r="525">
      <c r="A525" t="inlineStr">
        <is>
          <t>3 - CONCEJO</t>
        </is>
      </c>
      <c r="B525" t="inlineStr">
        <is>
          <t>00 - SIN SECTOR</t>
        </is>
      </c>
      <c r="C525" t="inlineStr">
        <is>
          <t>00</t>
        </is>
      </c>
      <c r="D525" t="inlineStr">
        <is>
          <t>0000</t>
        </is>
      </c>
      <c r="E525" t="inlineStr">
        <is>
          <t>000000</t>
        </is>
      </c>
      <c r="F525" t="inlineStr">
        <is>
          <t>SIN PRODUCTO</t>
        </is>
      </c>
      <c r="G525" t="inlineStr">
        <is>
          <t>00</t>
        </is>
      </c>
      <c r="H525" t="inlineStr">
        <is>
          <t>00</t>
        </is>
      </c>
      <c r="I525" t="inlineStr">
        <is>
          <t>00</t>
        </is>
      </c>
      <c r="J525" t="inlineStr">
        <is>
          <t>SIN PRODUCTO DANE</t>
        </is>
      </c>
      <c r="K525" t="inlineStr">
        <is>
          <t>00</t>
        </is>
      </c>
      <c r="L525" t="inlineStr">
        <is>
          <t>SIN ATRIBUTO</t>
        </is>
      </c>
      <c r="N525" t="inlineStr">
        <is>
          <t>2.1.1.01.01.001.05</t>
        </is>
      </c>
      <c r="O525" t="inlineStr">
        <is>
          <t>Auxilio de transporte</t>
        </is>
      </c>
      <c r="P525" t="inlineStr">
        <is>
          <t>360</t>
        </is>
      </c>
      <c r="Q525" t="inlineStr">
        <is>
          <t>SGP PROPOSITO GENERAL 42 POR CIENTO RECURSOS LIBRE DESTINACION SGP PROPOSITO GENERAL MPIOS DE CATEGORIA 4 5 Y 6 SGP ONCE</t>
        </is>
      </c>
      <c r="R525" t="n">
        <v>2568000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2568000</v>
      </c>
      <c r="Z525" t="n">
        <v>1245475</v>
      </c>
      <c r="AA525" t="n">
        <v>1245475</v>
      </c>
      <c r="AB525" t="n">
        <v>1245475</v>
      </c>
      <c r="AC525" t="n">
        <v>1245475</v>
      </c>
      <c r="AD525" t="n">
        <v>1322525</v>
      </c>
      <c r="AE525" t="n">
        <v>48.5</v>
      </c>
    </row>
    <row r="526">
      <c r="A526" t="inlineStr">
        <is>
          <t>3 - CONCEJO</t>
        </is>
      </c>
      <c r="B526" t="inlineStr">
        <is>
          <t>00 - SIN SECTOR</t>
        </is>
      </c>
      <c r="C526" t="inlineStr">
        <is>
          <t>00</t>
        </is>
      </c>
      <c r="D526" t="inlineStr">
        <is>
          <t>0000</t>
        </is>
      </c>
      <c r="E526" t="inlineStr">
        <is>
          <t>000000</t>
        </is>
      </c>
      <c r="F526" t="inlineStr">
        <is>
          <t>SIN PRODUCTO</t>
        </is>
      </c>
      <c r="G526" t="inlineStr">
        <is>
          <t>00</t>
        </is>
      </c>
      <c r="H526" t="inlineStr">
        <is>
          <t>00</t>
        </is>
      </c>
      <c r="I526" t="inlineStr">
        <is>
          <t>00</t>
        </is>
      </c>
      <c r="J526" t="inlineStr">
        <is>
          <t>SIN PRODUCTO DANE</t>
        </is>
      </c>
      <c r="K526" t="inlineStr">
        <is>
          <t>00</t>
        </is>
      </c>
      <c r="L526" t="inlineStr">
        <is>
          <t>SIN ATRIBUTO</t>
        </is>
      </c>
      <c r="N526" t="inlineStr">
        <is>
          <t>2.1.1.01.01.001.06</t>
        </is>
      </c>
      <c r="O526" t="inlineStr">
        <is>
          <t>Prima de servicio</t>
        </is>
      </c>
      <c r="P526" t="inlineStr">
        <is>
          <t>360</t>
        </is>
      </c>
      <c r="Q526" t="inlineStr">
        <is>
          <t>SGP PROPOSITO GENERAL 42 POR CIENTO RECURSOS LIBRE DESTINACION SGP PROPOSITO GENERAL MPIOS DE CATEGORIA 4 5 Y 6 SGP ONCE</t>
        </is>
      </c>
      <c r="R526" t="n">
        <v>957892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957892</v>
      </c>
      <c r="Z526" t="n">
        <v>0</v>
      </c>
      <c r="AA526" t="n">
        <v>0</v>
      </c>
      <c r="AB526" t="n">
        <v>0</v>
      </c>
      <c r="AC526" t="n">
        <v>0</v>
      </c>
      <c r="AD526" t="n">
        <v>957892</v>
      </c>
      <c r="AE526" t="n">
        <v>0</v>
      </c>
    </row>
    <row r="527">
      <c r="A527" t="inlineStr">
        <is>
          <t>3 - CONCEJO</t>
        </is>
      </c>
      <c r="B527" t="inlineStr">
        <is>
          <t>00 - SIN SECTOR</t>
        </is>
      </c>
      <c r="C527" t="inlineStr">
        <is>
          <t>00</t>
        </is>
      </c>
      <c r="D527" t="inlineStr">
        <is>
          <t>0000</t>
        </is>
      </c>
      <c r="E527" t="inlineStr">
        <is>
          <t>000000</t>
        </is>
      </c>
      <c r="F527" t="inlineStr">
        <is>
          <t>SIN PRODUCTO</t>
        </is>
      </c>
      <c r="G527" t="inlineStr">
        <is>
          <t>00</t>
        </is>
      </c>
      <c r="H527" t="inlineStr">
        <is>
          <t>00</t>
        </is>
      </c>
      <c r="I527" t="inlineStr">
        <is>
          <t>00</t>
        </is>
      </c>
      <c r="J527" t="inlineStr">
        <is>
          <t>SIN PRODUCTO DANE</t>
        </is>
      </c>
      <c r="K527" t="inlineStr">
        <is>
          <t>00</t>
        </is>
      </c>
      <c r="L527" t="inlineStr">
        <is>
          <t>SIN ATRIBUTO</t>
        </is>
      </c>
      <c r="N527" t="inlineStr">
        <is>
          <t>2.1.1.01.01.001.07</t>
        </is>
      </c>
      <c r="O527" t="inlineStr">
        <is>
          <t>Bonificacion por servicios prestados</t>
        </is>
      </c>
      <c r="P527" t="inlineStr">
        <is>
          <t>360</t>
        </is>
      </c>
      <c r="Q527" t="inlineStr">
        <is>
          <t>SGP PROPOSITO GENERAL 42 POR CIENTO RECURSOS LIBRE DESTINACION SGP PROPOSITO GENERAL MPIOS DE CATEGORIA 4 5 Y 6 SGP ONCE</t>
        </is>
      </c>
      <c r="R527" t="n">
        <v>868765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868765</v>
      </c>
      <c r="Z527" t="n">
        <v>0</v>
      </c>
      <c r="AA527" t="n">
        <v>0</v>
      </c>
      <c r="AB527" t="n">
        <v>0</v>
      </c>
      <c r="AC527" t="n">
        <v>0</v>
      </c>
      <c r="AD527" t="n">
        <v>868765</v>
      </c>
      <c r="AE527" t="n">
        <v>0</v>
      </c>
    </row>
    <row r="528">
      <c r="A528" t="inlineStr">
        <is>
          <t>3 - CONCEJO</t>
        </is>
      </c>
      <c r="B528" t="inlineStr">
        <is>
          <t>00 - SIN SECTOR</t>
        </is>
      </c>
      <c r="C528" t="inlineStr">
        <is>
          <t>00</t>
        </is>
      </c>
      <c r="D528" t="inlineStr">
        <is>
          <t>0000</t>
        </is>
      </c>
      <c r="E528" t="inlineStr">
        <is>
          <t>000000</t>
        </is>
      </c>
      <c r="F528" t="inlineStr">
        <is>
          <t>SIN PRODUCTO</t>
        </is>
      </c>
      <c r="G528" t="inlineStr">
        <is>
          <t>00</t>
        </is>
      </c>
      <c r="H528" t="inlineStr">
        <is>
          <t>00</t>
        </is>
      </c>
      <c r="I528" t="inlineStr">
        <is>
          <t>00</t>
        </is>
      </c>
      <c r="J528" t="inlineStr">
        <is>
          <t>SIN PRODUCTO DANE</t>
        </is>
      </c>
      <c r="K528" t="inlineStr">
        <is>
          <t>00</t>
        </is>
      </c>
      <c r="L528" t="inlineStr">
        <is>
          <t>SIN ATRIBUTO</t>
        </is>
      </c>
      <c r="N528" t="inlineStr">
        <is>
          <t>2.1.1.01.01.001.08</t>
        </is>
      </c>
      <c r="O528" t="inlineStr">
        <is>
          <t>Prestaciones sociales</t>
        </is>
      </c>
      <c r="P528" t="inlineStr">
        <is>
          <t>00</t>
        </is>
      </c>
      <c r="Q528" t="inlineStr">
        <is>
          <t>RECURSOS</t>
        </is>
      </c>
      <c r="R528" t="n">
        <v>3076562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3076562</v>
      </c>
      <c r="Z528" t="n">
        <v>0</v>
      </c>
      <c r="AA528" t="n">
        <v>0</v>
      </c>
      <c r="AB528" t="n">
        <v>0</v>
      </c>
      <c r="AC528" t="n">
        <v>0</v>
      </c>
      <c r="AD528" t="n">
        <v>3076562</v>
      </c>
      <c r="AE528" t="n">
        <v>0</v>
      </c>
    </row>
    <row r="529">
      <c r="A529" t="inlineStr">
        <is>
          <t>3 - CONCEJO</t>
        </is>
      </c>
      <c r="B529" t="inlineStr">
        <is>
          <t>00 - SIN SECTOR</t>
        </is>
      </c>
      <c r="C529" t="inlineStr">
        <is>
          <t>00</t>
        </is>
      </c>
      <c r="D529" t="inlineStr">
        <is>
          <t>0000</t>
        </is>
      </c>
      <c r="E529" t="inlineStr">
        <is>
          <t>000000</t>
        </is>
      </c>
      <c r="F529" t="inlineStr">
        <is>
          <t>SIN PRODUCTO</t>
        </is>
      </c>
      <c r="G529" t="inlineStr">
        <is>
          <t>00</t>
        </is>
      </c>
      <c r="H529" t="inlineStr">
        <is>
          <t>00</t>
        </is>
      </c>
      <c r="I529" t="inlineStr">
        <is>
          <t>00</t>
        </is>
      </c>
      <c r="J529" t="inlineStr">
        <is>
          <t>SIN PRODUCTO DANE</t>
        </is>
      </c>
      <c r="K529" t="inlineStr">
        <is>
          <t>00</t>
        </is>
      </c>
      <c r="L529" t="inlineStr">
        <is>
          <t>SIN ATRIBUTO</t>
        </is>
      </c>
      <c r="N529" t="inlineStr">
        <is>
          <t>2.1.1.01.01.001.08.01</t>
        </is>
      </c>
      <c r="O529" t="inlineStr">
        <is>
          <t>Prima de navidad</t>
        </is>
      </c>
      <c r="P529" t="inlineStr">
        <is>
          <t>360</t>
        </is>
      </c>
      <c r="Q529" t="inlineStr">
        <is>
          <t>SGP PROPOSITO GENERAL 42 POR CIENTO RECURSOS LIBRE DESTINACION SGP PROPOSITO GENERAL MPIOS DE CATEGORIA 4 5 Y 6 SGP ONCE</t>
        </is>
      </c>
      <c r="R529" t="n">
        <v>2078758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2078758</v>
      </c>
      <c r="Z529" t="n">
        <v>0</v>
      </c>
      <c r="AA529" t="n">
        <v>0</v>
      </c>
      <c r="AB529" t="n">
        <v>0</v>
      </c>
      <c r="AC529" t="n">
        <v>0</v>
      </c>
      <c r="AD529" t="n">
        <v>2078758</v>
      </c>
      <c r="AE529" t="n">
        <v>0</v>
      </c>
    </row>
    <row r="530">
      <c r="A530" t="inlineStr">
        <is>
          <t>3 - CONCEJO</t>
        </is>
      </c>
      <c r="B530" t="inlineStr">
        <is>
          <t>00 - SIN SECTOR</t>
        </is>
      </c>
      <c r="C530" t="inlineStr">
        <is>
          <t>00</t>
        </is>
      </c>
      <c r="D530" t="inlineStr">
        <is>
          <t>0000</t>
        </is>
      </c>
      <c r="E530" t="inlineStr">
        <is>
          <t>000000</t>
        </is>
      </c>
      <c r="F530" t="inlineStr">
        <is>
          <t>SIN PRODUCTO</t>
        </is>
      </c>
      <c r="G530" t="inlineStr">
        <is>
          <t>00</t>
        </is>
      </c>
      <c r="H530" t="inlineStr">
        <is>
          <t>00</t>
        </is>
      </c>
      <c r="I530" t="inlineStr">
        <is>
          <t>00</t>
        </is>
      </c>
      <c r="J530" t="inlineStr">
        <is>
          <t>SIN PRODUCTO DANE</t>
        </is>
      </c>
      <c r="K530" t="inlineStr">
        <is>
          <t>00</t>
        </is>
      </c>
      <c r="L530" t="inlineStr">
        <is>
          <t>SIN ATRIBUTO</t>
        </is>
      </c>
      <c r="N530" t="inlineStr">
        <is>
          <t>2.1.1.01.01.001.08.02</t>
        </is>
      </c>
      <c r="O530" t="inlineStr">
        <is>
          <t>Prima de vacaciones</t>
        </is>
      </c>
      <c r="P530" t="inlineStr">
        <is>
          <t>360</t>
        </is>
      </c>
      <c r="Q530" t="inlineStr">
        <is>
          <t>SGP PROPOSITO GENERAL 42 POR CIENTO RECURSOS LIBRE DESTINACION SGP PROPOSITO GENERAL MPIOS DE CATEGORIA 4 5 Y 6 SGP ONCE</t>
        </is>
      </c>
      <c r="R530" t="n">
        <v>997804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997804</v>
      </c>
      <c r="Z530" t="n">
        <v>0</v>
      </c>
      <c r="AA530" t="n">
        <v>0</v>
      </c>
      <c r="AB530" t="n">
        <v>0</v>
      </c>
      <c r="AC530" t="n">
        <v>0</v>
      </c>
      <c r="AD530" t="n">
        <v>997804</v>
      </c>
      <c r="AE530" t="n">
        <v>0</v>
      </c>
    </row>
    <row r="531">
      <c r="A531" t="inlineStr">
        <is>
          <t>3 - CONCEJO</t>
        </is>
      </c>
      <c r="B531" t="inlineStr">
        <is>
          <t>00 - SIN SECTOR</t>
        </is>
      </c>
      <c r="C531" t="inlineStr">
        <is>
          <t>00</t>
        </is>
      </c>
      <c r="D531" t="inlineStr">
        <is>
          <t>0000</t>
        </is>
      </c>
      <c r="E531" t="inlineStr">
        <is>
          <t>000000</t>
        </is>
      </c>
      <c r="F531" t="inlineStr">
        <is>
          <t>SIN PRODUCTO</t>
        </is>
      </c>
      <c r="G531" t="inlineStr">
        <is>
          <t>00</t>
        </is>
      </c>
      <c r="H531" t="inlineStr">
        <is>
          <t>00</t>
        </is>
      </c>
      <c r="I531" t="inlineStr">
        <is>
          <t>00</t>
        </is>
      </c>
      <c r="J531" t="inlineStr">
        <is>
          <t>SIN PRODUCTO DANE</t>
        </is>
      </c>
      <c r="K531" t="inlineStr">
        <is>
          <t>00</t>
        </is>
      </c>
      <c r="L531" t="inlineStr">
        <is>
          <t>SIN ATRIBUTO</t>
        </is>
      </c>
      <c r="N531" t="inlineStr">
        <is>
          <t>2.1.1.01.02</t>
        </is>
      </c>
      <c r="O531" t="inlineStr">
        <is>
          <t>Contribuciones inherentes a la nomina</t>
        </is>
      </c>
      <c r="P531" t="inlineStr">
        <is>
          <t>00</t>
        </is>
      </c>
      <c r="Q531" t="inlineStr">
        <is>
          <t>RECURSOS</t>
        </is>
      </c>
      <c r="R531" t="n">
        <v>9811494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9811494</v>
      </c>
      <c r="Z531" t="n">
        <v>3279033</v>
      </c>
      <c r="AA531" t="n">
        <v>3279033</v>
      </c>
      <c r="AB531" t="n">
        <v>3279033</v>
      </c>
      <c r="AC531" t="n">
        <v>3279033</v>
      </c>
      <c r="AD531" t="n">
        <v>6532461</v>
      </c>
      <c r="AE531" t="n">
        <v>33.42</v>
      </c>
    </row>
    <row r="532">
      <c r="A532" t="inlineStr">
        <is>
          <t>3 - CONCEJO</t>
        </is>
      </c>
      <c r="B532" t="inlineStr">
        <is>
          <t>00 - SIN SECTOR</t>
        </is>
      </c>
      <c r="C532" t="inlineStr">
        <is>
          <t>00</t>
        </is>
      </c>
      <c r="D532" t="inlineStr">
        <is>
          <t>0000</t>
        </is>
      </c>
      <c r="E532" t="inlineStr">
        <is>
          <t>000000</t>
        </is>
      </c>
      <c r="F532" t="inlineStr">
        <is>
          <t>SIN PRODUCTO</t>
        </is>
      </c>
      <c r="G532" t="inlineStr">
        <is>
          <t>00</t>
        </is>
      </c>
      <c r="H532" t="inlineStr">
        <is>
          <t>00</t>
        </is>
      </c>
      <c r="I532" t="inlineStr">
        <is>
          <t>00</t>
        </is>
      </c>
      <c r="J532" t="inlineStr">
        <is>
          <t>SIN PRODUCTO DANE</t>
        </is>
      </c>
      <c r="K532" t="inlineStr">
        <is>
          <t>00</t>
        </is>
      </c>
      <c r="L532" t="inlineStr">
        <is>
          <t>SIN ATRIBUTO</t>
        </is>
      </c>
      <c r="N532" t="inlineStr">
        <is>
          <t>2.1.1.01.02.001</t>
        </is>
      </c>
      <c r="O532" t="inlineStr">
        <is>
          <t>Aportes a la seguridad social en pensiones</t>
        </is>
      </c>
      <c r="P532" t="inlineStr">
        <is>
          <t>360</t>
        </is>
      </c>
      <c r="Q532" t="inlineStr">
        <is>
          <t>SGP PROPOSITO GENERAL 42 POR CIENTO RECURSOS LIBRE DESTINACION SGP PROPOSITO GENERAL MPIOS DE CATEGORIA 4 5 Y 6 SGP ONCE</t>
        </is>
      </c>
      <c r="R532" t="n">
        <v>2758729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2758729</v>
      </c>
      <c r="Z532" t="n">
        <v>1059600</v>
      </c>
      <c r="AA532" t="n">
        <v>1059600</v>
      </c>
      <c r="AB532" t="n">
        <v>1059600</v>
      </c>
      <c r="AC532" t="n">
        <v>1059600</v>
      </c>
      <c r="AD532" t="n">
        <v>1699129</v>
      </c>
      <c r="AE532" t="n">
        <v>38.41</v>
      </c>
    </row>
    <row r="533">
      <c r="A533" t="inlineStr">
        <is>
          <t>3 - CONCEJO</t>
        </is>
      </c>
      <c r="B533" t="inlineStr">
        <is>
          <t>00 - SIN SECTOR</t>
        </is>
      </c>
      <c r="C533" t="inlineStr">
        <is>
          <t>00</t>
        </is>
      </c>
      <c r="D533" t="inlineStr">
        <is>
          <t>0000</t>
        </is>
      </c>
      <c r="E533" t="inlineStr">
        <is>
          <t>000000</t>
        </is>
      </c>
      <c r="F533" t="inlineStr">
        <is>
          <t>SIN PRODUCTO</t>
        </is>
      </c>
      <c r="G533" t="inlineStr">
        <is>
          <t>00</t>
        </is>
      </c>
      <c r="H533" t="inlineStr">
        <is>
          <t>00</t>
        </is>
      </c>
      <c r="I533" t="inlineStr">
        <is>
          <t>00</t>
        </is>
      </c>
      <c r="J533" t="inlineStr">
        <is>
          <t>SIN PRODUCTO DANE</t>
        </is>
      </c>
      <c r="K533" t="inlineStr">
        <is>
          <t>00</t>
        </is>
      </c>
      <c r="L533" t="inlineStr">
        <is>
          <t>SIN ATRIBUTO</t>
        </is>
      </c>
      <c r="N533" t="inlineStr">
        <is>
          <t>2.1.1.01.02.002</t>
        </is>
      </c>
      <c r="O533" t="inlineStr">
        <is>
          <t>Aportes a la seguridad social en salud</t>
        </is>
      </c>
      <c r="P533" t="inlineStr">
        <is>
          <t>360</t>
        </is>
      </c>
      <c r="Q533" t="inlineStr">
        <is>
          <t>SGP PROPOSITO GENERAL 42 POR CIENTO RECURSOS LIBRE DESTINACION SGP PROPOSITO GENERAL MPIOS DE CATEGORIA 4 5 Y 6 SGP ONCE</t>
        </is>
      </c>
      <c r="R533" t="n">
        <v>1954100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1954100</v>
      </c>
      <c r="Z533" t="n">
        <v>750500</v>
      </c>
      <c r="AA533" t="n">
        <v>750500</v>
      </c>
      <c r="AB533" t="n">
        <v>750500</v>
      </c>
      <c r="AC533" t="n">
        <v>750500</v>
      </c>
      <c r="AD533" t="n">
        <v>1203600</v>
      </c>
      <c r="AE533" t="n">
        <v>38.41</v>
      </c>
    </row>
    <row r="534">
      <c r="A534" t="inlineStr">
        <is>
          <t>3 - CONCEJO</t>
        </is>
      </c>
      <c r="B534" t="inlineStr">
        <is>
          <t>00 - SIN SECTOR</t>
        </is>
      </c>
      <c r="C534" t="inlineStr">
        <is>
          <t>00</t>
        </is>
      </c>
      <c r="D534" t="inlineStr">
        <is>
          <t>0000</t>
        </is>
      </c>
      <c r="E534" t="inlineStr">
        <is>
          <t>000000</t>
        </is>
      </c>
      <c r="F534" t="inlineStr">
        <is>
          <t>SIN PRODUCTO</t>
        </is>
      </c>
      <c r="G534" t="inlineStr">
        <is>
          <t>00</t>
        </is>
      </c>
      <c r="H534" t="inlineStr">
        <is>
          <t>00</t>
        </is>
      </c>
      <c r="I534" t="inlineStr">
        <is>
          <t>00</t>
        </is>
      </c>
      <c r="J534" t="inlineStr">
        <is>
          <t>SIN PRODUCTO DANE</t>
        </is>
      </c>
      <c r="K534" t="inlineStr">
        <is>
          <t>00</t>
        </is>
      </c>
      <c r="L534" t="inlineStr">
        <is>
          <t>SIN ATRIBUTO</t>
        </is>
      </c>
      <c r="N534" t="inlineStr">
        <is>
          <t>2.1.1.01.02.003</t>
        </is>
      </c>
      <c r="O534" t="inlineStr">
        <is>
          <t xml:space="preserve">Aportes de cesantias </t>
        </is>
      </c>
      <c r="P534" t="inlineStr">
        <is>
          <t>00</t>
        </is>
      </c>
      <c r="Q534" t="inlineStr">
        <is>
          <t>RECURSOS</t>
        </is>
      </c>
      <c r="R534" t="n">
        <v>2522227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2522227</v>
      </c>
      <c r="Z534" t="n">
        <v>505433</v>
      </c>
      <c r="AA534" t="n">
        <v>505433</v>
      </c>
      <c r="AB534" t="n">
        <v>505433</v>
      </c>
      <c r="AC534" t="n">
        <v>505433</v>
      </c>
      <c r="AD534" t="n">
        <v>2016794</v>
      </c>
      <c r="AE534" t="n">
        <v>20.04</v>
      </c>
    </row>
    <row r="535">
      <c r="A535" t="inlineStr">
        <is>
          <t>3 - CONCEJO</t>
        </is>
      </c>
      <c r="B535" t="inlineStr">
        <is>
          <t>00 - SIN SECTOR</t>
        </is>
      </c>
      <c r="C535" t="inlineStr">
        <is>
          <t>00</t>
        </is>
      </c>
      <c r="D535" t="inlineStr">
        <is>
          <t>0000</t>
        </is>
      </c>
      <c r="E535" t="inlineStr">
        <is>
          <t>000000</t>
        </is>
      </c>
      <c r="F535" t="inlineStr">
        <is>
          <t>SIN PRODUCTO</t>
        </is>
      </c>
      <c r="G535" t="inlineStr">
        <is>
          <t>00</t>
        </is>
      </c>
      <c r="H535" t="inlineStr">
        <is>
          <t>00</t>
        </is>
      </c>
      <c r="I535" t="inlineStr">
        <is>
          <t>00</t>
        </is>
      </c>
      <c r="J535" t="inlineStr">
        <is>
          <t>SIN PRODUCTO DANE</t>
        </is>
      </c>
      <c r="K535" t="inlineStr">
        <is>
          <t>00</t>
        </is>
      </c>
      <c r="L535" t="inlineStr">
        <is>
          <t>SIN ATRIBUTO</t>
        </is>
      </c>
      <c r="N535" t="inlineStr">
        <is>
          <t>2.1.1.01.02.003.01</t>
        </is>
      </c>
      <c r="O535" t="inlineStr">
        <is>
          <t xml:space="preserve">Aportes de cesantias </t>
        </is>
      </c>
      <c r="P535" t="inlineStr">
        <is>
          <t>360</t>
        </is>
      </c>
      <c r="Q535" t="inlineStr">
        <is>
          <t>SGP PROPOSITO GENERAL 42 POR CIENTO RECURSOS LIBRE DESTINACION SGP PROPOSITO GENERAL MPIOS DE CATEGORIA 4 5 Y 6 SGP ONCE</t>
        </is>
      </c>
      <c r="R535" t="n">
        <v>2251988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2251988</v>
      </c>
      <c r="Z535" t="n">
        <v>490712</v>
      </c>
      <c r="AA535" t="n">
        <v>490712</v>
      </c>
      <c r="AB535" t="n">
        <v>490712</v>
      </c>
      <c r="AC535" t="n">
        <v>490712</v>
      </c>
      <c r="AD535" t="n">
        <v>1761276</v>
      </c>
      <c r="AE535" t="n">
        <v>21.79</v>
      </c>
    </row>
    <row r="536">
      <c r="A536" t="inlineStr">
        <is>
          <t>3 - CONCEJO</t>
        </is>
      </c>
      <c r="B536" t="inlineStr">
        <is>
          <t>00 - SIN SECTOR</t>
        </is>
      </c>
      <c r="C536" t="inlineStr">
        <is>
          <t>00</t>
        </is>
      </c>
      <c r="D536" t="inlineStr">
        <is>
          <t>0000</t>
        </is>
      </c>
      <c r="E536" t="inlineStr">
        <is>
          <t>000000</t>
        </is>
      </c>
      <c r="F536" t="inlineStr">
        <is>
          <t>SIN PRODUCTO</t>
        </is>
      </c>
      <c r="G536" t="inlineStr">
        <is>
          <t>00</t>
        </is>
      </c>
      <c r="H536" t="inlineStr">
        <is>
          <t>00</t>
        </is>
      </c>
      <c r="I536" t="inlineStr">
        <is>
          <t>00</t>
        </is>
      </c>
      <c r="J536" t="inlineStr">
        <is>
          <t>SIN PRODUCTO DANE</t>
        </is>
      </c>
      <c r="K536" t="inlineStr">
        <is>
          <t>00</t>
        </is>
      </c>
      <c r="L536" t="inlineStr">
        <is>
          <t>SIN ATRIBUTO</t>
        </is>
      </c>
      <c r="N536" t="inlineStr">
        <is>
          <t>2.1.1.01.02.003.02</t>
        </is>
      </c>
      <c r="O536" t="inlineStr">
        <is>
          <t>Aportes de cesantias - Intereses</t>
        </is>
      </c>
      <c r="P536" t="inlineStr">
        <is>
          <t>360</t>
        </is>
      </c>
      <c r="Q536" t="inlineStr">
        <is>
          <t>SGP PROPOSITO GENERAL 42 POR CIENTO RECURSOS LIBRE DESTINACION SGP PROPOSITO GENERAL MPIOS DE CATEGORIA 4 5 Y 6 SGP ONCE</t>
        </is>
      </c>
      <c r="R536" t="n">
        <v>270239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270239</v>
      </c>
      <c r="Z536" t="n">
        <v>14721</v>
      </c>
      <c r="AA536" t="n">
        <v>14721</v>
      </c>
      <c r="AB536" t="n">
        <v>14721</v>
      </c>
      <c r="AC536" t="n">
        <v>14721</v>
      </c>
      <c r="AD536" t="n">
        <v>255518</v>
      </c>
      <c r="AE536" t="n">
        <v>5.45</v>
      </c>
    </row>
    <row r="537">
      <c r="A537" t="inlineStr">
        <is>
          <t>3 - CONCEJO</t>
        </is>
      </c>
      <c r="B537" t="inlineStr">
        <is>
          <t>00 - SIN SECTOR</t>
        </is>
      </c>
      <c r="C537" t="inlineStr">
        <is>
          <t>00</t>
        </is>
      </c>
      <c r="D537" t="inlineStr">
        <is>
          <t>0000</t>
        </is>
      </c>
      <c r="E537" t="inlineStr">
        <is>
          <t>000000</t>
        </is>
      </c>
      <c r="F537" t="inlineStr">
        <is>
          <t>SIN PRODUCTO</t>
        </is>
      </c>
      <c r="G537" t="inlineStr">
        <is>
          <t>00</t>
        </is>
      </c>
      <c r="H537" t="inlineStr">
        <is>
          <t>00</t>
        </is>
      </c>
      <c r="I537" t="inlineStr">
        <is>
          <t>00</t>
        </is>
      </c>
      <c r="J537" t="inlineStr">
        <is>
          <t>SIN PRODUCTO DANE</t>
        </is>
      </c>
      <c r="K537" t="inlineStr">
        <is>
          <t>00</t>
        </is>
      </c>
      <c r="L537" t="inlineStr">
        <is>
          <t>SIN ATRIBUTO</t>
        </is>
      </c>
      <c r="N537" t="inlineStr">
        <is>
          <t>2.1.1.01.02.004</t>
        </is>
      </c>
      <c r="O537" t="inlineStr">
        <is>
          <t>Aportes a cajas de compensacion familiar</t>
        </is>
      </c>
      <c r="P537" t="inlineStr">
        <is>
          <t>360</t>
        </is>
      </c>
      <c r="Q537" t="inlineStr">
        <is>
          <t>SGP PROPOSITO GENERAL 42 POR CIENTO RECURSOS LIBRE DESTINACION SGP PROPOSITO GENERAL MPIOS DE CATEGORIA 4 5 Y 6 SGP ONCE</t>
        </is>
      </c>
      <c r="R537" t="n">
        <v>1088682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1088682</v>
      </c>
      <c r="Z537" t="n">
        <v>407400</v>
      </c>
      <c r="AA537" t="n">
        <v>407400</v>
      </c>
      <c r="AB537" t="n">
        <v>407400</v>
      </c>
      <c r="AC537" t="n">
        <v>407400</v>
      </c>
      <c r="AD537" t="n">
        <v>681282</v>
      </c>
      <c r="AE537" t="n">
        <v>37.42</v>
      </c>
    </row>
    <row r="538">
      <c r="A538" t="inlineStr">
        <is>
          <t>3 - CONCEJO</t>
        </is>
      </c>
      <c r="B538" t="inlineStr">
        <is>
          <t>00 - SIN SECTOR</t>
        </is>
      </c>
      <c r="C538" t="inlineStr">
        <is>
          <t>00</t>
        </is>
      </c>
      <c r="D538" t="inlineStr">
        <is>
          <t>0000</t>
        </is>
      </c>
      <c r="E538" t="inlineStr">
        <is>
          <t>000000</t>
        </is>
      </c>
      <c r="F538" t="inlineStr">
        <is>
          <t>SIN PRODUCTO</t>
        </is>
      </c>
      <c r="G538" t="inlineStr">
        <is>
          <t>00</t>
        </is>
      </c>
      <c r="H538" t="inlineStr">
        <is>
          <t>00</t>
        </is>
      </c>
      <c r="I538" t="inlineStr">
        <is>
          <t>00</t>
        </is>
      </c>
      <c r="J538" t="inlineStr">
        <is>
          <t>SIN PRODUCTO DANE</t>
        </is>
      </c>
      <c r="K538" t="inlineStr">
        <is>
          <t>00</t>
        </is>
      </c>
      <c r="L538" t="inlineStr">
        <is>
          <t>SIN ATRIBUTO</t>
        </is>
      </c>
      <c r="N538" t="inlineStr">
        <is>
          <t>2.1.1.01.02.005</t>
        </is>
      </c>
      <c r="O538" t="inlineStr">
        <is>
          <t>Aportes generales al sistema de riesgos laborales</t>
        </is>
      </c>
      <c r="P538" t="inlineStr">
        <is>
          <t>360</t>
        </is>
      </c>
      <c r="Q538" t="inlineStr">
        <is>
          <t>SGP PROPOSITO GENERAL 42 POR CIENTO RECURSOS LIBRE DESTINACION SGP PROPOSITO GENERAL MPIOS DE CATEGORIA 4 5 Y 6 SGP ONCE</t>
        </is>
      </c>
      <c r="R538" t="n">
        <v>126902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126902</v>
      </c>
      <c r="Z538" t="n">
        <v>46400</v>
      </c>
      <c r="AA538" t="n">
        <v>46400</v>
      </c>
      <c r="AB538" t="n">
        <v>46400</v>
      </c>
      <c r="AC538" t="n">
        <v>46400</v>
      </c>
      <c r="AD538" t="n">
        <v>80502</v>
      </c>
      <c r="AE538" t="n">
        <v>36.56</v>
      </c>
    </row>
    <row r="539">
      <c r="A539" t="inlineStr">
        <is>
          <t>3 - CONCEJO</t>
        </is>
      </c>
      <c r="B539" t="inlineStr">
        <is>
          <t>00 - SIN SECTOR</t>
        </is>
      </c>
      <c r="C539" t="inlineStr">
        <is>
          <t>00</t>
        </is>
      </c>
      <c r="D539" t="inlineStr">
        <is>
          <t>0000</t>
        </is>
      </c>
      <c r="E539" t="inlineStr">
        <is>
          <t>000000</t>
        </is>
      </c>
      <c r="F539" t="inlineStr">
        <is>
          <t>SIN PRODUCTO</t>
        </is>
      </c>
      <c r="G539" t="inlineStr">
        <is>
          <t>00</t>
        </is>
      </c>
      <c r="H539" t="inlineStr">
        <is>
          <t>00</t>
        </is>
      </c>
      <c r="I539" t="inlineStr">
        <is>
          <t>00</t>
        </is>
      </c>
      <c r="J539" t="inlineStr">
        <is>
          <t>SIN PRODUCTO DANE</t>
        </is>
      </c>
      <c r="K539" t="inlineStr">
        <is>
          <t>00</t>
        </is>
      </c>
      <c r="L539" t="inlineStr">
        <is>
          <t>SIN ATRIBUTO</t>
        </is>
      </c>
      <c r="N539" t="inlineStr">
        <is>
          <t>2.1.1.01.02.006</t>
        </is>
      </c>
      <c r="O539" t="inlineStr">
        <is>
          <t>Aportes al icbf</t>
        </is>
      </c>
      <c r="P539" t="inlineStr">
        <is>
          <t>360</t>
        </is>
      </c>
      <c r="Q539" t="inlineStr">
        <is>
          <t>SGP PROPOSITO GENERAL 42 POR CIENTO RECURSOS LIBRE DESTINACION SGP PROPOSITO GENERAL MPIOS DE CATEGORIA 4 5 Y 6 SGP ONCE</t>
        </is>
      </c>
      <c r="R539" t="n">
        <v>816511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816511</v>
      </c>
      <c r="Z539" t="n">
        <v>305600</v>
      </c>
      <c r="AA539" t="n">
        <v>305600</v>
      </c>
      <c r="AB539" t="n">
        <v>305600</v>
      </c>
      <c r="AC539" t="n">
        <v>305600</v>
      </c>
      <c r="AD539" t="n">
        <v>510911</v>
      </c>
      <c r="AE539" t="n">
        <v>37.43</v>
      </c>
    </row>
    <row r="540">
      <c r="A540" t="inlineStr">
        <is>
          <t>3 - CONCEJO</t>
        </is>
      </c>
      <c r="B540" t="inlineStr">
        <is>
          <t>00 - SIN SECTOR</t>
        </is>
      </c>
      <c r="C540" t="inlineStr">
        <is>
          <t>00</t>
        </is>
      </c>
      <c r="D540" t="inlineStr">
        <is>
          <t>0000</t>
        </is>
      </c>
      <c r="E540" t="inlineStr">
        <is>
          <t>000000</t>
        </is>
      </c>
      <c r="F540" t="inlineStr">
        <is>
          <t>SIN PRODUCTO</t>
        </is>
      </c>
      <c r="G540" t="inlineStr">
        <is>
          <t>00</t>
        </is>
      </c>
      <c r="H540" t="inlineStr">
        <is>
          <t>00</t>
        </is>
      </c>
      <c r="I540" t="inlineStr">
        <is>
          <t>00</t>
        </is>
      </c>
      <c r="J540" t="inlineStr">
        <is>
          <t>SIN PRODUCTO DANE</t>
        </is>
      </c>
      <c r="K540" t="inlineStr">
        <is>
          <t>00</t>
        </is>
      </c>
      <c r="L540" t="inlineStr">
        <is>
          <t>SIN ATRIBUTO</t>
        </is>
      </c>
      <c r="N540" t="inlineStr">
        <is>
          <t>2.1.1.01.02.007</t>
        </is>
      </c>
      <c r="O540" t="inlineStr">
        <is>
          <t>Aportes al sena</t>
        </is>
      </c>
      <c r="P540" t="inlineStr">
        <is>
          <t>360</t>
        </is>
      </c>
      <c r="Q540" t="inlineStr">
        <is>
          <t>SGP PROPOSITO GENERAL 42 POR CIENTO RECURSOS LIBRE DESTINACION SGP PROPOSITO GENERAL MPIOS DE CATEGORIA 4 5 Y 6 SGP ONCE</t>
        </is>
      </c>
      <c r="R540" t="n">
        <v>136086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136086</v>
      </c>
      <c r="Z540" t="n">
        <v>51100</v>
      </c>
      <c r="AA540" t="n">
        <v>51100</v>
      </c>
      <c r="AB540" t="n">
        <v>51100</v>
      </c>
      <c r="AC540" t="n">
        <v>51100</v>
      </c>
      <c r="AD540" t="n">
        <v>84986</v>
      </c>
      <c r="AE540" t="n">
        <v>37.55</v>
      </c>
    </row>
    <row r="541">
      <c r="A541" t="inlineStr">
        <is>
          <t>3 - CONCEJO</t>
        </is>
      </c>
      <c r="B541" t="inlineStr">
        <is>
          <t>00 - SIN SECTOR</t>
        </is>
      </c>
      <c r="C541" t="inlineStr">
        <is>
          <t>00</t>
        </is>
      </c>
      <c r="D541" t="inlineStr">
        <is>
          <t>0000</t>
        </is>
      </c>
      <c r="E541" t="inlineStr">
        <is>
          <t>000000</t>
        </is>
      </c>
      <c r="F541" t="inlineStr">
        <is>
          <t>SIN PRODUCTO</t>
        </is>
      </c>
      <c r="G541" t="inlineStr">
        <is>
          <t>00</t>
        </is>
      </c>
      <c r="H541" t="inlineStr">
        <is>
          <t>00</t>
        </is>
      </c>
      <c r="I541" t="inlineStr">
        <is>
          <t>00</t>
        </is>
      </c>
      <c r="J541" t="inlineStr">
        <is>
          <t>SIN PRODUCTO DANE</t>
        </is>
      </c>
      <c r="K541" t="inlineStr">
        <is>
          <t>00</t>
        </is>
      </c>
      <c r="L541" t="inlineStr">
        <is>
          <t>SIN ATRIBUTO</t>
        </is>
      </c>
      <c r="N541" t="inlineStr">
        <is>
          <t>2.1.1.01.02.008</t>
        </is>
      </c>
      <c r="O541" t="inlineStr">
        <is>
          <t>Aportes a la esap</t>
        </is>
      </c>
      <c r="P541" t="inlineStr">
        <is>
          <t>360</t>
        </is>
      </c>
      <c r="Q541" t="inlineStr">
        <is>
          <t>SGP PROPOSITO GENERAL 42 POR CIENTO RECURSOS LIBRE DESTINACION SGP PROPOSITO GENERAL MPIOS DE CATEGORIA 4 5 Y 6 SGP ONCE</t>
        </is>
      </c>
      <c r="R541" t="n">
        <v>136086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136086</v>
      </c>
      <c r="Z541" t="n">
        <v>51100</v>
      </c>
      <c r="AA541" t="n">
        <v>51100</v>
      </c>
      <c r="AB541" t="n">
        <v>51100</v>
      </c>
      <c r="AC541" t="n">
        <v>51100</v>
      </c>
      <c r="AD541" t="n">
        <v>84986</v>
      </c>
      <c r="AE541" t="n">
        <v>37.55</v>
      </c>
    </row>
    <row r="542">
      <c r="A542" t="inlineStr">
        <is>
          <t>3 - CONCEJO</t>
        </is>
      </c>
      <c r="B542" t="inlineStr">
        <is>
          <t>00 - SIN SECTOR</t>
        </is>
      </c>
      <c r="C542" t="inlineStr">
        <is>
          <t>00</t>
        </is>
      </c>
      <c r="D542" t="inlineStr">
        <is>
          <t>0000</t>
        </is>
      </c>
      <c r="E542" t="inlineStr">
        <is>
          <t>000000</t>
        </is>
      </c>
      <c r="F542" t="inlineStr">
        <is>
          <t>SIN PRODUCTO</t>
        </is>
      </c>
      <c r="G542" t="inlineStr">
        <is>
          <t>00</t>
        </is>
      </c>
      <c r="H542" t="inlineStr">
        <is>
          <t>00</t>
        </is>
      </c>
      <c r="I542" t="inlineStr">
        <is>
          <t>00</t>
        </is>
      </c>
      <c r="J542" t="inlineStr">
        <is>
          <t>SIN PRODUCTO DANE</t>
        </is>
      </c>
      <c r="K542" t="inlineStr">
        <is>
          <t>00</t>
        </is>
      </c>
      <c r="L542" t="inlineStr">
        <is>
          <t>SIN ATRIBUTO</t>
        </is>
      </c>
      <c r="N542" t="inlineStr">
        <is>
          <t>2.1.1.01.02.009</t>
        </is>
      </c>
      <c r="O542" t="inlineStr">
        <is>
          <t>Aportes a escuelas industriales e institutos tecnicos</t>
        </is>
      </c>
      <c r="P542" t="inlineStr">
        <is>
          <t>360</t>
        </is>
      </c>
      <c r="Q542" t="inlineStr">
        <is>
          <t>SGP PROPOSITO GENERAL 42 POR CIENTO RECURSOS LIBRE DESTINACION SGP PROPOSITO GENERAL MPIOS DE CATEGORIA 4 5 Y 6 SGP ONCE</t>
        </is>
      </c>
      <c r="R542" t="n">
        <v>272171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272171</v>
      </c>
      <c r="Z542" t="n">
        <v>101900</v>
      </c>
      <c r="AA542" t="n">
        <v>101900</v>
      </c>
      <c r="AB542" t="n">
        <v>101900</v>
      </c>
      <c r="AC542" t="n">
        <v>101900</v>
      </c>
      <c r="AD542" t="n">
        <v>170271</v>
      </c>
      <c r="AE542" t="n">
        <v>37.44</v>
      </c>
    </row>
    <row r="543">
      <c r="A543" t="inlineStr">
        <is>
          <t>3 - CONCEJO</t>
        </is>
      </c>
      <c r="B543" t="inlineStr">
        <is>
          <t>00 - SIN SECTOR</t>
        </is>
      </c>
      <c r="C543" t="inlineStr">
        <is>
          <t>00</t>
        </is>
      </c>
      <c r="D543" t="inlineStr">
        <is>
          <t>0000</t>
        </is>
      </c>
      <c r="E543" t="inlineStr">
        <is>
          <t>000000</t>
        </is>
      </c>
      <c r="F543" t="inlineStr">
        <is>
          <t>SIN PRODUCTO</t>
        </is>
      </c>
      <c r="G543" t="inlineStr">
        <is>
          <t>00</t>
        </is>
      </c>
      <c r="H543" t="inlineStr">
        <is>
          <t>00</t>
        </is>
      </c>
      <c r="I543" t="inlineStr">
        <is>
          <t>00</t>
        </is>
      </c>
      <c r="J543" t="inlineStr">
        <is>
          <t>SIN PRODUCTO DANE</t>
        </is>
      </c>
      <c r="K543" t="inlineStr">
        <is>
          <t>00</t>
        </is>
      </c>
      <c r="L543" t="inlineStr">
        <is>
          <t>SIN ATRIBUTO</t>
        </is>
      </c>
      <c r="N543" t="inlineStr">
        <is>
          <t>2.1.1.01.03</t>
        </is>
      </c>
      <c r="O543" t="inlineStr">
        <is>
          <t>Remuneraciones no constitutivas de factor salarial</t>
        </is>
      </c>
      <c r="P543" t="inlineStr">
        <is>
          <t>00</t>
        </is>
      </c>
      <c r="Q543" t="inlineStr">
        <is>
          <t>RECURSOS</t>
        </is>
      </c>
      <c r="R543" t="n">
        <v>353599881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353599881</v>
      </c>
      <c r="Z543" t="n">
        <v>139850596</v>
      </c>
      <c r="AA543" t="n">
        <v>139850596</v>
      </c>
      <c r="AB543" t="n">
        <v>139850596</v>
      </c>
      <c r="AC543" t="n">
        <v>139850596</v>
      </c>
      <c r="AD543" t="n">
        <v>213749285</v>
      </c>
      <c r="AE543" t="n">
        <v>39.55</v>
      </c>
    </row>
    <row r="544">
      <c r="A544" t="inlineStr">
        <is>
          <t>3 - CONCEJO</t>
        </is>
      </c>
      <c r="B544" t="inlineStr">
        <is>
          <t>00 - SIN SECTOR</t>
        </is>
      </c>
      <c r="C544" t="inlineStr">
        <is>
          <t>00</t>
        </is>
      </c>
      <c r="D544" t="inlineStr">
        <is>
          <t>0000</t>
        </is>
      </c>
      <c r="E544" t="inlineStr">
        <is>
          <t>000000</t>
        </is>
      </c>
      <c r="F544" t="inlineStr">
        <is>
          <t>SIN PRODUCTO</t>
        </is>
      </c>
      <c r="G544" t="inlineStr">
        <is>
          <t>00</t>
        </is>
      </c>
      <c r="H544" t="inlineStr">
        <is>
          <t>00</t>
        </is>
      </c>
      <c r="I544" t="inlineStr">
        <is>
          <t>00</t>
        </is>
      </c>
      <c r="J544" t="inlineStr">
        <is>
          <t>SIN PRODUCTO DANE</t>
        </is>
      </c>
      <c r="K544" t="inlineStr">
        <is>
          <t>00</t>
        </is>
      </c>
      <c r="L544" t="inlineStr">
        <is>
          <t>SIN ATRIBUTO</t>
        </is>
      </c>
      <c r="N544" t="inlineStr">
        <is>
          <t>2.1.1.01.03.001</t>
        </is>
      </c>
      <c r="O544" t="inlineStr">
        <is>
          <t>Prestaciones sociales</t>
        </is>
      </c>
      <c r="P544" t="inlineStr">
        <is>
          <t>00</t>
        </is>
      </c>
      <c r="Q544" t="inlineStr">
        <is>
          <t>RECURSOS</t>
        </is>
      </c>
      <c r="R544" t="n">
        <v>1579281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1579281</v>
      </c>
      <c r="Z544" t="n">
        <v>0</v>
      </c>
      <c r="AA544" t="n">
        <v>0</v>
      </c>
      <c r="AB544" t="n">
        <v>0</v>
      </c>
      <c r="AC544" t="n">
        <v>0</v>
      </c>
      <c r="AD544" t="n">
        <v>1579281</v>
      </c>
      <c r="AE544" t="n">
        <v>0</v>
      </c>
    </row>
    <row r="545">
      <c r="A545" t="inlineStr">
        <is>
          <t>3 - CONCEJO</t>
        </is>
      </c>
      <c r="B545" t="inlineStr">
        <is>
          <t>00 - SIN SECTOR</t>
        </is>
      </c>
      <c r="C545" t="inlineStr">
        <is>
          <t>00</t>
        </is>
      </c>
      <c r="D545" t="inlineStr">
        <is>
          <t>0000</t>
        </is>
      </c>
      <c r="E545" t="inlineStr">
        <is>
          <t>000000</t>
        </is>
      </c>
      <c r="F545" t="inlineStr">
        <is>
          <t>SIN PRODUCTO</t>
        </is>
      </c>
      <c r="G545" t="inlineStr">
        <is>
          <t>00</t>
        </is>
      </c>
      <c r="H545" t="inlineStr">
        <is>
          <t>00</t>
        </is>
      </c>
      <c r="I545" t="inlineStr">
        <is>
          <t>00</t>
        </is>
      </c>
      <c r="J545" t="inlineStr">
        <is>
          <t>SIN PRODUCTO DANE</t>
        </is>
      </c>
      <c r="K545" t="inlineStr">
        <is>
          <t>00</t>
        </is>
      </c>
      <c r="L545" t="inlineStr">
        <is>
          <t>SIN ATRIBUTO</t>
        </is>
      </c>
      <c r="N545" t="inlineStr">
        <is>
          <t>2.1.1.01.03.001.02</t>
        </is>
      </c>
      <c r="O545" t="inlineStr">
        <is>
          <t>Indemnizacion por vacaciones</t>
        </is>
      </c>
      <c r="P545" t="inlineStr">
        <is>
          <t>360</t>
        </is>
      </c>
      <c r="Q545" t="inlineStr">
        <is>
          <t>SGP PROPOSITO GENERAL 42 POR CIENTO RECURSOS LIBRE DESTINACION SGP PROPOSITO GENERAL MPIOS DE CATEGORIA 4 5 Y 6 SGP ONCE</t>
        </is>
      </c>
      <c r="R545" t="n">
        <v>1463446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1463446</v>
      </c>
      <c r="Z545" t="n">
        <v>0</v>
      </c>
      <c r="AA545" t="n">
        <v>0</v>
      </c>
      <c r="AB545" t="n">
        <v>0</v>
      </c>
      <c r="AC545" t="n">
        <v>0</v>
      </c>
      <c r="AD545" t="n">
        <v>1463446</v>
      </c>
      <c r="AE545" t="n">
        <v>0</v>
      </c>
    </row>
    <row r="546">
      <c r="A546" t="inlineStr">
        <is>
          <t>3 - CONCEJO</t>
        </is>
      </c>
      <c r="B546" t="inlineStr">
        <is>
          <t>00 - SIN SECTOR</t>
        </is>
      </c>
      <c r="C546" t="inlineStr">
        <is>
          <t>00</t>
        </is>
      </c>
      <c r="D546" t="inlineStr">
        <is>
          <t>0000</t>
        </is>
      </c>
      <c r="E546" t="inlineStr">
        <is>
          <t>000000</t>
        </is>
      </c>
      <c r="F546" t="inlineStr">
        <is>
          <t>SIN PRODUCTO</t>
        </is>
      </c>
      <c r="G546" t="inlineStr">
        <is>
          <t>00</t>
        </is>
      </c>
      <c r="H546" t="inlineStr">
        <is>
          <t>00</t>
        </is>
      </c>
      <c r="I546" t="inlineStr">
        <is>
          <t>00</t>
        </is>
      </c>
      <c r="J546" t="inlineStr">
        <is>
          <t>SIN PRODUCTO DANE</t>
        </is>
      </c>
      <c r="K546" t="inlineStr">
        <is>
          <t>00</t>
        </is>
      </c>
      <c r="L546" t="inlineStr">
        <is>
          <t>SIN ATRIBUTO</t>
        </is>
      </c>
      <c r="N546" t="inlineStr">
        <is>
          <t>2.1.1.01.03.001.03</t>
        </is>
      </c>
      <c r="O546" t="inlineStr">
        <is>
          <t>Bonificacion especial de recreacion</t>
        </is>
      </c>
      <c r="P546" t="inlineStr">
        <is>
          <t>360</t>
        </is>
      </c>
      <c r="Q546" t="inlineStr">
        <is>
          <t>SGP PROPOSITO GENERAL 42 POR CIENTO RECURSOS LIBRE DESTINACION SGP PROPOSITO GENERAL MPIOS DE CATEGORIA 4 5 Y 6 SGP ONCE</t>
        </is>
      </c>
      <c r="R546" t="n">
        <v>115835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115835</v>
      </c>
      <c r="Z546" t="n">
        <v>0</v>
      </c>
      <c r="AA546" t="n">
        <v>0</v>
      </c>
      <c r="AB546" t="n">
        <v>0</v>
      </c>
      <c r="AC546" t="n">
        <v>0</v>
      </c>
      <c r="AD546" t="n">
        <v>115835</v>
      </c>
      <c r="AE546" t="n">
        <v>0</v>
      </c>
    </row>
    <row r="547">
      <c r="A547" t="inlineStr">
        <is>
          <t>3 - CONCEJO</t>
        </is>
      </c>
      <c r="B547" t="inlineStr">
        <is>
          <t>00 - SIN SECTOR</t>
        </is>
      </c>
      <c r="C547" t="inlineStr">
        <is>
          <t>00</t>
        </is>
      </c>
      <c r="D547" t="inlineStr">
        <is>
          <t>0000</t>
        </is>
      </c>
      <c r="E547" t="inlineStr">
        <is>
          <t>000000</t>
        </is>
      </c>
      <c r="F547" t="inlineStr">
        <is>
          <t>SIN PRODUCTO</t>
        </is>
      </c>
      <c r="G547" t="inlineStr">
        <is>
          <t>00</t>
        </is>
      </c>
      <c r="H547" t="inlineStr">
        <is>
          <t>00</t>
        </is>
      </c>
      <c r="I547" t="inlineStr">
        <is>
          <t>00</t>
        </is>
      </c>
      <c r="J547" t="inlineStr">
        <is>
          <t>SIN PRODUCTO DANE</t>
        </is>
      </c>
      <c r="K547" t="inlineStr">
        <is>
          <t>00</t>
        </is>
      </c>
      <c r="L547" t="inlineStr">
        <is>
          <t>SIN ATRIBUTO</t>
        </is>
      </c>
      <c r="N547" t="inlineStr">
        <is>
          <t>2.1.1.01.03.006</t>
        </is>
      </c>
      <c r="O547" t="inlineStr">
        <is>
          <t>Honorarios concejales</t>
        </is>
      </c>
      <c r="P547" t="inlineStr">
        <is>
          <t>360</t>
        </is>
      </c>
      <c r="Q547" t="inlineStr">
        <is>
          <t>SGP PROPOSITO GENERAL 42 POR CIENTO RECURSOS LIBRE DESTINACION SGP PROPOSITO GENERAL MPIOS DE CATEGORIA 4 5 Y 6 SGP ONCE</t>
        </is>
      </c>
      <c r="R547" t="n">
        <v>352020600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352020600</v>
      </c>
      <c r="Z547" t="n">
        <v>139850596</v>
      </c>
      <c r="AA547" t="n">
        <v>139850596</v>
      </c>
      <c r="AB547" t="n">
        <v>139850596</v>
      </c>
      <c r="AC547" t="n">
        <v>139850596</v>
      </c>
      <c r="AD547" t="n">
        <v>212170004</v>
      </c>
      <c r="AE547" t="n">
        <v>39.73</v>
      </c>
    </row>
    <row r="548">
      <c r="A548" t="inlineStr">
        <is>
          <t>3 - CONCEJO</t>
        </is>
      </c>
      <c r="B548" t="inlineStr">
        <is>
          <t>00 - SIN SECTOR</t>
        </is>
      </c>
      <c r="C548" t="inlineStr">
        <is>
          <t>00</t>
        </is>
      </c>
      <c r="D548" t="inlineStr">
        <is>
          <t>0000</t>
        </is>
      </c>
      <c r="E548" t="inlineStr">
        <is>
          <t>000000</t>
        </is>
      </c>
      <c r="F548" t="inlineStr">
        <is>
          <t>SIN PRODUCTO</t>
        </is>
      </c>
      <c r="G548" t="inlineStr">
        <is>
          <t>00</t>
        </is>
      </c>
      <c r="H548" t="inlineStr">
        <is>
          <t>00</t>
        </is>
      </c>
      <c r="I548" t="inlineStr">
        <is>
          <t>00</t>
        </is>
      </c>
      <c r="J548" t="inlineStr">
        <is>
          <t>SIN PRODUCTO DANE</t>
        </is>
      </c>
      <c r="K548" t="inlineStr">
        <is>
          <t>00</t>
        </is>
      </c>
      <c r="L548" t="inlineStr">
        <is>
          <t>SIN ATRIBUTO</t>
        </is>
      </c>
      <c r="N548" t="inlineStr">
        <is>
          <t>2.1.2</t>
        </is>
      </c>
      <c r="O548" t="inlineStr">
        <is>
          <t>Adquisicion de bienes y servicios</t>
        </is>
      </c>
      <c r="P548" t="inlineStr">
        <is>
          <t>00</t>
        </is>
      </c>
      <c r="Q548" t="inlineStr">
        <is>
          <t>RECURSOS</t>
        </is>
      </c>
      <c r="R548" t="n">
        <v>18798821</v>
      </c>
      <c r="S548" t="n">
        <v>0</v>
      </c>
      <c r="T548" t="n">
        <v>0</v>
      </c>
      <c r="U548" t="n">
        <v>5686200</v>
      </c>
      <c r="V548" t="n">
        <v>7437105</v>
      </c>
      <c r="W548" t="n">
        <v>0</v>
      </c>
      <c r="X548" t="n">
        <v>0</v>
      </c>
      <c r="Y548" t="n">
        <v>17047916</v>
      </c>
      <c r="Z548" t="n">
        <v>5686200</v>
      </c>
      <c r="AA548" t="n">
        <v>5556173</v>
      </c>
      <c r="AB548" t="n">
        <v>5555200</v>
      </c>
      <c r="AC548" t="n">
        <v>5555200</v>
      </c>
      <c r="AD548" t="n">
        <v>11361716</v>
      </c>
      <c r="AE548" t="n">
        <v>33.35</v>
      </c>
    </row>
    <row r="549">
      <c r="A549" t="inlineStr">
        <is>
          <t>3 - CONCEJO</t>
        </is>
      </c>
      <c r="B549" t="inlineStr">
        <is>
          <t>00 - SIN SECTOR</t>
        </is>
      </c>
      <c r="C549" t="inlineStr">
        <is>
          <t>00</t>
        </is>
      </c>
      <c r="D549" t="inlineStr">
        <is>
          <t>0000</t>
        </is>
      </c>
      <c r="E549" t="inlineStr">
        <is>
          <t>000000</t>
        </is>
      </c>
      <c r="F549" t="inlineStr">
        <is>
          <t>SIN PRODUCTO</t>
        </is>
      </c>
      <c r="G549" t="inlineStr">
        <is>
          <t>00</t>
        </is>
      </c>
      <c r="H549" t="inlineStr">
        <is>
          <t>00</t>
        </is>
      </c>
      <c r="I549" t="inlineStr">
        <is>
          <t>00</t>
        </is>
      </c>
      <c r="J549" t="inlineStr">
        <is>
          <t>SIN PRODUCTO DANE</t>
        </is>
      </c>
      <c r="K549" t="inlineStr">
        <is>
          <t>00</t>
        </is>
      </c>
      <c r="L549" t="inlineStr">
        <is>
          <t>SIN ATRIBUTO</t>
        </is>
      </c>
      <c r="N549" t="inlineStr">
        <is>
          <t>2.1.2.01</t>
        </is>
      </c>
      <c r="O549" t="inlineStr">
        <is>
          <t>Adquisicion de activos no financieros</t>
        </is>
      </c>
      <c r="P549" t="inlineStr">
        <is>
          <t>00</t>
        </is>
      </c>
      <c r="Q549" t="inlineStr">
        <is>
          <t>RECURSOS</t>
        </is>
      </c>
      <c r="R549" t="n">
        <v>0</v>
      </c>
      <c r="S549" t="n">
        <v>0</v>
      </c>
      <c r="T549" t="n">
        <v>0</v>
      </c>
      <c r="U549" t="n">
        <v>4000000</v>
      </c>
      <c r="V549" t="n">
        <v>0</v>
      </c>
      <c r="W549" t="n">
        <v>0</v>
      </c>
      <c r="X549" t="n">
        <v>0</v>
      </c>
      <c r="Y549" t="n">
        <v>4000000</v>
      </c>
      <c r="Z549" t="n">
        <v>4000000</v>
      </c>
      <c r="AA549" t="n">
        <v>4000000</v>
      </c>
      <c r="AB549" t="n">
        <v>4000000</v>
      </c>
      <c r="AC549" t="n">
        <v>4000000</v>
      </c>
      <c r="AD549" t="n">
        <v>0</v>
      </c>
      <c r="AE549" t="n">
        <v>100</v>
      </c>
    </row>
    <row r="550">
      <c r="A550" t="inlineStr">
        <is>
          <t>3 - CONCEJO</t>
        </is>
      </c>
      <c r="B550" t="inlineStr">
        <is>
          <t>00 - SIN SECTOR</t>
        </is>
      </c>
      <c r="C550" t="inlineStr">
        <is>
          <t>00</t>
        </is>
      </c>
      <c r="D550" t="inlineStr">
        <is>
          <t>0000</t>
        </is>
      </c>
      <c r="E550" t="inlineStr">
        <is>
          <t>000000</t>
        </is>
      </c>
      <c r="F550" t="inlineStr">
        <is>
          <t>SIN PRODUCTO</t>
        </is>
      </c>
      <c r="G550" t="inlineStr">
        <is>
          <t>00</t>
        </is>
      </c>
      <c r="H550" t="inlineStr">
        <is>
          <t>00</t>
        </is>
      </c>
      <c r="I550" t="inlineStr">
        <is>
          <t>00</t>
        </is>
      </c>
      <c r="J550" t="inlineStr">
        <is>
          <t>SIN PRODUCTO DANE</t>
        </is>
      </c>
      <c r="K550" t="inlineStr">
        <is>
          <t>00</t>
        </is>
      </c>
      <c r="L550" t="inlineStr">
        <is>
          <t>SIN ATRIBUTO</t>
        </is>
      </c>
      <c r="N550" t="inlineStr">
        <is>
          <t>2.1.2.01.01</t>
        </is>
      </c>
      <c r="O550" t="inlineStr">
        <is>
          <t>Activos fijos</t>
        </is>
      </c>
      <c r="P550" t="inlineStr">
        <is>
          <t>00</t>
        </is>
      </c>
      <c r="Q550" t="inlineStr">
        <is>
          <t>RECURSOS</t>
        </is>
      </c>
      <c r="R550" t="n">
        <v>0</v>
      </c>
      <c r="S550" t="n">
        <v>0</v>
      </c>
      <c r="T550" t="n">
        <v>0</v>
      </c>
      <c r="U550" t="n">
        <v>4000000</v>
      </c>
      <c r="V550" t="n">
        <v>0</v>
      </c>
      <c r="W550" t="n">
        <v>0</v>
      </c>
      <c r="X550" t="n">
        <v>0</v>
      </c>
      <c r="Y550" t="n">
        <v>4000000</v>
      </c>
      <c r="Z550" t="n">
        <v>4000000</v>
      </c>
      <c r="AA550" t="n">
        <v>4000000</v>
      </c>
      <c r="AB550" t="n">
        <v>4000000</v>
      </c>
      <c r="AC550" t="n">
        <v>4000000</v>
      </c>
      <c r="AD550" t="n">
        <v>0</v>
      </c>
      <c r="AE550" t="n">
        <v>100</v>
      </c>
    </row>
    <row r="551">
      <c r="A551" t="inlineStr">
        <is>
          <t>3 - CONCEJO</t>
        </is>
      </c>
      <c r="B551" t="inlineStr">
        <is>
          <t>00 - SIN SECTOR</t>
        </is>
      </c>
      <c r="C551" t="inlineStr">
        <is>
          <t>00</t>
        </is>
      </c>
      <c r="D551" t="inlineStr">
        <is>
          <t>0000</t>
        </is>
      </c>
      <c r="E551" t="inlineStr">
        <is>
          <t>000000</t>
        </is>
      </c>
      <c r="F551" t="inlineStr">
        <is>
          <t>SIN PRODUCTO</t>
        </is>
      </c>
      <c r="G551" t="inlineStr">
        <is>
          <t>00</t>
        </is>
      </c>
      <c r="H551" t="inlineStr">
        <is>
          <t>00</t>
        </is>
      </c>
      <c r="I551" t="inlineStr">
        <is>
          <t>00</t>
        </is>
      </c>
      <c r="J551" t="inlineStr">
        <is>
          <t>SIN PRODUCTO DANE</t>
        </is>
      </c>
      <c r="K551" t="inlineStr">
        <is>
          <t>00</t>
        </is>
      </c>
      <c r="L551" t="inlineStr">
        <is>
          <t>SIN ATRIBUTO</t>
        </is>
      </c>
      <c r="N551" t="inlineStr">
        <is>
          <t>2.1.2.01.01.003</t>
        </is>
      </c>
      <c r="O551" t="inlineStr">
        <is>
          <t>Maquinaria y equipo</t>
        </is>
      </c>
      <c r="P551" t="inlineStr">
        <is>
          <t>00</t>
        </is>
      </c>
      <c r="Q551" t="inlineStr">
        <is>
          <t>RECURSOS</t>
        </is>
      </c>
      <c r="R551" t="n">
        <v>0</v>
      </c>
      <c r="S551" t="n">
        <v>0</v>
      </c>
      <c r="T551" t="n">
        <v>0</v>
      </c>
      <c r="U551" t="n">
        <v>4000000</v>
      </c>
      <c r="V551" t="n">
        <v>0</v>
      </c>
      <c r="W551" t="n">
        <v>0</v>
      </c>
      <c r="X551" t="n">
        <v>0</v>
      </c>
      <c r="Y551" t="n">
        <v>4000000</v>
      </c>
      <c r="Z551" t="n">
        <v>4000000</v>
      </c>
      <c r="AA551" t="n">
        <v>4000000</v>
      </c>
      <c r="AB551" t="n">
        <v>4000000</v>
      </c>
      <c r="AC551" t="n">
        <v>4000000</v>
      </c>
      <c r="AD551" t="n">
        <v>0</v>
      </c>
      <c r="AE551" t="n">
        <v>100</v>
      </c>
    </row>
    <row r="552">
      <c r="A552" t="inlineStr">
        <is>
          <t>3 - CONCEJO</t>
        </is>
      </c>
      <c r="B552" t="inlineStr">
        <is>
          <t>00 - SIN SECTOR</t>
        </is>
      </c>
      <c r="C552" t="inlineStr">
        <is>
          <t>00</t>
        </is>
      </c>
      <c r="D552" t="inlineStr">
        <is>
          <t>0000</t>
        </is>
      </c>
      <c r="E552" t="inlineStr">
        <is>
          <t>000000</t>
        </is>
      </c>
      <c r="F552" t="inlineStr">
        <is>
          <t>SIN PRODUCTO</t>
        </is>
      </c>
      <c r="G552" t="inlineStr">
        <is>
          <t>00</t>
        </is>
      </c>
      <c r="H552" t="inlineStr">
        <is>
          <t>00</t>
        </is>
      </c>
      <c r="I552" t="inlineStr">
        <is>
          <t>00</t>
        </is>
      </c>
      <c r="J552" t="inlineStr">
        <is>
          <t>SIN PRODUCTO DANE</t>
        </is>
      </c>
      <c r="K552" t="inlineStr">
        <is>
          <t>00</t>
        </is>
      </c>
      <c r="L552" t="inlineStr">
        <is>
          <t>SIN ATRIBUTO</t>
        </is>
      </c>
      <c r="N552" t="inlineStr">
        <is>
          <t>2.1.2.01.01.003.03</t>
        </is>
      </c>
      <c r="O552" t="inlineStr">
        <is>
          <t>Maquinaria de oficina, contabilidad e informatica</t>
        </is>
      </c>
      <c r="P552" t="inlineStr">
        <is>
          <t>00</t>
        </is>
      </c>
      <c r="Q552" t="inlineStr">
        <is>
          <t>RECURSOS</t>
        </is>
      </c>
      <c r="R552" t="n">
        <v>0</v>
      </c>
      <c r="S552" t="n">
        <v>0</v>
      </c>
      <c r="T552" t="n">
        <v>0</v>
      </c>
      <c r="U552" t="n">
        <v>4000000</v>
      </c>
      <c r="V552" t="n">
        <v>0</v>
      </c>
      <c r="W552" t="n">
        <v>0</v>
      </c>
      <c r="X552" t="n">
        <v>0</v>
      </c>
      <c r="Y552" t="n">
        <v>4000000</v>
      </c>
      <c r="Z552" t="n">
        <v>4000000</v>
      </c>
      <c r="AA552" t="n">
        <v>4000000</v>
      </c>
      <c r="AB552" t="n">
        <v>4000000</v>
      </c>
      <c r="AC552" t="n">
        <v>4000000</v>
      </c>
      <c r="AD552" t="n">
        <v>0</v>
      </c>
      <c r="AE552" t="n">
        <v>100</v>
      </c>
    </row>
    <row r="553">
      <c r="A553" t="inlineStr">
        <is>
          <t>3 - CONCEJO</t>
        </is>
      </c>
      <c r="B553" t="inlineStr">
        <is>
          <t>00 - SIN SECTOR</t>
        </is>
      </c>
      <c r="C553" t="inlineStr">
        <is>
          <t>00</t>
        </is>
      </c>
      <c r="D553" t="inlineStr">
        <is>
          <t>0000</t>
        </is>
      </c>
      <c r="E553" t="inlineStr">
        <is>
          <t>000000</t>
        </is>
      </c>
      <c r="F553" t="inlineStr">
        <is>
          <t>SIN PRODUCTO</t>
        </is>
      </c>
      <c r="G553" t="inlineStr">
        <is>
          <t>00</t>
        </is>
      </c>
      <c r="H553" t="inlineStr">
        <is>
          <t>00</t>
        </is>
      </c>
      <c r="I553" t="inlineStr">
        <is>
          <t>00</t>
        </is>
      </c>
      <c r="J553" t="inlineStr">
        <is>
          <t>SIN PRODUCTO DANE</t>
        </is>
      </c>
      <c r="K553" t="inlineStr">
        <is>
          <t>00</t>
        </is>
      </c>
      <c r="L553" t="inlineStr">
        <is>
          <t>SIN ATRIBUTO</t>
        </is>
      </c>
      <c r="N553" t="inlineStr">
        <is>
          <t>2.1.2.01.01.003.03.02</t>
        </is>
      </c>
      <c r="O553" t="inlineStr">
        <is>
          <t>Maquinaria de informatica y sus partes, piezas y accesorios</t>
        </is>
      </c>
      <c r="P553" t="inlineStr">
        <is>
          <t>00</t>
        </is>
      </c>
      <c r="Q553" t="inlineStr">
        <is>
          <t>RECURSOS</t>
        </is>
      </c>
      <c r="R553" t="n">
        <v>0</v>
      </c>
      <c r="S553" t="n">
        <v>0</v>
      </c>
      <c r="T553" t="n">
        <v>0</v>
      </c>
      <c r="U553" t="n">
        <v>4000000</v>
      </c>
      <c r="V553" t="n">
        <v>0</v>
      </c>
      <c r="W553" t="n">
        <v>0</v>
      </c>
      <c r="X553" t="n">
        <v>0</v>
      </c>
      <c r="Y553" t="n">
        <v>4000000</v>
      </c>
      <c r="Z553" t="n">
        <v>4000000</v>
      </c>
      <c r="AA553" t="n">
        <v>4000000</v>
      </c>
      <c r="AB553" t="n">
        <v>4000000</v>
      </c>
      <c r="AC553" t="n">
        <v>4000000</v>
      </c>
      <c r="AD553" t="n">
        <v>0</v>
      </c>
      <c r="AE553" t="n">
        <v>100</v>
      </c>
    </row>
    <row r="554">
      <c r="A554" t="inlineStr">
        <is>
          <t>3 - CONCEJO</t>
        </is>
      </c>
      <c r="B554" t="inlineStr">
        <is>
          <t>00 - SIN SECTOR</t>
        </is>
      </c>
      <c r="C554" t="inlineStr">
        <is>
          <t>00</t>
        </is>
      </c>
      <c r="D554" t="inlineStr">
        <is>
          <t>0000</t>
        </is>
      </c>
      <c r="E554" t="inlineStr">
        <is>
          <t>000000</t>
        </is>
      </c>
      <c r="F554" t="inlineStr">
        <is>
          <t>SIN PRODUCTO</t>
        </is>
      </c>
      <c r="G554" t="inlineStr">
        <is>
          <t>00</t>
        </is>
      </c>
      <c r="H554" t="inlineStr">
        <is>
          <t>00</t>
        </is>
      </c>
      <c r="I554" t="inlineStr">
        <is>
          <t>4523001</t>
        </is>
      </c>
      <c r="J554" t="inlineStr">
        <is>
          <t>Unidad central de procesamiento (CPU)</t>
        </is>
      </c>
      <c r="K554" t="inlineStr">
        <is>
          <t>00</t>
        </is>
      </c>
      <c r="L554" t="inlineStr">
        <is>
          <t>SIN ATRIBUTO</t>
        </is>
      </c>
      <c r="N554" t="inlineStr">
        <is>
          <t>2.1.2.01.01.003.03.02.01</t>
        </is>
      </c>
      <c r="O554" t="inlineStr">
        <is>
          <t>Compra de equipos de oficina (Computadores, impresoras, escaner, entre otros)</t>
        </is>
      </c>
      <c r="P554" t="inlineStr">
        <is>
          <t>360</t>
        </is>
      </c>
      <c r="Q554" t="inlineStr">
        <is>
          <t>SGP PROPOSITO GENERAL 42 POR CIENTO RECURSOS LIBRE DESTINACION SGP PROPOSITO GENERAL MPIOS DE CATEGORIA 4 5 Y 6 SGP ONCE</t>
        </is>
      </c>
      <c r="R554" t="n">
        <v>0</v>
      </c>
      <c r="S554" t="n">
        <v>0</v>
      </c>
      <c r="T554" t="n">
        <v>0</v>
      </c>
      <c r="U554" t="n">
        <v>4000000</v>
      </c>
      <c r="V554" t="n">
        <v>0</v>
      </c>
      <c r="W554" t="n">
        <v>0</v>
      </c>
      <c r="X554" t="n">
        <v>0</v>
      </c>
      <c r="Y554" t="n">
        <v>4000000</v>
      </c>
      <c r="Z554" t="n">
        <v>4000000</v>
      </c>
      <c r="AA554" t="n">
        <v>4000000</v>
      </c>
      <c r="AB554" t="n">
        <v>4000000</v>
      </c>
      <c r="AC554" t="n">
        <v>4000000</v>
      </c>
      <c r="AD554" t="n">
        <v>0</v>
      </c>
      <c r="AE554" t="n">
        <v>100</v>
      </c>
    </row>
    <row r="555">
      <c r="A555" t="inlineStr">
        <is>
          <t>3 - CONCEJO</t>
        </is>
      </c>
      <c r="B555" t="inlineStr">
        <is>
          <t>00 - SIN SECTOR</t>
        </is>
      </c>
      <c r="C555" t="inlineStr">
        <is>
          <t>00</t>
        </is>
      </c>
      <c r="D555" t="inlineStr">
        <is>
          <t>0000</t>
        </is>
      </c>
      <c r="E555" t="inlineStr">
        <is>
          <t>000000</t>
        </is>
      </c>
      <c r="F555" t="inlineStr">
        <is>
          <t>SIN PRODUCTO</t>
        </is>
      </c>
      <c r="G555" t="inlineStr">
        <is>
          <t>00</t>
        </is>
      </c>
      <c r="H555" t="inlineStr">
        <is>
          <t>00</t>
        </is>
      </c>
      <c r="I555" t="inlineStr">
        <is>
          <t>00</t>
        </is>
      </c>
      <c r="J555" t="inlineStr">
        <is>
          <t>SIN PRODUCTO DANE</t>
        </is>
      </c>
      <c r="K555" t="inlineStr">
        <is>
          <t>00</t>
        </is>
      </c>
      <c r="L555" t="inlineStr">
        <is>
          <t>SIN ATRIBUTO</t>
        </is>
      </c>
      <c r="N555" t="inlineStr">
        <is>
          <t>2.1.2.02</t>
        </is>
      </c>
      <c r="O555" t="inlineStr">
        <is>
          <t>Adquisiciones diferentes de activos</t>
        </is>
      </c>
      <c r="P555" t="inlineStr">
        <is>
          <t>00</t>
        </is>
      </c>
      <c r="Q555" t="inlineStr">
        <is>
          <t>RECURSOS</t>
        </is>
      </c>
      <c r="R555" t="n">
        <v>18798821</v>
      </c>
      <c r="S555" t="n">
        <v>0</v>
      </c>
      <c r="T555" t="n">
        <v>0</v>
      </c>
      <c r="U555" t="n">
        <v>1686200</v>
      </c>
      <c r="V555" t="n">
        <v>7437105</v>
      </c>
      <c r="W555" t="n">
        <v>0</v>
      </c>
      <c r="X555" t="n">
        <v>0</v>
      </c>
      <c r="Y555" t="n">
        <v>13047916</v>
      </c>
      <c r="Z555" t="n">
        <v>1686200</v>
      </c>
      <c r="AA555" t="n">
        <v>1556173</v>
      </c>
      <c r="AB555" t="n">
        <v>1555200</v>
      </c>
      <c r="AC555" t="n">
        <v>1555200</v>
      </c>
      <c r="AD555" t="n">
        <v>11361716</v>
      </c>
      <c r="AE555" t="n">
        <v>12.92</v>
      </c>
    </row>
    <row r="556">
      <c r="A556" t="inlineStr">
        <is>
          <t>3 - CONCEJO</t>
        </is>
      </c>
      <c r="B556" t="inlineStr">
        <is>
          <t>00 - SIN SECTOR</t>
        </is>
      </c>
      <c r="C556" t="inlineStr">
        <is>
          <t>00</t>
        </is>
      </c>
      <c r="D556" t="inlineStr">
        <is>
          <t>0000</t>
        </is>
      </c>
      <c r="E556" t="inlineStr">
        <is>
          <t>000000</t>
        </is>
      </c>
      <c r="F556" t="inlineStr">
        <is>
          <t>SIN PRODUCTO</t>
        </is>
      </c>
      <c r="G556" t="inlineStr">
        <is>
          <t>00</t>
        </is>
      </c>
      <c r="H556" t="inlineStr">
        <is>
          <t>00</t>
        </is>
      </c>
      <c r="I556" t="inlineStr">
        <is>
          <t>00</t>
        </is>
      </c>
      <c r="J556" t="inlineStr">
        <is>
          <t>SIN PRODUCTO DANE</t>
        </is>
      </c>
      <c r="K556" t="inlineStr">
        <is>
          <t>00</t>
        </is>
      </c>
      <c r="L556" t="inlineStr">
        <is>
          <t>SIN ATRIBUTO</t>
        </is>
      </c>
      <c r="N556" t="inlineStr">
        <is>
          <t>2.1.2.02.01</t>
        </is>
      </c>
      <c r="O556" t="inlineStr">
        <is>
          <t>Materiales y suministros</t>
        </is>
      </c>
      <c r="P556" t="inlineStr">
        <is>
          <t>00</t>
        </is>
      </c>
      <c r="Q556" t="inlineStr">
        <is>
          <t>RECURSOS</t>
        </is>
      </c>
      <c r="R556" t="n">
        <v>0</v>
      </c>
      <c r="S556" t="n">
        <v>0</v>
      </c>
      <c r="T556" t="n">
        <v>0</v>
      </c>
      <c r="U556" t="n">
        <v>1686200</v>
      </c>
      <c r="V556" t="n">
        <v>0</v>
      </c>
      <c r="W556" t="n">
        <v>0</v>
      </c>
      <c r="X556" t="n">
        <v>0</v>
      </c>
      <c r="Y556" t="n">
        <v>1686200</v>
      </c>
      <c r="Z556" t="n">
        <v>1686200</v>
      </c>
      <c r="AA556" t="n">
        <v>1556173</v>
      </c>
      <c r="AB556" t="n">
        <v>1555200</v>
      </c>
      <c r="AC556" t="n">
        <v>1555200</v>
      </c>
      <c r="AD556" t="n">
        <v>0</v>
      </c>
      <c r="AE556" t="n">
        <v>100</v>
      </c>
    </row>
    <row r="557">
      <c r="A557" t="inlineStr">
        <is>
          <t>3 - CONCEJO</t>
        </is>
      </c>
      <c r="B557" t="inlineStr">
        <is>
          <t>00 - SIN SECTOR</t>
        </is>
      </c>
      <c r="C557" t="inlineStr">
        <is>
          <t>00</t>
        </is>
      </c>
      <c r="D557" t="inlineStr">
        <is>
          <t>0000</t>
        </is>
      </c>
      <c r="E557" t="inlineStr">
        <is>
          <t>000000</t>
        </is>
      </c>
      <c r="F557" t="inlineStr">
        <is>
          <t>SIN PRODUCTO</t>
        </is>
      </c>
      <c r="G557" t="inlineStr">
        <is>
          <t>00</t>
        </is>
      </c>
      <c r="H557" t="inlineStr">
        <is>
          <t>00</t>
        </is>
      </c>
      <c r="I557" t="inlineStr">
        <is>
          <t>00</t>
        </is>
      </c>
      <c r="J557" t="inlineStr">
        <is>
          <t>SIN PRODUCTO DANE</t>
        </is>
      </c>
      <c r="K557" t="inlineStr">
        <is>
          <t>00</t>
        </is>
      </c>
      <c r="L557" t="inlineStr">
        <is>
          <t>SIN ATRIBUTO</t>
        </is>
      </c>
      <c r="N557" t="inlineStr">
        <is>
          <t>2.1.2.02.01.003</t>
        </is>
      </c>
      <c r="O557" t="inlineStr">
        <is>
          <t>Otros bienes transportables excepto productos metalicos, maquinaria y equipo</t>
        </is>
      </c>
      <c r="P557" t="inlineStr">
        <is>
          <t>00</t>
        </is>
      </c>
      <c r="Q557" t="inlineStr">
        <is>
          <t>RECURSOS</t>
        </is>
      </c>
      <c r="R557" t="n">
        <v>0</v>
      </c>
      <c r="S557" t="n">
        <v>0</v>
      </c>
      <c r="T557" t="n">
        <v>0</v>
      </c>
      <c r="U557" t="n">
        <v>1686200</v>
      </c>
      <c r="V557" t="n">
        <v>0</v>
      </c>
      <c r="W557" t="n">
        <v>0</v>
      </c>
      <c r="X557" t="n">
        <v>0</v>
      </c>
      <c r="Y557" t="n">
        <v>1686200</v>
      </c>
      <c r="Z557" t="n">
        <v>1686200</v>
      </c>
      <c r="AA557" t="n">
        <v>1556173</v>
      </c>
      <c r="AB557" t="n">
        <v>1555200</v>
      </c>
      <c r="AC557" t="n">
        <v>1555200</v>
      </c>
      <c r="AD557" t="n">
        <v>0</v>
      </c>
      <c r="AE557" t="n">
        <v>100</v>
      </c>
    </row>
    <row r="558">
      <c r="A558" t="inlineStr">
        <is>
          <t>3 - CONCEJO</t>
        </is>
      </c>
      <c r="B558" t="inlineStr">
        <is>
          <t>00 - SIN SECTOR</t>
        </is>
      </c>
      <c r="C558" t="inlineStr">
        <is>
          <t>00</t>
        </is>
      </c>
      <c r="D558" t="inlineStr">
        <is>
          <t>0000</t>
        </is>
      </c>
      <c r="E558" t="inlineStr">
        <is>
          <t>000000</t>
        </is>
      </c>
      <c r="F558" t="inlineStr">
        <is>
          <t>SIN PRODUCTO</t>
        </is>
      </c>
      <c r="G558" t="inlineStr">
        <is>
          <t>00</t>
        </is>
      </c>
      <c r="H558" t="inlineStr">
        <is>
          <t>00</t>
        </is>
      </c>
      <c r="I558" t="inlineStr">
        <is>
          <t>3212897</t>
        </is>
      </c>
      <c r="J558" t="inlineStr">
        <is>
          <t>Papeles especiales para impresión n.c.p.</t>
        </is>
      </c>
      <c r="K558" t="inlineStr">
        <is>
          <t>00</t>
        </is>
      </c>
      <c r="L558" t="inlineStr">
        <is>
          <t>SIN ATRIBUTO</t>
        </is>
      </c>
      <c r="N558" t="inlineStr">
        <is>
          <t>2.1.2.02.01.003.01</t>
        </is>
      </c>
      <c r="O558" t="inlineStr">
        <is>
          <t>Papeleria</t>
        </is>
      </c>
      <c r="P558" t="inlineStr">
        <is>
          <t>360</t>
        </is>
      </c>
      <c r="Q558" t="inlineStr">
        <is>
          <t>SGP PROPOSITO GENERAL 42 POR CIENTO RECURSOS LIBRE DESTINACION SGP PROPOSITO GENERAL MPIOS DE CATEGORIA 4 5 Y 6 SGP ONCE</t>
        </is>
      </c>
      <c r="R558" t="n">
        <v>0</v>
      </c>
      <c r="S558" t="n">
        <v>0</v>
      </c>
      <c r="T558" t="n">
        <v>0</v>
      </c>
      <c r="U558" t="n">
        <v>1686200</v>
      </c>
      <c r="V558" t="n">
        <v>0</v>
      </c>
      <c r="W558" t="n">
        <v>0</v>
      </c>
      <c r="X558" t="n">
        <v>0</v>
      </c>
      <c r="Y558" t="n">
        <v>1686200</v>
      </c>
      <c r="Z558" t="n">
        <v>1686200</v>
      </c>
      <c r="AA558" t="n">
        <v>1556173</v>
      </c>
      <c r="AB558" t="n">
        <v>1555200</v>
      </c>
      <c r="AC558" t="n">
        <v>1555200</v>
      </c>
      <c r="AD558" t="n">
        <v>0</v>
      </c>
      <c r="AE558" t="n">
        <v>100</v>
      </c>
    </row>
    <row r="559">
      <c r="A559" t="inlineStr">
        <is>
          <t>3 - CONCEJO</t>
        </is>
      </c>
      <c r="B559" t="inlineStr">
        <is>
          <t>00 - SIN SECTOR</t>
        </is>
      </c>
      <c r="C559" t="inlineStr">
        <is>
          <t>00</t>
        </is>
      </c>
      <c r="D559" t="inlineStr">
        <is>
          <t>0000</t>
        </is>
      </c>
      <c r="E559" t="inlineStr">
        <is>
          <t>000000</t>
        </is>
      </c>
      <c r="F559" t="inlineStr">
        <is>
          <t>SIN PRODUCTO</t>
        </is>
      </c>
      <c r="G559" t="inlineStr">
        <is>
          <t>00</t>
        </is>
      </c>
      <c r="H559" t="inlineStr">
        <is>
          <t>00</t>
        </is>
      </c>
      <c r="I559" t="inlineStr">
        <is>
          <t>00</t>
        </is>
      </c>
      <c r="J559" t="inlineStr">
        <is>
          <t>SIN PRODUCTO DANE</t>
        </is>
      </c>
      <c r="K559" t="inlineStr">
        <is>
          <t>00</t>
        </is>
      </c>
      <c r="L559" t="inlineStr">
        <is>
          <t>SIN ATRIBUTO</t>
        </is>
      </c>
      <c r="N559" t="inlineStr">
        <is>
          <t>2.1.2.02.02</t>
        </is>
      </c>
      <c r="O559" t="inlineStr">
        <is>
          <t>Adquisicion de servicios</t>
        </is>
      </c>
      <c r="P559" t="inlineStr">
        <is>
          <t>00</t>
        </is>
      </c>
      <c r="Q559" t="inlineStr">
        <is>
          <t>RECURSOS</t>
        </is>
      </c>
      <c r="R559" t="n">
        <v>18798821</v>
      </c>
      <c r="S559" t="n">
        <v>0</v>
      </c>
      <c r="T559" t="n">
        <v>0</v>
      </c>
      <c r="U559" t="n">
        <v>0</v>
      </c>
      <c r="V559" t="n">
        <v>7437105</v>
      </c>
      <c r="W559" t="n">
        <v>0</v>
      </c>
      <c r="X559" t="n">
        <v>0</v>
      </c>
      <c r="Y559" t="n">
        <v>11361716</v>
      </c>
      <c r="Z559" t="n">
        <v>0</v>
      </c>
      <c r="AA559" t="n">
        <v>0</v>
      </c>
      <c r="AB559" t="n">
        <v>0</v>
      </c>
      <c r="AC559" t="n">
        <v>0</v>
      </c>
      <c r="AD559" t="n">
        <v>11361716</v>
      </c>
      <c r="AE559" t="n">
        <v>0</v>
      </c>
    </row>
    <row r="560">
      <c r="A560" t="inlineStr">
        <is>
          <t>3 - CONCEJO</t>
        </is>
      </c>
      <c r="B560" t="inlineStr">
        <is>
          <t>00 - SIN SECTOR</t>
        </is>
      </c>
      <c r="C560" t="inlineStr">
        <is>
          <t>00</t>
        </is>
      </c>
      <c r="D560" t="inlineStr">
        <is>
          <t>0000</t>
        </is>
      </c>
      <c r="E560" t="inlineStr">
        <is>
          <t>000000</t>
        </is>
      </c>
      <c r="F560" t="inlineStr">
        <is>
          <t>SIN PRODUCTO</t>
        </is>
      </c>
      <c r="G560" t="inlineStr">
        <is>
          <t>00</t>
        </is>
      </c>
      <c r="H560" t="inlineStr">
        <is>
          <t>00</t>
        </is>
      </c>
      <c r="I560" t="inlineStr">
        <is>
          <t>00</t>
        </is>
      </c>
      <c r="J560" t="inlineStr">
        <is>
          <t>SIN PRODUCTO DANE</t>
        </is>
      </c>
      <c r="K560" t="inlineStr">
        <is>
          <t>00</t>
        </is>
      </c>
      <c r="L560" t="inlineStr">
        <is>
          <t>SIN ATRIBUTO</t>
        </is>
      </c>
      <c r="N560" t="inlineStr">
        <is>
          <t>2.1.2.02.02.008</t>
        </is>
      </c>
      <c r="O560" t="inlineStr">
        <is>
          <t xml:space="preserve">Servicios prestados a las empresas y servicios de produccion </t>
        </is>
      </c>
      <c r="P560" t="inlineStr">
        <is>
          <t>360</t>
        </is>
      </c>
      <c r="Q560" t="inlineStr">
        <is>
          <t>SGP PROPOSITO GENERAL 42 POR CIENTO RECURSOS LIBRE DESTINACION SGP PROPOSITO GENERAL MPIOS DE CATEGORIA 4 5 Y 6 SGP ONCE</t>
        </is>
      </c>
      <c r="R560" t="n">
        <v>18798821</v>
      </c>
      <c r="S560" t="n">
        <v>0</v>
      </c>
      <c r="T560" t="n">
        <v>0</v>
      </c>
      <c r="U560" t="n">
        <v>0</v>
      </c>
      <c r="V560" t="n">
        <v>7437105</v>
      </c>
      <c r="W560" t="n">
        <v>0</v>
      </c>
      <c r="X560" t="n">
        <v>0</v>
      </c>
      <c r="Y560" t="n">
        <v>11361716</v>
      </c>
      <c r="Z560" t="n">
        <v>0</v>
      </c>
      <c r="AA560" t="n">
        <v>0</v>
      </c>
      <c r="AB560" t="n">
        <v>0</v>
      </c>
      <c r="AC560" t="n">
        <v>0</v>
      </c>
      <c r="AD560" t="n">
        <v>11361716</v>
      </c>
      <c r="AE560" t="n">
        <v>0</v>
      </c>
    </row>
    <row r="561">
      <c r="A561" t="inlineStr">
        <is>
          <t>3 - CONCEJO</t>
        </is>
      </c>
      <c r="B561" t="inlineStr">
        <is>
          <t>00 - SIN SECTOR</t>
        </is>
      </c>
      <c r="C561" t="inlineStr">
        <is>
          <t>00</t>
        </is>
      </c>
      <c r="D561" t="inlineStr">
        <is>
          <t>0000</t>
        </is>
      </c>
      <c r="E561" t="inlineStr">
        <is>
          <t>000000</t>
        </is>
      </c>
      <c r="F561" t="inlineStr">
        <is>
          <t>SIN PRODUCTO</t>
        </is>
      </c>
      <c r="G561" t="inlineStr">
        <is>
          <t>00</t>
        </is>
      </c>
      <c r="H561" t="inlineStr">
        <is>
          <t>00</t>
        </is>
      </c>
      <c r="I561" t="inlineStr">
        <is>
          <t>00</t>
        </is>
      </c>
      <c r="J561" t="inlineStr">
        <is>
          <t>SIN PRODUCTO DANE</t>
        </is>
      </c>
      <c r="K561" t="inlineStr">
        <is>
          <t>00</t>
        </is>
      </c>
      <c r="L561" t="inlineStr">
        <is>
          <t>SIN ATRIBUTO</t>
        </is>
      </c>
      <c r="N561" t="inlineStr">
        <is>
          <t>2.1.3</t>
        </is>
      </c>
      <c r="O561" t="inlineStr">
        <is>
          <t>Transferencias corrientes</t>
        </is>
      </c>
      <c r="P561" t="inlineStr">
        <is>
          <t>00</t>
        </is>
      </c>
      <c r="Q561" t="inlineStr">
        <is>
          <t>RECURSOS</t>
        </is>
      </c>
      <c r="R561" t="n">
        <v>0</v>
      </c>
      <c r="S561" t="n">
        <v>0</v>
      </c>
      <c r="T561" t="n">
        <v>0</v>
      </c>
      <c r="U561" t="n">
        <v>1750905</v>
      </c>
      <c r="V561" t="n">
        <v>0</v>
      </c>
      <c r="W561" t="n">
        <v>0</v>
      </c>
      <c r="X561" t="n">
        <v>0</v>
      </c>
      <c r="Y561" t="n">
        <v>1750905</v>
      </c>
      <c r="Z561" t="n">
        <v>1750905</v>
      </c>
      <c r="AA561" t="n">
        <v>1750905</v>
      </c>
      <c r="AB561" t="n">
        <v>1750905</v>
      </c>
      <c r="AC561" t="n">
        <v>1750905</v>
      </c>
      <c r="AD561" t="n">
        <v>0</v>
      </c>
      <c r="AE561" t="n">
        <v>100</v>
      </c>
    </row>
    <row r="562">
      <c r="A562" t="inlineStr">
        <is>
          <t>3 - CONCEJO</t>
        </is>
      </c>
      <c r="B562" t="inlineStr">
        <is>
          <t>00 - SIN SECTOR</t>
        </is>
      </c>
      <c r="C562" t="inlineStr">
        <is>
          <t>00</t>
        </is>
      </c>
      <c r="D562" t="inlineStr">
        <is>
          <t>0000</t>
        </is>
      </c>
      <c r="E562" t="inlineStr">
        <is>
          <t>000000</t>
        </is>
      </c>
      <c r="F562" t="inlineStr">
        <is>
          <t>SIN PRODUCTO</t>
        </is>
      </c>
      <c r="G562" t="inlineStr">
        <is>
          <t>00</t>
        </is>
      </c>
      <c r="H562" t="inlineStr">
        <is>
          <t>00</t>
        </is>
      </c>
      <c r="I562" t="inlineStr">
        <is>
          <t>00</t>
        </is>
      </c>
      <c r="J562" t="inlineStr">
        <is>
          <t>SIN PRODUCTO DANE</t>
        </is>
      </c>
      <c r="K562" t="inlineStr">
        <is>
          <t>00</t>
        </is>
      </c>
      <c r="L562" t="inlineStr">
        <is>
          <t>SIN ATRIBUTO</t>
        </is>
      </c>
      <c r="N562" t="inlineStr">
        <is>
          <t>2.1.3.04</t>
        </is>
      </c>
      <c r="O562" t="inlineStr">
        <is>
          <t>A organizaciones nacionales</t>
        </is>
      </c>
      <c r="P562" t="inlineStr">
        <is>
          <t>00</t>
        </is>
      </c>
      <c r="Q562" t="inlineStr">
        <is>
          <t>RECURSOS</t>
        </is>
      </c>
      <c r="R562" t="n">
        <v>0</v>
      </c>
      <c r="S562" t="n">
        <v>0</v>
      </c>
      <c r="T562" t="n">
        <v>0</v>
      </c>
      <c r="U562" t="n">
        <v>1750905</v>
      </c>
      <c r="V562" t="n">
        <v>0</v>
      </c>
      <c r="W562" t="n">
        <v>0</v>
      </c>
      <c r="X562" t="n">
        <v>0</v>
      </c>
      <c r="Y562" t="n">
        <v>1750905</v>
      </c>
      <c r="Z562" t="n">
        <v>1750905</v>
      </c>
      <c r="AA562" t="n">
        <v>1750905</v>
      </c>
      <c r="AB562" t="n">
        <v>1750905</v>
      </c>
      <c r="AC562" t="n">
        <v>1750905</v>
      </c>
      <c r="AD562" t="n">
        <v>0</v>
      </c>
      <c r="AE562" t="n">
        <v>100</v>
      </c>
    </row>
    <row r="563">
      <c r="A563" t="inlineStr">
        <is>
          <t>3 - CONCEJO</t>
        </is>
      </c>
      <c r="B563" t="inlineStr">
        <is>
          <t>00 - SIN SECTOR</t>
        </is>
      </c>
      <c r="C563" t="inlineStr">
        <is>
          <t>00</t>
        </is>
      </c>
      <c r="D563" t="inlineStr">
        <is>
          <t>0000</t>
        </is>
      </c>
      <c r="E563" t="inlineStr">
        <is>
          <t>000000</t>
        </is>
      </c>
      <c r="F563" t="inlineStr">
        <is>
          <t>SIN PRODUCTO</t>
        </is>
      </c>
      <c r="G563" t="inlineStr">
        <is>
          <t>00</t>
        </is>
      </c>
      <c r="H563" t="inlineStr">
        <is>
          <t>00</t>
        </is>
      </c>
      <c r="I563" t="inlineStr">
        <is>
          <t>00</t>
        </is>
      </c>
      <c r="J563" t="inlineStr">
        <is>
          <t>SIN PRODUCTO DANE</t>
        </is>
      </c>
      <c r="K563" t="inlineStr">
        <is>
          <t>00</t>
        </is>
      </c>
      <c r="L563" t="inlineStr">
        <is>
          <t>SIN ATRIBUTO</t>
        </is>
      </c>
      <c r="N563" t="inlineStr">
        <is>
          <t>2.1.3.04.05</t>
        </is>
      </c>
      <c r="O563" t="inlineStr">
        <is>
          <t>A otras organizaciones nacionales</t>
        </is>
      </c>
      <c r="P563" t="inlineStr">
        <is>
          <t>00</t>
        </is>
      </c>
      <c r="Q563" t="inlineStr">
        <is>
          <t>RECURSOS</t>
        </is>
      </c>
      <c r="R563" t="n">
        <v>0</v>
      </c>
      <c r="S563" t="n">
        <v>0</v>
      </c>
      <c r="T563" t="n">
        <v>0</v>
      </c>
      <c r="U563" t="n">
        <v>1750905</v>
      </c>
      <c r="V563" t="n">
        <v>0</v>
      </c>
      <c r="W563" t="n">
        <v>0</v>
      </c>
      <c r="X563" t="n">
        <v>0</v>
      </c>
      <c r="Y563" t="n">
        <v>1750905</v>
      </c>
      <c r="Z563" t="n">
        <v>1750905</v>
      </c>
      <c r="AA563" t="n">
        <v>1750905</v>
      </c>
      <c r="AB563" t="n">
        <v>1750905</v>
      </c>
      <c r="AC563" t="n">
        <v>1750905</v>
      </c>
      <c r="AD563" t="n">
        <v>0</v>
      </c>
      <c r="AE563" t="n">
        <v>100</v>
      </c>
    </row>
    <row r="564">
      <c r="A564" t="inlineStr">
        <is>
          <t>3 - CONCEJO</t>
        </is>
      </c>
      <c r="B564" t="inlineStr">
        <is>
          <t>00 - SIN SECTOR</t>
        </is>
      </c>
      <c r="C564" t="inlineStr">
        <is>
          <t>00</t>
        </is>
      </c>
      <c r="D564" t="inlineStr">
        <is>
          <t>0000</t>
        </is>
      </c>
      <c r="E564" t="inlineStr">
        <is>
          <t>000000</t>
        </is>
      </c>
      <c r="F564" t="inlineStr">
        <is>
          <t>SIN PRODUCTO</t>
        </is>
      </c>
      <c r="G564" t="inlineStr">
        <is>
          <t>00</t>
        </is>
      </c>
      <c r="H564" t="inlineStr">
        <is>
          <t>00</t>
        </is>
      </c>
      <c r="I564" t="inlineStr">
        <is>
          <t>00</t>
        </is>
      </c>
      <c r="J564" t="inlineStr">
        <is>
          <t>SIN PRODUCTO DANE</t>
        </is>
      </c>
      <c r="K564" t="inlineStr">
        <is>
          <t>00</t>
        </is>
      </c>
      <c r="L564" t="inlineStr">
        <is>
          <t>SIN ATRIBUTO</t>
        </is>
      </c>
      <c r="N564" t="inlineStr">
        <is>
          <t>2.1.3.04.05.002</t>
        </is>
      </c>
      <c r="O564" t="inlineStr">
        <is>
          <t>Distintas a membresias</t>
        </is>
      </c>
      <c r="P564" t="inlineStr">
        <is>
          <t>360</t>
        </is>
      </c>
      <c r="Q564" t="inlineStr">
        <is>
          <t>SGP PROPOSITO GENERAL 42 POR CIENTO RECURSOS LIBRE DESTINACION SGP PROPOSITO GENERAL MPIOS DE CATEGORIA 4 5 Y 6 SGP ONCE</t>
        </is>
      </c>
      <c r="R564" t="n">
        <v>0</v>
      </c>
      <c r="S564" t="n">
        <v>0</v>
      </c>
      <c r="T564" t="n">
        <v>0</v>
      </c>
      <c r="U564" t="n">
        <v>1750905</v>
      </c>
      <c r="V564" t="n">
        <v>0</v>
      </c>
      <c r="W564" t="n">
        <v>0</v>
      </c>
      <c r="X564" t="n">
        <v>0</v>
      </c>
      <c r="Y564" t="n">
        <v>1750905</v>
      </c>
      <c r="Z564" t="n">
        <v>1750905</v>
      </c>
      <c r="AA564" t="n">
        <v>1750905</v>
      </c>
      <c r="AB564" t="n">
        <v>1750905</v>
      </c>
      <c r="AC564" t="n">
        <v>1750905</v>
      </c>
      <c r="AD564" t="n">
        <v>0</v>
      </c>
      <c r="AE564" t="n">
        <v>100</v>
      </c>
    </row>
    <row r="565">
      <c r="A565" t="inlineStr">
        <is>
          <t>5 - PERSONERÍA</t>
        </is>
      </c>
      <c r="B565" t="inlineStr">
        <is>
          <t>00 - SIN SECTOR</t>
        </is>
      </c>
      <c r="C565" t="inlineStr">
        <is>
          <t>00</t>
        </is>
      </c>
      <c r="D565" t="inlineStr">
        <is>
          <t>0000</t>
        </is>
      </c>
      <c r="E565" t="inlineStr">
        <is>
          <t>000000</t>
        </is>
      </c>
      <c r="F565" t="inlineStr">
        <is>
          <t>SIN PRODUCTO</t>
        </is>
      </c>
      <c r="G565" t="inlineStr">
        <is>
          <t>00</t>
        </is>
      </c>
      <c r="H565" t="inlineStr">
        <is>
          <t>00</t>
        </is>
      </c>
      <c r="I565" t="inlineStr">
        <is>
          <t>00</t>
        </is>
      </c>
      <c r="J565" t="inlineStr">
        <is>
          <t>SIN PRODUCTO DANE</t>
        </is>
      </c>
      <c r="K565" t="inlineStr">
        <is>
          <t>00</t>
        </is>
      </c>
      <c r="L565" t="inlineStr">
        <is>
          <t>SIN ATRIBUTO</t>
        </is>
      </c>
      <c r="N565" t="inlineStr">
        <is>
          <t>2</t>
        </is>
      </c>
      <c r="O565" t="inlineStr">
        <is>
          <t>Gastos</t>
        </is>
      </c>
      <c r="P565" t="inlineStr">
        <is>
          <t>00</t>
        </is>
      </c>
      <c r="Q565" t="inlineStr">
        <is>
          <t>RECURSOS</t>
        </is>
      </c>
      <c r="R565" t="n">
        <v>266194500</v>
      </c>
      <c r="S565" t="n">
        <v>0</v>
      </c>
      <c r="T565" t="n">
        <v>0</v>
      </c>
      <c r="U565" t="n">
        <v>2871465</v>
      </c>
      <c r="V565" t="n">
        <v>2871465</v>
      </c>
      <c r="W565" t="n">
        <v>0</v>
      </c>
      <c r="X565" t="n">
        <v>0</v>
      </c>
      <c r="Y565" t="n">
        <v>266194500</v>
      </c>
      <c r="Z565" t="n">
        <v>126143892</v>
      </c>
      <c r="AA565" t="n">
        <v>126143892</v>
      </c>
      <c r="AB565" t="n">
        <v>118643892</v>
      </c>
      <c r="AC565" t="n">
        <v>118643892</v>
      </c>
      <c r="AD565" t="n">
        <v>140050608</v>
      </c>
      <c r="AE565" t="n">
        <v>47.39</v>
      </c>
    </row>
    <row r="566">
      <c r="A566" t="inlineStr">
        <is>
          <t>5 - PERSONERÍA</t>
        </is>
      </c>
      <c r="B566" t="inlineStr">
        <is>
          <t>00 - SIN SECTOR</t>
        </is>
      </c>
      <c r="C566" t="inlineStr">
        <is>
          <t>00</t>
        </is>
      </c>
      <c r="D566" t="inlineStr">
        <is>
          <t>0000</t>
        </is>
      </c>
      <c r="E566" t="inlineStr">
        <is>
          <t>000000</t>
        </is>
      </c>
      <c r="F566" t="inlineStr">
        <is>
          <t>SIN PRODUCTO</t>
        </is>
      </c>
      <c r="G566" t="inlineStr">
        <is>
          <t>00</t>
        </is>
      </c>
      <c r="H566" t="inlineStr">
        <is>
          <t>00</t>
        </is>
      </c>
      <c r="I566" t="inlineStr">
        <is>
          <t>00</t>
        </is>
      </c>
      <c r="J566" t="inlineStr">
        <is>
          <t>SIN PRODUCTO DANE</t>
        </is>
      </c>
      <c r="K566" t="inlineStr">
        <is>
          <t>00</t>
        </is>
      </c>
      <c r="L566" t="inlineStr">
        <is>
          <t>SIN ATRIBUTO</t>
        </is>
      </c>
      <c r="N566" t="inlineStr">
        <is>
          <t>2.1</t>
        </is>
      </c>
      <c r="O566" t="inlineStr">
        <is>
          <t>Funcionamiento</t>
        </is>
      </c>
      <c r="P566" t="inlineStr">
        <is>
          <t>00</t>
        </is>
      </c>
      <c r="Q566" t="inlineStr">
        <is>
          <t>RECURSOS</t>
        </is>
      </c>
      <c r="R566" t="n">
        <v>266194500</v>
      </c>
      <c r="S566" t="n">
        <v>0</v>
      </c>
      <c r="T566" t="n">
        <v>0</v>
      </c>
      <c r="U566" t="n">
        <v>2871465</v>
      </c>
      <c r="V566" t="n">
        <v>2871465</v>
      </c>
      <c r="W566" t="n">
        <v>0</v>
      </c>
      <c r="X566" t="n">
        <v>0</v>
      </c>
      <c r="Y566" t="n">
        <v>266194500</v>
      </c>
      <c r="Z566" t="n">
        <v>126143892</v>
      </c>
      <c r="AA566" t="n">
        <v>126143892</v>
      </c>
      <c r="AB566" t="n">
        <v>118643892</v>
      </c>
      <c r="AC566" t="n">
        <v>118643892</v>
      </c>
      <c r="AD566" t="n">
        <v>140050608</v>
      </c>
      <c r="AE566" t="n">
        <v>47.39</v>
      </c>
    </row>
    <row r="567">
      <c r="A567" t="inlineStr">
        <is>
          <t>5 - PERSONERÍA</t>
        </is>
      </c>
      <c r="B567" t="inlineStr">
        <is>
          <t>00 - SIN SECTOR</t>
        </is>
      </c>
      <c r="C567" t="inlineStr">
        <is>
          <t>00</t>
        </is>
      </c>
      <c r="D567" t="inlineStr">
        <is>
          <t>0000</t>
        </is>
      </c>
      <c r="E567" t="inlineStr">
        <is>
          <t>000000</t>
        </is>
      </c>
      <c r="F567" t="inlineStr">
        <is>
          <t>SIN PRODUCTO</t>
        </is>
      </c>
      <c r="G567" t="inlineStr">
        <is>
          <t>00</t>
        </is>
      </c>
      <c r="H567" t="inlineStr">
        <is>
          <t>00</t>
        </is>
      </c>
      <c r="I567" t="inlineStr">
        <is>
          <t>00</t>
        </is>
      </c>
      <c r="J567" t="inlineStr">
        <is>
          <t>SIN PRODUCTO DANE</t>
        </is>
      </c>
      <c r="K567" t="inlineStr">
        <is>
          <t>00</t>
        </is>
      </c>
      <c r="L567" t="inlineStr">
        <is>
          <t>SIN ATRIBUTO</t>
        </is>
      </c>
      <c r="N567" t="inlineStr">
        <is>
          <t>2.1.1</t>
        </is>
      </c>
      <c r="O567" t="inlineStr">
        <is>
          <t>Gastos de personal</t>
        </is>
      </c>
      <c r="P567" t="inlineStr">
        <is>
          <t>00</t>
        </is>
      </c>
      <c r="Q567" t="inlineStr">
        <is>
          <t>RECURSOS</t>
        </is>
      </c>
      <c r="R567" t="n">
        <v>221847367</v>
      </c>
      <c r="S567" t="n">
        <v>0</v>
      </c>
      <c r="T567" t="n">
        <v>0</v>
      </c>
      <c r="U567" t="n">
        <v>1048985</v>
      </c>
      <c r="V567" t="n">
        <v>1048985</v>
      </c>
      <c r="W567" t="n">
        <v>0</v>
      </c>
      <c r="X567" t="n">
        <v>0</v>
      </c>
      <c r="Y567" t="n">
        <v>221847367</v>
      </c>
      <c r="Z567" t="n">
        <v>90271392</v>
      </c>
      <c r="AA567" t="n">
        <v>90271392</v>
      </c>
      <c r="AB567" t="n">
        <v>90271392</v>
      </c>
      <c r="AC567" t="n">
        <v>90271392</v>
      </c>
      <c r="AD567" t="n">
        <v>131575975</v>
      </c>
      <c r="AE567" t="n">
        <v>40.69</v>
      </c>
    </row>
    <row r="568">
      <c r="A568" t="inlineStr">
        <is>
          <t>5 - PERSONERÍA</t>
        </is>
      </c>
      <c r="B568" t="inlineStr">
        <is>
          <t>00 - SIN SECTOR</t>
        </is>
      </c>
      <c r="C568" t="inlineStr">
        <is>
          <t>00</t>
        </is>
      </c>
      <c r="D568" t="inlineStr">
        <is>
          <t>0000</t>
        </is>
      </c>
      <c r="E568" t="inlineStr">
        <is>
          <t>000000</t>
        </is>
      </c>
      <c r="F568" t="inlineStr">
        <is>
          <t>SIN PRODUCTO</t>
        </is>
      </c>
      <c r="G568" t="inlineStr">
        <is>
          <t>00</t>
        </is>
      </c>
      <c r="H568" t="inlineStr">
        <is>
          <t>00</t>
        </is>
      </c>
      <c r="I568" t="inlineStr">
        <is>
          <t>00</t>
        </is>
      </c>
      <c r="J568" t="inlineStr">
        <is>
          <t>SIN PRODUCTO DANE</t>
        </is>
      </c>
      <c r="K568" t="inlineStr">
        <is>
          <t>00</t>
        </is>
      </c>
      <c r="L568" t="inlineStr">
        <is>
          <t>SIN ATRIBUTO</t>
        </is>
      </c>
      <c r="N568" t="inlineStr">
        <is>
          <t>2.1.1.01</t>
        </is>
      </c>
      <c r="O568" t="inlineStr">
        <is>
          <t>Planta de personal permanente</t>
        </is>
      </c>
      <c r="P568" t="inlineStr">
        <is>
          <t>00</t>
        </is>
      </c>
      <c r="Q568" t="inlineStr">
        <is>
          <t>RECURSOS</t>
        </is>
      </c>
      <c r="R568" t="n">
        <v>221847367</v>
      </c>
      <c r="S568" t="n">
        <v>0</v>
      </c>
      <c r="T568" t="n">
        <v>0</v>
      </c>
      <c r="U568" t="n">
        <v>1048985</v>
      </c>
      <c r="V568" t="n">
        <v>1048985</v>
      </c>
      <c r="W568" t="n">
        <v>0</v>
      </c>
      <c r="X568" t="n">
        <v>0</v>
      </c>
      <c r="Y568" t="n">
        <v>221847367</v>
      </c>
      <c r="Z568" t="n">
        <v>90271392</v>
      </c>
      <c r="AA568" t="n">
        <v>90271392</v>
      </c>
      <c r="AB568" t="n">
        <v>90271392</v>
      </c>
      <c r="AC568" t="n">
        <v>90271392</v>
      </c>
      <c r="AD568" t="n">
        <v>131575975</v>
      </c>
      <c r="AE568" t="n">
        <v>40.69</v>
      </c>
    </row>
    <row r="569">
      <c r="A569" t="inlineStr">
        <is>
          <t>5 - PERSONERÍA</t>
        </is>
      </c>
      <c r="B569" t="inlineStr">
        <is>
          <t>00 - SIN SECTOR</t>
        </is>
      </c>
      <c r="C569" t="inlineStr">
        <is>
          <t>00</t>
        </is>
      </c>
      <c r="D569" t="inlineStr">
        <is>
          <t>0000</t>
        </is>
      </c>
      <c r="E569" t="inlineStr">
        <is>
          <t>000000</t>
        </is>
      </c>
      <c r="F569" t="inlineStr">
        <is>
          <t>SIN PRODUCTO</t>
        </is>
      </c>
      <c r="G569" t="inlineStr">
        <is>
          <t>00</t>
        </is>
      </c>
      <c r="H569" t="inlineStr">
        <is>
          <t>00</t>
        </is>
      </c>
      <c r="I569" t="inlineStr">
        <is>
          <t>00</t>
        </is>
      </c>
      <c r="J569" t="inlineStr">
        <is>
          <t>SIN PRODUCTO DANE</t>
        </is>
      </c>
      <c r="K569" t="inlineStr">
        <is>
          <t>00</t>
        </is>
      </c>
      <c r="L569" t="inlineStr">
        <is>
          <t>SIN ATRIBUTO</t>
        </is>
      </c>
      <c r="N569" t="inlineStr">
        <is>
          <t>2.1.1.01.01</t>
        </is>
      </c>
      <c r="O569" t="inlineStr">
        <is>
          <t>Factores constitutivos de salario</t>
        </is>
      </c>
      <c r="P569" t="inlineStr">
        <is>
          <t>00</t>
        </is>
      </c>
      <c r="Q569" t="inlineStr">
        <is>
          <t>RECURSOS</t>
        </is>
      </c>
      <c r="R569" t="n">
        <v>153415296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153415296</v>
      </c>
      <c r="Z569" t="n">
        <v>52400232</v>
      </c>
      <c r="AA569" t="n">
        <v>52400232</v>
      </c>
      <c r="AB569" t="n">
        <v>52400232</v>
      </c>
      <c r="AC569" t="n">
        <v>52400232</v>
      </c>
      <c r="AD569" t="n">
        <v>101015064</v>
      </c>
      <c r="AE569" t="n">
        <v>34.16</v>
      </c>
    </row>
    <row r="570">
      <c r="A570" t="inlineStr">
        <is>
          <t>5 - PERSONERÍA</t>
        </is>
      </c>
      <c r="B570" t="inlineStr">
        <is>
          <t>00 - SIN SECTOR</t>
        </is>
      </c>
      <c r="C570" t="inlineStr">
        <is>
          <t>00</t>
        </is>
      </c>
      <c r="D570" t="inlineStr">
        <is>
          <t>0000</t>
        </is>
      </c>
      <c r="E570" t="inlineStr">
        <is>
          <t>000000</t>
        </is>
      </c>
      <c r="F570" t="inlineStr">
        <is>
          <t>SIN PRODUCTO</t>
        </is>
      </c>
      <c r="G570" t="inlineStr">
        <is>
          <t>00</t>
        </is>
      </c>
      <c r="H570" t="inlineStr">
        <is>
          <t>00</t>
        </is>
      </c>
      <c r="I570" t="inlineStr">
        <is>
          <t>00</t>
        </is>
      </c>
      <c r="J570" t="inlineStr">
        <is>
          <t>SIN PRODUCTO DANE</t>
        </is>
      </c>
      <c r="K570" t="inlineStr">
        <is>
          <t>00</t>
        </is>
      </c>
      <c r="L570" t="inlineStr">
        <is>
          <t>SIN ATRIBUTO</t>
        </is>
      </c>
      <c r="N570" t="inlineStr">
        <is>
          <t>2.1.1.01.01.001</t>
        </is>
      </c>
      <c r="O570" t="inlineStr">
        <is>
          <t>Factores salariales comunes</t>
        </is>
      </c>
      <c r="P570" t="inlineStr">
        <is>
          <t>00</t>
        </is>
      </c>
      <c r="Q570" t="inlineStr">
        <is>
          <t>RECURSOS</t>
        </is>
      </c>
      <c r="R570" t="n">
        <v>153415296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153415296</v>
      </c>
      <c r="Z570" t="n">
        <v>52400232</v>
      </c>
      <c r="AA570" t="n">
        <v>52400232</v>
      </c>
      <c r="AB570" t="n">
        <v>52400232</v>
      </c>
      <c r="AC570" t="n">
        <v>52400232</v>
      </c>
      <c r="AD570" t="n">
        <v>101015064</v>
      </c>
      <c r="AE570" t="n">
        <v>34.16</v>
      </c>
    </row>
    <row r="571">
      <c r="A571" t="inlineStr">
        <is>
          <t>5 - PERSONERÍA</t>
        </is>
      </c>
      <c r="B571" t="inlineStr">
        <is>
          <t>00 - SIN SECTOR</t>
        </is>
      </c>
      <c r="C571" t="inlineStr">
        <is>
          <t>00</t>
        </is>
      </c>
      <c r="D571" t="inlineStr">
        <is>
          <t>0000</t>
        </is>
      </c>
      <c r="E571" t="inlineStr">
        <is>
          <t>000000</t>
        </is>
      </c>
      <c r="F571" t="inlineStr">
        <is>
          <t>SIN PRODUCTO</t>
        </is>
      </c>
      <c r="G571" t="inlineStr">
        <is>
          <t>00</t>
        </is>
      </c>
      <c r="H571" t="inlineStr">
        <is>
          <t>00</t>
        </is>
      </c>
      <c r="I571" t="inlineStr">
        <is>
          <t>00</t>
        </is>
      </c>
      <c r="J571" t="inlineStr">
        <is>
          <t>SIN PRODUCTO DANE</t>
        </is>
      </c>
      <c r="K571" t="inlineStr">
        <is>
          <t>00</t>
        </is>
      </c>
      <c r="L571" t="inlineStr">
        <is>
          <t>SIN ATRIBUTO</t>
        </is>
      </c>
      <c r="N571" t="inlineStr">
        <is>
          <t>2.1.1.01.01.001.01</t>
        </is>
      </c>
      <c r="O571" t="inlineStr">
        <is>
          <t>Sueldo basico</t>
        </is>
      </c>
      <c r="P571" t="inlineStr">
        <is>
          <t>100</t>
        </is>
      </c>
      <c r="Q571" t="inlineStr">
        <is>
          <t>INGRESOS CORRIENTES DE LIBRE DESTINACION EXCEPTO EL 42% DE LIBRE DESTINACIÓN DE PROPOSITO GENERAL DE MPIOS DE CATEGORIA</t>
        </is>
      </c>
      <c r="R571" t="n">
        <v>119980246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119980246</v>
      </c>
      <c r="Z571" t="n">
        <v>43981597</v>
      </c>
      <c r="AA571" t="n">
        <v>43981597</v>
      </c>
      <c r="AB571" t="n">
        <v>43981597</v>
      </c>
      <c r="AC571" t="n">
        <v>43981597</v>
      </c>
      <c r="AD571" t="n">
        <v>75998649</v>
      </c>
      <c r="AE571" t="n">
        <v>36.66</v>
      </c>
    </row>
    <row r="572">
      <c r="A572" t="inlineStr">
        <is>
          <t>5 - PERSONERÍA</t>
        </is>
      </c>
      <c r="B572" t="inlineStr">
        <is>
          <t>00 - SIN SECTOR</t>
        </is>
      </c>
      <c r="C572" t="inlineStr">
        <is>
          <t>00</t>
        </is>
      </c>
      <c r="D572" t="inlineStr">
        <is>
          <t>0000</t>
        </is>
      </c>
      <c r="E572" t="inlineStr">
        <is>
          <t>000000</t>
        </is>
      </c>
      <c r="F572" t="inlineStr">
        <is>
          <t>SIN PRODUCTO</t>
        </is>
      </c>
      <c r="G572" t="inlineStr">
        <is>
          <t>00</t>
        </is>
      </c>
      <c r="H572" t="inlineStr">
        <is>
          <t>00</t>
        </is>
      </c>
      <c r="I572" t="inlineStr">
        <is>
          <t>00</t>
        </is>
      </c>
      <c r="J572" t="inlineStr">
        <is>
          <t>SIN PRODUCTO DANE</t>
        </is>
      </c>
      <c r="K572" t="inlineStr">
        <is>
          <t>00</t>
        </is>
      </c>
      <c r="L572" t="inlineStr">
        <is>
          <t>SIN ATRIBUTO</t>
        </is>
      </c>
      <c r="N572" t="inlineStr">
        <is>
          <t>2.1.1.01.01.001.04</t>
        </is>
      </c>
      <c r="O572" t="inlineStr">
        <is>
          <t>Subsidio de alimentacion</t>
        </is>
      </c>
      <c r="P572" t="inlineStr">
        <is>
          <t>100</t>
        </is>
      </c>
      <c r="Q572" t="inlineStr">
        <is>
          <t>INGRESOS CORRIENTES DE LIBRE DESTINACION EXCEPTO EL 42% DE LIBRE DESTINACIÓN DE PROPOSITO GENERAL DE MPIOS DE CATEGORIA</t>
        </is>
      </c>
      <c r="R572" t="n">
        <v>1266900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1266900</v>
      </c>
      <c r="Z572" t="n">
        <v>431999</v>
      </c>
      <c r="AA572" t="n">
        <v>431999</v>
      </c>
      <c r="AB572" t="n">
        <v>431999</v>
      </c>
      <c r="AC572" t="n">
        <v>431999</v>
      </c>
      <c r="AD572" t="n">
        <v>834901</v>
      </c>
      <c r="AE572" t="n">
        <v>34.1</v>
      </c>
    </row>
    <row r="573">
      <c r="A573" t="inlineStr">
        <is>
          <t>5 - PERSONERÍA</t>
        </is>
      </c>
      <c r="B573" t="inlineStr">
        <is>
          <t>00 - SIN SECTOR</t>
        </is>
      </c>
      <c r="C573" t="inlineStr">
        <is>
          <t>00</t>
        </is>
      </c>
      <c r="D573" t="inlineStr">
        <is>
          <t>0000</t>
        </is>
      </c>
      <c r="E573" t="inlineStr">
        <is>
          <t>000000</t>
        </is>
      </c>
      <c r="F573" t="inlineStr">
        <is>
          <t>SIN PRODUCTO</t>
        </is>
      </c>
      <c r="G573" t="inlineStr">
        <is>
          <t>00</t>
        </is>
      </c>
      <c r="H573" t="inlineStr">
        <is>
          <t>00</t>
        </is>
      </c>
      <c r="I573" t="inlineStr">
        <is>
          <t>00</t>
        </is>
      </c>
      <c r="J573" t="inlineStr">
        <is>
          <t>SIN PRODUCTO DANE</t>
        </is>
      </c>
      <c r="K573" t="inlineStr">
        <is>
          <t>00</t>
        </is>
      </c>
      <c r="L573" t="inlineStr">
        <is>
          <t>SIN ATRIBUTO</t>
        </is>
      </c>
      <c r="N573" t="inlineStr">
        <is>
          <t>2.1.1.01.01.001.05</t>
        </is>
      </c>
      <c r="O573" t="inlineStr">
        <is>
          <t>Auxilio de transporte</t>
        </is>
      </c>
      <c r="P573" t="inlineStr">
        <is>
          <t>100</t>
        </is>
      </c>
      <c r="Q573" t="inlineStr">
        <is>
          <t>INGRESOS CORRIENTES DE LIBRE DESTINACION EXCEPTO EL 42% DE LIBRE DESTINACIÓN DE PROPOSITO GENERAL DE MPIOS DE CATEGORIA</t>
        </is>
      </c>
      <c r="R573" t="n">
        <v>2395008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2395008</v>
      </c>
      <c r="Z573" t="n">
        <v>1087715</v>
      </c>
      <c r="AA573" t="n">
        <v>1087715</v>
      </c>
      <c r="AB573" t="n">
        <v>1087715</v>
      </c>
      <c r="AC573" t="n">
        <v>1087715</v>
      </c>
      <c r="AD573" t="n">
        <v>1307293</v>
      </c>
      <c r="AE573" t="n">
        <v>45.42</v>
      </c>
    </row>
    <row r="574">
      <c r="A574" t="inlineStr">
        <is>
          <t>5 - PERSONERÍA</t>
        </is>
      </c>
      <c r="B574" t="inlineStr">
        <is>
          <t>00 - SIN SECTOR</t>
        </is>
      </c>
      <c r="C574" t="inlineStr">
        <is>
          <t>00</t>
        </is>
      </c>
      <c r="D574" t="inlineStr">
        <is>
          <t>0000</t>
        </is>
      </c>
      <c r="E574" t="inlineStr">
        <is>
          <t>000000</t>
        </is>
      </c>
      <c r="F574" t="inlineStr">
        <is>
          <t>SIN PRODUCTO</t>
        </is>
      </c>
      <c r="G574" t="inlineStr">
        <is>
          <t>00</t>
        </is>
      </c>
      <c r="H574" t="inlineStr">
        <is>
          <t>00</t>
        </is>
      </c>
      <c r="I574" t="inlineStr">
        <is>
          <t>00</t>
        </is>
      </c>
      <c r="J574" t="inlineStr">
        <is>
          <t>SIN PRODUCTO DANE</t>
        </is>
      </c>
      <c r="K574" t="inlineStr">
        <is>
          <t>00</t>
        </is>
      </c>
      <c r="L574" t="inlineStr">
        <is>
          <t>SIN ATRIBUTO</t>
        </is>
      </c>
      <c r="N574" t="inlineStr">
        <is>
          <t>2.1.1.01.01.001.06</t>
        </is>
      </c>
      <c r="O574" t="inlineStr">
        <is>
          <t>Prima de servicio</t>
        </is>
      </c>
      <c r="P574" t="inlineStr">
        <is>
          <t>100</t>
        </is>
      </c>
      <c r="Q574" t="inlineStr">
        <is>
          <t>INGRESOS CORRIENTES DE LIBRE DESTINACION EXCEPTO EL 42% DE LIBRE DESTINACIÓN DE PROPOSITO GENERAL DE MPIOS DE CATEGORIA</t>
        </is>
      </c>
      <c r="R574" t="n">
        <v>5265954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5265954</v>
      </c>
      <c r="Z574" t="n">
        <v>0</v>
      </c>
      <c r="AA574" t="n">
        <v>0</v>
      </c>
      <c r="AB574" t="n">
        <v>0</v>
      </c>
      <c r="AC574" t="n">
        <v>0</v>
      </c>
      <c r="AD574" t="n">
        <v>5265954</v>
      </c>
      <c r="AE574" t="n">
        <v>0</v>
      </c>
    </row>
    <row r="575">
      <c r="A575" t="inlineStr">
        <is>
          <t>5 - PERSONERÍA</t>
        </is>
      </c>
      <c r="B575" t="inlineStr">
        <is>
          <t>00 - SIN SECTOR</t>
        </is>
      </c>
      <c r="C575" t="inlineStr">
        <is>
          <t>00</t>
        </is>
      </c>
      <c r="D575" t="inlineStr">
        <is>
          <t>0000</t>
        </is>
      </c>
      <c r="E575" t="inlineStr">
        <is>
          <t>000000</t>
        </is>
      </c>
      <c r="F575" t="inlineStr">
        <is>
          <t>SIN PRODUCTO</t>
        </is>
      </c>
      <c r="G575" t="inlineStr">
        <is>
          <t>00</t>
        </is>
      </c>
      <c r="H575" t="inlineStr">
        <is>
          <t>00</t>
        </is>
      </c>
      <c r="I575" t="inlineStr">
        <is>
          <t>00</t>
        </is>
      </c>
      <c r="J575" t="inlineStr">
        <is>
          <t>SIN PRODUCTO DANE</t>
        </is>
      </c>
      <c r="K575" t="inlineStr">
        <is>
          <t>00</t>
        </is>
      </c>
      <c r="L575" t="inlineStr">
        <is>
          <t>SIN ATRIBUTO</t>
        </is>
      </c>
      <c r="N575" t="inlineStr">
        <is>
          <t>2.1.1.01.01.001.07</t>
        </is>
      </c>
      <c r="O575" t="inlineStr">
        <is>
          <t>Bonificacion por servicios prestados</t>
        </is>
      </c>
      <c r="P575" t="inlineStr">
        <is>
          <t>100</t>
        </is>
      </c>
      <c r="Q575" t="inlineStr">
        <is>
          <t>INGRESOS CORRIENTES DE LIBRE DESTINACION EXCEPTO EL 42% DE LIBRE DESTINACIÓN DE PROPOSITO GENERAL DE MPIOS DE CATEGORIA</t>
        </is>
      </c>
      <c r="R575" t="n">
        <v>5265954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5265954</v>
      </c>
      <c r="Z575" t="n">
        <v>3616778</v>
      </c>
      <c r="AA575" t="n">
        <v>3616778</v>
      </c>
      <c r="AB575" t="n">
        <v>3616778</v>
      </c>
      <c r="AC575" t="n">
        <v>3616778</v>
      </c>
      <c r="AD575" t="n">
        <v>1649176</v>
      </c>
      <c r="AE575" t="n">
        <v>68.68000000000001</v>
      </c>
    </row>
    <row r="576">
      <c r="A576" t="inlineStr">
        <is>
          <t>5 - PERSONERÍA</t>
        </is>
      </c>
      <c r="B576" t="inlineStr">
        <is>
          <t>00 - SIN SECTOR</t>
        </is>
      </c>
      <c r="C576" t="inlineStr">
        <is>
          <t>00</t>
        </is>
      </c>
      <c r="D576" t="inlineStr">
        <is>
          <t>0000</t>
        </is>
      </c>
      <c r="E576" t="inlineStr">
        <is>
          <t>000000</t>
        </is>
      </c>
      <c r="F576" t="inlineStr">
        <is>
          <t>SIN PRODUCTO</t>
        </is>
      </c>
      <c r="G576" t="inlineStr">
        <is>
          <t>00</t>
        </is>
      </c>
      <c r="H576" t="inlineStr">
        <is>
          <t>00</t>
        </is>
      </c>
      <c r="I576" t="inlineStr">
        <is>
          <t>00</t>
        </is>
      </c>
      <c r="J576" t="inlineStr">
        <is>
          <t>SIN PRODUCTO DANE</t>
        </is>
      </c>
      <c r="K576" t="inlineStr">
        <is>
          <t>00</t>
        </is>
      </c>
      <c r="L576" t="inlineStr">
        <is>
          <t>SIN ATRIBUTO</t>
        </is>
      </c>
      <c r="N576" t="inlineStr">
        <is>
          <t>2.1.1.01.01.001.08</t>
        </is>
      </c>
      <c r="O576" t="inlineStr">
        <is>
          <t>Prestaciones sociales</t>
        </is>
      </c>
      <c r="P576" t="inlineStr">
        <is>
          <t>00</t>
        </is>
      </c>
      <c r="Q576" t="inlineStr">
        <is>
          <t>RECURSOS</t>
        </is>
      </c>
      <c r="R576" t="n">
        <v>19241234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19241234</v>
      </c>
      <c r="Z576" t="n">
        <v>3282143</v>
      </c>
      <c r="AA576" t="n">
        <v>3282143</v>
      </c>
      <c r="AB576" t="n">
        <v>3282143</v>
      </c>
      <c r="AC576" t="n">
        <v>3282143</v>
      </c>
      <c r="AD576" t="n">
        <v>15959091</v>
      </c>
      <c r="AE576" t="n">
        <v>17.06</v>
      </c>
    </row>
    <row r="577">
      <c r="A577" t="inlineStr">
        <is>
          <t>5 - PERSONERÍA</t>
        </is>
      </c>
      <c r="B577" t="inlineStr">
        <is>
          <t>00 - SIN SECTOR</t>
        </is>
      </c>
      <c r="C577" t="inlineStr">
        <is>
          <t>00</t>
        </is>
      </c>
      <c r="D577" t="inlineStr">
        <is>
          <t>0000</t>
        </is>
      </c>
      <c r="E577" t="inlineStr">
        <is>
          <t>000000</t>
        </is>
      </c>
      <c r="F577" t="inlineStr">
        <is>
          <t>SIN PRODUCTO</t>
        </is>
      </c>
      <c r="G577" t="inlineStr">
        <is>
          <t>00</t>
        </is>
      </c>
      <c r="H577" t="inlineStr">
        <is>
          <t>00</t>
        </is>
      </c>
      <c r="I577" t="inlineStr">
        <is>
          <t>00</t>
        </is>
      </c>
      <c r="J577" t="inlineStr">
        <is>
          <t>SIN PRODUCTO DANE</t>
        </is>
      </c>
      <c r="K577" t="inlineStr">
        <is>
          <t>00</t>
        </is>
      </c>
      <c r="L577" t="inlineStr">
        <is>
          <t>SIN ATRIBUTO</t>
        </is>
      </c>
      <c r="N577" t="inlineStr">
        <is>
          <t>2.1.1.01.01.001.08.01</t>
        </is>
      </c>
      <c r="O577" t="inlineStr">
        <is>
          <t>Prima de navidad</t>
        </is>
      </c>
      <c r="P577" t="inlineStr">
        <is>
          <t>100</t>
        </is>
      </c>
      <c r="Q577" t="inlineStr">
        <is>
          <t>INGRESOS CORRIENTES DE LIBRE DESTINACION EXCEPTO EL 42% DE LIBRE DESTINACIÓN DE PROPOSITO GENERAL DE MPIOS DE CATEGORIA</t>
        </is>
      </c>
      <c r="R577" t="n">
        <v>11257170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11257170</v>
      </c>
      <c r="Z577" t="n">
        <v>0</v>
      </c>
      <c r="AA577" t="n">
        <v>0</v>
      </c>
      <c r="AB577" t="n">
        <v>0</v>
      </c>
      <c r="AC577" t="n">
        <v>0</v>
      </c>
      <c r="AD577" t="n">
        <v>11257170</v>
      </c>
      <c r="AE577" t="n">
        <v>0</v>
      </c>
    </row>
    <row r="578">
      <c r="A578" t="inlineStr">
        <is>
          <t>5 - PERSONERÍA</t>
        </is>
      </c>
      <c r="B578" t="inlineStr">
        <is>
          <t>00 - SIN SECTOR</t>
        </is>
      </c>
      <c r="C578" t="inlineStr">
        <is>
          <t>00</t>
        </is>
      </c>
      <c r="D578" t="inlineStr">
        <is>
          <t>0000</t>
        </is>
      </c>
      <c r="E578" t="inlineStr">
        <is>
          <t>000000</t>
        </is>
      </c>
      <c r="F578" t="inlineStr">
        <is>
          <t>SIN PRODUCTO</t>
        </is>
      </c>
      <c r="G578" t="inlineStr">
        <is>
          <t>00</t>
        </is>
      </c>
      <c r="H578" t="inlineStr">
        <is>
          <t>00</t>
        </is>
      </c>
      <c r="I578" t="inlineStr">
        <is>
          <t>00</t>
        </is>
      </c>
      <c r="J578" t="inlineStr">
        <is>
          <t>SIN PRODUCTO DANE</t>
        </is>
      </c>
      <c r="K578" t="inlineStr">
        <is>
          <t>00</t>
        </is>
      </c>
      <c r="L578" t="inlineStr">
        <is>
          <t>SIN ATRIBUTO</t>
        </is>
      </c>
      <c r="N578" t="inlineStr">
        <is>
          <t>2.1.1.01.01.001.08.02</t>
        </is>
      </c>
      <c r="O578" t="inlineStr">
        <is>
          <t>Prima de vacaciones</t>
        </is>
      </c>
      <c r="P578" t="inlineStr">
        <is>
          <t>100</t>
        </is>
      </c>
      <c r="Q578" t="inlineStr">
        <is>
          <t>INGRESOS CORRIENTES DE LIBRE DESTINACION EXCEPTO EL 42% DE LIBRE DESTINACIÓN DE PROPOSITO GENERAL DE MPIOS DE CATEGORIA</t>
        </is>
      </c>
      <c r="R578" t="n">
        <v>7984064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7984064</v>
      </c>
      <c r="Z578" t="n">
        <v>3282143</v>
      </c>
      <c r="AA578" t="n">
        <v>3282143</v>
      </c>
      <c r="AB578" t="n">
        <v>3282143</v>
      </c>
      <c r="AC578" t="n">
        <v>3282143</v>
      </c>
      <c r="AD578" t="n">
        <v>4701921</v>
      </c>
      <c r="AE578" t="n">
        <v>41.11</v>
      </c>
    </row>
    <row r="579">
      <c r="A579" t="inlineStr">
        <is>
          <t>5 - PERSONERÍA</t>
        </is>
      </c>
      <c r="B579" t="inlineStr">
        <is>
          <t>00 - SIN SECTOR</t>
        </is>
      </c>
      <c r="C579" t="inlineStr">
        <is>
          <t>00</t>
        </is>
      </c>
      <c r="D579" t="inlineStr">
        <is>
          <t>0000</t>
        </is>
      </c>
      <c r="E579" t="inlineStr">
        <is>
          <t>000000</t>
        </is>
      </c>
      <c r="F579" t="inlineStr">
        <is>
          <t>SIN PRODUCTO</t>
        </is>
      </c>
      <c r="G579" t="inlineStr">
        <is>
          <t>00</t>
        </is>
      </c>
      <c r="H579" t="inlineStr">
        <is>
          <t>00</t>
        </is>
      </c>
      <c r="I579" t="inlineStr">
        <is>
          <t>00</t>
        </is>
      </c>
      <c r="J579" t="inlineStr">
        <is>
          <t>SIN PRODUCTO DANE</t>
        </is>
      </c>
      <c r="K579" t="inlineStr">
        <is>
          <t>00</t>
        </is>
      </c>
      <c r="L579" t="inlineStr">
        <is>
          <t>SIN ATRIBUTO</t>
        </is>
      </c>
      <c r="N579" t="inlineStr">
        <is>
          <t>2.1.1.01.02</t>
        </is>
      </c>
      <c r="O579" t="inlineStr">
        <is>
          <t>Contribuciones inherentes a la nomina</t>
        </is>
      </c>
      <c r="P579" t="inlineStr">
        <is>
          <t>00</t>
        </is>
      </c>
      <c r="Q579" t="inlineStr">
        <is>
          <t>RECURSOS</t>
        </is>
      </c>
      <c r="R579" t="n">
        <v>58886218</v>
      </c>
      <c r="S579" t="n">
        <v>0</v>
      </c>
      <c r="T579" t="n">
        <v>0</v>
      </c>
      <c r="U579" t="n">
        <v>0</v>
      </c>
      <c r="V579" t="n">
        <v>1048985</v>
      </c>
      <c r="W579" t="n">
        <v>0</v>
      </c>
      <c r="X579" t="n">
        <v>0</v>
      </c>
      <c r="Y579" t="n">
        <v>57837233</v>
      </c>
      <c r="Z579" t="n">
        <v>27396959</v>
      </c>
      <c r="AA579" t="n">
        <v>27396959</v>
      </c>
      <c r="AB579" t="n">
        <v>27396959</v>
      </c>
      <c r="AC579" t="n">
        <v>27396959</v>
      </c>
      <c r="AD579" t="n">
        <v>30440274</v>
      </c>
      <c r="AE579" t="n">
        <v>47.37</v>
      </c>
    </row>
    <row r="580">
      <c r="A580" t="inlineStr">
        <is>
          <t>5 - PERSONERÍA</t>
        </is>
      </c>
      <c r="B580" t="inlineStr">
        <is>
          <t>00 - SIN SECTOR</t>
        </is>
      </c>
      <c r="C580" t="inlineStr">
        <is>
          <t>00</t>
        </is>
      </c>
      <c r="D580" t="inlineStr">
        <is>
          <t>0000</t>
        </is>
      </c>
      <c r="E580" t="inlineStr">
        <is>
          <t>000000</t>
        </is>
      </c>
      <c r="F580" t="inlineStr">
        <is>
          <t>SIN PRODUCTO</t>
        </is>
      </c>
      <c r="G580" t="inlineStr">
        <is>
          <t>00</t>
        </is>
      </c>
      <c r="H580" t="inlineStr">
        <is>
          <t>00</t>
        </is>
      </c>
      <c r="I580" t="inlineStr">
        <is>
          <t>00</t>
        </is>
      </c>
      <c r="J580" t="inlineStr">
        <is>
          <t>SIN PRODUCTO DANE</t>
        </is>
      </c>
      <c r="K580" t="inlineStr">
        <is>
          <t>00</t>
        </is>
      </c>
      <c r="L580" t="inlineStr">
        <is>
          <t>SIN ATRIBUTO</t>
        </is>
      </c>
      <c r="N580" t="inlineStr">
        <is>
          <t>2.1.1.01.02.001</t>
        </is>
      </c>
      <c r="O580" t="inlineStr">
        <is>
          <t>Aportes a la seguridad social en pensiones</t>
        </is>
      </c>
      <c r="P580" t="inlineStr">
        <is>
          <t>100</t>
        </is>
      </c>
      <c r="Q580" t="inlineStr">
        <is>
          <t>INGRESOS CORRIENTES DE LIBRE DESTINACION EXCEPTO EL 42% DE LIBRE DESTINACIÓN DE PROPOSITO GENERAL DE MPIOS DE CATEGORIA</t>
        </is>
      </c>
      <c r="R580" t="n">
        <v>17120026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17120026</v>
      </c>
      <c r="Z580" t="n">
        <v>5957600</v>
      </c>
      <c r="AA580" t="n">
        <v>5957600</v>
      </c>
      <c r="AB580" t="n">
        <v>5957600</v>
      </c>
      <c r="AC580" t="n">
        <v>5957600</v>
      </c>
      <c r="AD580" t="n">
        <v>11162426</v>
      </c>
      <c r="AE580" t="n">
        <v>34.8</v>
      </c>
    </row>
    <row r="581">
      <c r="A581" t="inlineStr">
        <is>
          <t>5 - PERSONERÍA</t>
        </is>
      </c>
      <c r="B581" t="inlineStr">
        <is>
          <t>00 - SIN SECTOR</t>
        </is>
      </c>
      <c r="C581" t="inlineStr">
        <is>
          <t>00</t>
        </is>
      </c>
      <c r="D581" t="inlineStr">
        <is>
          <t>0000</t>
        </is>
      </c>
      <c r="E581" t="inlineStr">
        <is>
          <t>000000</t>
        </is>
      </c>
      <c r="F581" t="inlineStr">
        <is>
          <t>SIN PRODUCTO</t>
        </is>
      </c>
      <c r="G581" t="inlineStr">
        <is>
          <t>00</t>
        </is>
      </c>
      <c r="H581" t="inlineStr">
        <is>
          <t>00</t>
        </is>
      </c>
      <c r="I581" t="inlineStr">
        <is>
          <t>00</t>
        </is>
      </c>
      <c r="J581" t="inlineStr">
        <is>
          <t>SIN PRODUCTO DANE</t>
        </is>
      </c>
      <c r="K581" t="inlineStr">
        <is>
          <t>00</t>
        </is>
      </c>
      <c r="L581" t="inlineStr">
        <is>
          <t>SIN ATRIBUTO</t>
        </is>
      </c>
      <c r="N581" t="inlineStr">
        <is>
          <t>2.1.1.01.02.002</t>
        </is>
      </c>
      <c r="O581" t="inlineStr">
        <is>
          <t>Aportes a la seguridad social en salud</t>
        </is>
      </c>
      <c r="P581" t="inlineStr">
        <is>
          <t>100</t>
        </is>
      </c>
      <c r="Q581" t="inlineStr">
        <is>
          <t>INGRESOS CORRIENTES DE LIBRE DESTINACION EXCEPTO EL 42% DE LIBRE DESTINACIÓN DE PROPOSITO GENERAL DE MPIOS DE CATEGORIA</t>
        </is>
      </c>
      <c r="R581" t="n">
        <v>12207955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12207955</v>
      </c>
      <c r="Z581" t="n">
        <v>4219400</v>
      </c>
      <c r="AA581" t="n">
        <v>4219400</v>
      </c>
      <c r="AB581" t="n">
        <v>4219400</v>
      </c>
      <c r="AC581" t="n">
        <v>4219400</v>
      </c>
      <c r="AD581" t="n">
        <v>7988555</v>
      </c>
      <c r="AE581" t="n">
        <v>34.56</v>
      </c>
    </row>
    <row r="582">
      <c r="A582" t="inlineStr">
        <is>
          <t>5 - PERSONERÍA</t>
        </is>
      </c>
      <c r="B582" t="inlineStr">
        <is>
          <t>00 - SIN SECTOR</t>
        </is>
      </c>
      <c r="C582" t="inlineStr">
        <is>
          <t>00</t>
        </is>
      </c>
      <c r="D582" t="inlineStr">
        <is>
          <t>0000</t>
        </is>
      </c>
      <c r="E582" t="inlineStr">
        <is>
          <t>000000</t>
        </is>
      </c>
      <c r="F582" t="inlineStr">
        <is>
          <t>SIN PRODUCTO</t>
        </is>
      </c>
      <c r="G582" t="inlineStr">
        <is>
          <t>00</t>
        </is>
      </c>
      <c r="H582" t="inlineStr">
        <is>
          <t>00</t>
        </is>
      </c>
      <c r="I582" t="inlineStr">
        <is>
          <t>00</t>
        </is>
      </c>
      <c r="J582" t="inlineStr">
        <is>
          <t>SIN PRODUCTO DANE</t>
        </is>
      </c>
      <c r="K582" t="inlineStr">
        <is>
          <t>00</t>
        </is>
      </c>
      <c r="L582" t="inlineStr">
        <is>
          <t>SIN ATRIBUTO</t>
        </is>
      </c>
      <c r="N582" t="inlineStr">
        <is>
          <t>2.1.1.01.02.003</t>
        </is>
      </c>
      <c r="O582" t="inlineStr">
        <is>
          <t xml:space="preserve">Aportes de cesantias </t>
        </is>
      </c>
      <c r="P582" t="inlineStr">
        <is>
          <t>00</t>
        </is>
      </c>
      <c r="Q582" t="inlineStr">
        <is>
          <t>RECURSOS</t>
        </is>
      </c>
      <c r="R582" t="n">
        <v>15553417</v>
      </c>
      <c r="S582" t="n">
        <v>0</v>
      </c>
      <c r="T582" t="n">
        <v>0</v>
      </c>
      <c r="U582" t="n">
        <v>0</v>
      </c>
      <c r="V582" t="n">
        <v>1048985</v>
      </c>
      <c r="W582" t="n">
        <v>0</v>
      </c>
      <c r="X582" t="n">
        <v>0</v>
      </c>
      <c r="Y582" t="n">
        <v>14504432</v>
      </c>
      <c r="Z582" t="n">
        <v>11467959</v>
      </c>
      <c r="AA582" t="n">
        <v>11467959</v>
      </c>
      <c r="AB582" t="n">
        <v>11467959</v>
      </c>
      <c r="AC582" t="n">
        <v>11467959</v>
      </c>
      <c r="AD582" t="n">
        <v>3036473</v>
      </c>
      <c r="AE582" t="n">
        <v>79.06999999999999</v>
      </c>
    </row>
    <row r="583">
      <c r="A583" t="inlineStr">
        <is>
          <t>5 - PERSONERÍA</t>
        </is>
      </c>
      <c r="B583" t="inlineStr">
        <is>
          <t>00 - SIN SECTOR</t>
        </is>
      </c>
      <c r="C583" t="inlineStr">
        <is>
          <t>00</t>
        </is>
      </c>
      <c r="D583" t="inlineStr">
        <is>
          <t>0000</t>
        </is>
      </c>
      <c r="E583" t="inlineStr">
        <is>
          <t>000000</t>
        </is>
      </c>
      <c r="F583" t="inlineStr">
        <is>
          <t>SIN PRODUCTO</t>
        </is>
      </c>
      <c r="G583" t="inlineStr">
        <is>
          <t>00</t>
        </is>
      </c>
      <c r="H583" t="inlineStr">
        <is>
          <t>00</t>
        </is>
      </c>
      <c r="I583" t="inlineStr">
        <is>
          <t>00</t>
        </is>
      </c>
      <c r="J583" t="inlineStr">
        <is>
          <t>SIN PRODUCTO DANE</t>
        </is>
      </c>
      <c r="K583" t="inlineStr">
        <is>
          <t>00</t>
        </is>
      </c>
      <c r="L583" t="inlineStr">
        <is>
          <t>SIN ATRIBUTO</t>
        </is>
      </c>
      <c r="N583" t="inlineStr">
        <is>
          <t>2.1.1.01.02.003.01</t>
        </is>
      </c>
      <c r="O583" t="inlineStr">
        <is>
          <t xml:space="preserve">Aportes de cesantias </t>
        </is>
      </c>
      <c r="P583" t="inlineStr">
        <is>
          <t>100</t>
        </is>
      </c>
      <c r="Q583" t="inlineStr">
        <is>
          <t>INGRESOS CORRIENTES DE LIBRE DESTINACION EXCEPTO EL 42% DE LIBRE DESTINACIÓN DE PROPOSITO GENERAL DE MPIOS DE CATEGORIA</t>
        </is>
      </c>
      <c r="R583" t="n">
        <v>13981716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13981716</v>
      </c>
      <c r="Z583" t="n">
        <v>11467959</v>
      </c>
      <c r="AA583" t="n">
        <v>11467959</v>
      </c>
      <c r="AB583" t="n">
        <v>11467959</v>
      </c>
      <c r="AC583" t="n">
        <v>11467959</v>
      </c>
      <c r="AD583" t="n">
        <v>2513757</v>
      </c>
      <c r="AE583" t="n">
        <v>82.02</v>
      </c>
    </row>
    <row r="584">
      <c r="A584" t="inlineStr">
        <is>
          <t>5 - PERSONERÍA</t>
        </is>
      </c>
      <c r="B584" t="inlineStr">
        <is>
          <t>00 - SIN SECTOR</t>
        </is>
      </c>
      <c r="C584" t="inlineStr">
        <is>
          <t>00</t>
        </is>
      </c>
      <c r="D584" t="inlineStr">
        <is>
          <t>0000</t>
        </is>
      </c>
      <c r="E584" t="inlineStr">
        <is>
          <t>000000</t>
        </is>
      </c>
      <c r="F584" t="inlineStr">
        <is>
          <t>SIN PRODUCTO</t>
        </is>
      </c>
      <c r="G584" t="inlineStr">
        <is>
          <t>00</t>
        </is>
      </c>
      <c r="H584" t="inlineStr">
        <is>
          <t>00</t>
        </is>
      </c>
      <c r="I584" t="inlineStr">
        <is>
          <t>00</t>
        </is>
      </c>
      <c r="J584" t="inlineStr">
        <is>
          <t>SIN PRODUCTO DANE</t>
        </is>
      </c>
      <c r="K584" t="inlineStr">
        <is>
          <t>00</t>
        </is>
      </c>
      <c r="L584" t="inlineStr">
        <is>
          <t>SIN ATRIBUTO</t>
        </is>
      </c>
      <c r="N584" t="inlineStr">
        <is>
          <t>2.1.1.01.02.003.02</t>
        </is>
      </c>
      <c r="O584" t="inlineStr">
        <is>
          <t>Aportes de cesantias - Intereses</t>
        </is>
      </c>
      <c r="P584" t="inlineStr">
        <is>
          <t>100</t>
        </is>
      </c>
      <c r="Q584" t="inlineStr">
        <is>
          <t>INGRESOS CORRIENTES DE LIBRE DESTINACION EXCEPTO EL 42% DE LIBRE DESTINACIÓN DE PROPOSITO GENERAL DE MPIOS DE CATEGORIA</t>
        </is>
      </c>
      <c r="R584" t="n">
        <v>1571701</v>
      </c>
      <c r="S584" t="n">
        <v>0</v>
      </c>
      <c r="T584" t="n">
        <v>0</v>
      </c>
      <c r="U584" t="n">
        <v>0</v>
      </c>
      <c r="V584" t="n">
        <v>1048985</v>
      </c>
      <c r="W584" t="n">
        <v>0</v>
      </c>
      <c r="X584" t="n">
        <v>0</v>
      </c>
      <c r="Y584" t="n">
        <v>522716</v>
      </c>
      <c r="Z584" t="n">
        <v>0</v>
      </c>
      <c r="AA584" t="n">
        <v>0</v>
      </c>
      <c r="AB584" t="n">
        <v>0</v>
      </c>
      <c r="AC584" t="n">
        <v>0</v>
      </c>
      <c r="AD584" t="n">
        <v>522716</v>
      </c>
      <c r="AE584" t="n">
        <v>0</v>
      </c>
    </row>
    <row r="585">
      <c r="A585" t="inlineStr">
        <is>
          <t>5 - PERSONERÍA</t>
        </is>
      </c>
      <c r="B585" t="inlineStr">
        <is>
          <t>00 - SIN SECTOR</t>
        </is>
      </c>
      <c r="C585" t="inlineStr">
        <is>
          <t>00</t>
        </is>
      </c>
      <c r="D585" t="inlineStr">
        <is>
          <t>0000</t>
        </is>
      </c>
      <c r="E585" t="inlineStr">
        <is>
          <t>000000</t>
        </is>
      </c>
      <c r="F585" t="inlineStr">
        <is>
          <t>SIN PRODUCTO</t>
        </is>
      </c>
      <c r="G585" t="inlineStr">
        <is>
          <t>00</t>
        </is>
      </c>
      <c r="H585" t="inlineStr">
        <is>
          <t>00</t>
        </is>
      </c>
      <c r="I585" t="inlineStr">
        <is>
          <t>00</t>
        </is>
      </c>
      <c r="J585" t="inlineStr">
        <is>
          <t>SIN PRODUCTO DANE</t>
        </is>
      </c>
      <c r="K585" t="inlineStr">
        <is>
          <t>00</t>
        </is>
      </c>
      <c r="L585" t="inlineStr">
        <is>
          <t>SIN ATRIBUTO</t>
        </is>
      </c>
      <c r="N585" t="inlineStr">
        <is>
          <t>2.1.1.01.02.004</t>
        </is>
      </c>
      <c r="O585" t="inlineStr">
        <is>
          <t>Aportes a cajas de compensacion familiar</t>
        </is>
      </c>
      <c r="P585" t="inlineStr">
        <is>
          <t>100</t>
        </is>
      </c>
      <c r="Q585" t="inlineStr">
        <is>
          <t>INGRESOS CORRIENTES DE LIBRE DESTINACION EXCEPTO EL 42% DE LIBRE DESTINACIÓN DE PROPOSITO GENERAL DE MPIOS DE CATEGORIA</t>
        </is>
      </c>
      <c r="R585" t="n">
        <v>5795310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5795310</v>
      </c>
      <c r="Z585" t="n">
        <v>2444800</v>
      </c>
      <c r="AA585" t="n">
        <v>2444800</v>
      </c>
      <c r="AB585" t="n">
        <v>2444800</v>
      </c>
      <c r="AC585" t="n">
        <v>2444800</v>
      </c>
      <c r="AD585" t="n">
        <v>3350510</v>
      </c>
      <c r="AE585" t="n">
        <v>42.19</v>
      </c>
    </row>
    <row r="586">
      <c r="A586" t="inlineStr">
        <is>
          <t>5 - PERSONERÍA</t>
        </is>
      </c>
      <c r="B586" t="inlineStr">
        <is>
          <t>00 - SIN SECTOR</t>
        </is>
      </c>
      <c r="C586" t="inlineStr">
        <is>
          <t>00</t>
        </is>
      </c>
      <c r="D586" t="inlineStr">
        <is>
          <t>0000</t>
        </is>
      </c>
      <c r="E586" t="inlineStr">
        <is>
          <t>000000</t>
        </is>
      </c>
      <c r="F586" t="inlineStr">
        <is>
          <t>SIN PRODUCTO</t>
        </is>
      </c>
      <c r="G586" t="inlineStr">
        <is>
          <t>00</t>
        </is>
      </c>
      <c r="H586" t="inlineStr">
        <is>
          <t>00</t>
        </is>
      </c>
      <c r="I586" t="inlineStr">
        <is>
          <t>00</t>
        </is>
      </c>
      <c r="J586" t="inlineStr">
        <is>
          <t>SIN PRODUCTO DANE</t>
        </is>
      </c>
      <c r="K586" t="inlineStr">
        <is>
          <t>00</t>
        </is>
      </c>
      <c r="L586" t="inlineStr">
        <is>
          <t>SIN ATRIBUTO</t>
        </is>
      </c>
      <c r="N586" t="inlineStr">
        <is>
          <t>2.1.1.01.02.005</t>
        </is>
      </c>
      <c r="O586" t="inlineStr">
        <is>
          <t>Aportes generales al sistema de riesgos laborales</t>
        </is>
      </c>
      <c r="P586" t="inlineStr">
        <is>
          <t>100</t>
        </is>
      </c>
      <c r="Q586" t="inlineStr">
        <is>
          <t>INGRESOS CORRIENTES DE LIBRE DESTINACION EXCEPTO EL 42% DE LIBRE DESTINACIÓN DE PROPOSITO GENERAL DE MPIOS DE CATEGORIA</t>
        </is>
      </c>
      <c r="R586" t="n">
        <v>758854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758854</v>
      </c>
      <c r="Z586" t="n">
        <v>250300</v>
      </c>
      <c r="AA586" t="n">
        <v>250300</v>
      </c>
      <c r="AB586" t="n">
        <v>250300</v>
      </c>
      <c r="AC586" t="n">
        <v>250300</v>
      </c>
      <c r="AD586" t="n">
        <v>508554</v>
      </c>
      <c r="AE586" t="n">
        <v>32.98</v>
      </c>
    </row>
    <row r="587">
      <c r="A587" t="inlineStr">
        <is>
          <t>5 - PERSONERÍA</t>
        </is>
      </c>
      <c r="B587" t="inlineStr">
        <is>
          <t>00 - SIN SECTOR</t>
        </is>
      </c>
      <c r="C587" t="inlineStr">
        <is>
          <t>00</t>
        </is>
      </c>
      <c r="D587" t="inlineStr">
        <is>
          <t>0000</t>
        </is>
      </c>
      <c r="E587" t="inlineStr">
        <is>
          <t>000000</t>
        </is>
      </c>
      <c r="F587" t="inlineStr">
        <is>
          <t>SIN PRODUCTO</t>
        </is>
      </c>
      <c r="G587" t="inlineStr">
        <is>
          <t>00</t>
        </is>
      </c>
      <c r="H587" t="inlineStr">
        <is>
          <t>00</t>
        </is>
      </c>
      <c r="I587" t="inlineStr">
        <is>
          <t>00</t>
        </is>
      </c>
      <c r="J587" t="inlineStr">
        <is>
          <t>SIN PRODUCTO DANE</t>
        </is>
      </c>
      <c r="K587" t="inlineStr">
        <is>
          <t>00</t>
        </is>
      </c>
      <c r="L587" t="inlineStr">
        <is>
          <t>SIN ATRIBUTO</t>
        </is>
      </c>
      <c r="N587" t="inlineStr">
        <is>
          <t>2.1.1.01.02.006</t>
        </is>
      </c>
      <c r="O587" t="inlineStr">
        <is>
          <t>Aportes al icbf</t>
        </is>
      </c>
      <c r="P587" t="inlineStr">
        <is>
          <t>100</t>
        </is>
      </c>
      <c r="Q587" t="inlineStr">
        <is>
          <t>INGRESOS CORRIENTES DE LIBRE DESTINACION EXCEPTO EL 42% DE LIBRE DESTINACIÓN DE PROPOSITO GENERAL DE MPIOS DE CATEGORIA</t>
        </is>
      </c>
      <c r="R587" t="n">
        <v>4346909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4346909</v>
      </c>
      <c r="Z587" t="n">
        <v>1833700</v>
      </c>
      <c r="AA587" t="n">
        <v>1833700</v>
      </c>
      <c r="AB587" t="n">
        <v>1833700</v>
      </c>
      <c r="AC587" t="n">
        <v>1833700</v>
      </c>
      <c r="AD587" t="n">
        <v>2513209</v>
      </c>
      <c r="AE587" t="n">
        <v>42.18</v>
      </c>
    </row>
    <row r="588">
      <c r="A588" t="inlineStr">
        <is>
          <t>5 - PERSONERÍA</t>
        </is>
      </c>
      <c r="B588" t="inlineStr">
        <is>
          <t>00 - SIN SECTOR</t>
        </is>
      </c>
      <c r="C588" t="inlineStr">
        <is>
          <t>00</t>
        </is>
      </c>
      <c r="D588" t="inlineStr">
        <is>
          <t>0000</t>
        </is>
      </c>
      <c r="E588" t="inlineStr">
        <is>
          <t>000000</t>
        </is>
      </c>
      <c r="F588" t="inlineStr">
        <is>
          <t>SIN PRODUCTO</t>
        </is>
      </c>
      <c r="G588" t="inlineStr">
        <is>
          <t>00</t>
        </is>
      </c>
      <c r="H588" t="inlineStr">
        <is>
          <t>00</t>
        </is>
      </c>
      <c r="I588" t="inlineStr">
        <is>
          <t>00</t>
        </is>
      </c>
      <c r="J588" t="inlineStr">
        <is>
          <t>SIN PRODUCTO DANE</t>
        </is>
      </c>
      <c r="K588" t="inlineStr">
        <is>
          <t>00</t>
        </is>
      </c>
      <c r="L588" t="inlineStr">
        <is>
          <t>SIN ATRIBUTO</t>
        </is>
      </c>
      <c r="N588" t="inlineStr">
        <is>
          <t>2.1.1.01.02.007</t>
        </is>
      </c>
      <c r="O588" t="inlineStr">
        <is>
          <t>Aportes al sena</t>
        </is>
      </c>
      <c r="P588" t="inlineStr">
        <is>
          <t>100</t>
        </is>
      </c>
      <c r="Q588" t="inlineStr">
        <is>
          <t>INGRESOS CORRIENTES DE LIBRE DESTINACION EXCEPTO EL 42% DE LIBRE DESTINACIÓN DE PROPOSITO GENERAL DE MPIOS DE CATEGORIA</t>
        </is>
      </c>
      <c r="R588" t="n">
        <v>826697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826697</v>
      </c>
      <c r="Z588" t="n">
        <v>305900</v>
      </c>
      <c r="AA588" t="n">
        <v>305900</v>
      </c>
      <c r="AB588" t="n">
        <v>305900</v>
      </c>
      <c r="AC588" t="n">
        <v>305900</v>
      </c>
      <c r="AD588" t="n">
        <v>520797</v>
      </c>
      <c r="AE588" t="n">
        <v>37</v>
      </c>
    </row>
    <row r="589">
      <c r="A589" t="inlineStr">
        <is>
          <t>5 - PERSONERÍA</t>
        </is>
      </c>
      <c r="B589" t="inlineStr">
        <is>
          <t>00 - SIN SECTOR</t>
        </is>
      </c>
      <c r="C589" t="inlineStr">
        <is>
          <t>00</t>
        </is>
      </c>
      <c r="D589" t="inlineStr">
        <is>
          <t>0000</t>
        </is>
      </c>
      <c r="E589" t="inlineStr">
        <is>
          <t>000000</t>
        </is>
      </c>
      <c r="F589" t="inlineStr">
        <is>
          <t>SIN PRODUCTO</t>
        </is>
      </c>
      <c r="G589" t="inlineStr">
        <is>
          <t>00</t>
        </is>
      </c>
      <c r="H589" t="inlineStr">
        <is>
          <t>00</t>
        </is>
      </c>
      <c r="I589" t="inlineStr">
        <is>
          <t>00</t>
        </is>
      </c>
      <c r="J589" t="inlineStr">
        <is>
          <t>SIN PRODUCTO DANE</t>
        </is>
      </c>
      <c r="K589" t="inlineStr">
        <is>
          <t>00</t>
        </is>
      </c>
      <c r="L589" t="inlineStr">
        <is>
          <t>SIN ATRIBUTO</t>
        </is>
      </c>
      <c r="N589" t="inlineStr">
        <is>
          <t>2.1.1.01.02.008</t>
        </is>
      </c>
      <c r="O589" t="inlineStr">
        <is>
          <t>Aportes a la esap</t>
        </is>
      </c>
      <c r="P589" t="inlineStr">
        <is>
          <t>100</t>
        </is>
      </c>
      <c r="Q589" t="inlineStr">
        <is>
          <t>INGRESOS CORRIENTES DE LIBRE DESTINACION EXCEPTO EL 42% DE LIBRE DESTINACIÓN DE PROPOSITO GENERAL DE MPIOS DE CATEGORIA</t>
        </is>
      </c>
      <c r="R589" t="n">
        <v>826697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826697</v>
      </c>
      <c r="Z589" t="n">
        <v>305900</v>
      </c>
      <c r="AA589" t="n">
        <v>305900</v>
      </c>
      <c r="AB589" t="n">
        <v>305900</v>
      </c>
      <c r="AC589" t="n">
        <v>305900</v>
      </c>
      <c r="AD589" t="n">
        <v>520797</v>
      </c>
      <c r="AE589" t="n">
        <v>37</v>
      </c>
    </row>
    <row r="590">
      <c r="A590" t="inlineStr">
        <is>
          <t>5 - PERSONERÍA</t>
        </is>
      </c>
      <c r="B590" t="inlineStr">
        <is>
          <t>00 - SIN SECTOR</t>
        </is>
      </c>
      <c r="C590" t="inlineStr">
        <is>
          <t>00</t>
        </is>
      </c>
      <c r="D590" t="inlineStr">
        <is>
          <t>0000</t>
        </is>
      </c>
      <c r="E590" t="inlineStr">
        <is>
          <t>000000</t>
        </is>
      </c>
      <c r="F590" t="inlineStr">
        <is>
          <t>SIN PRODUCTO</t>
        </is>
      </c>
      <c r="G590" t="inlineStr">
        <is>
          <t>00</t>
        </is>
      </c>
      <c r="H590" t="inlineStr">
        <is>
          <t>00</t>
        </is>
      </c>
      <c r="I590" t="inlineStr">
        <is>
          <t>00</t>
        </is>
      </c>
      <c r="J590" t="inlineStr">
        <is>
          <t>SIN PRODUCTO DANE</t>
        </is>
      </c>
      <c r="K590" t="inlineStr">
        <is>
          <t>00</t>
        </is>
      </c>
      <c r="L590" t="inlineStr">
        <is>
          <t>SIN ATRIBUTO</t>
        </is>
      </c>
      <c r="N590" t="inlineStr">
        <is>
          <t>2.1.1.01.02.009</t>
        </is>
      </c>
      <c r="O590" t="inlineStr">
        <is>
          <t>Aportes a escuelas industriales e institutos tecnicos</t>
        </is>
      </c>
      <c r="P590" t="inlineStr">
        <is>
          <t>100</t>
        </is>
      </c>
      <c r="Q590" t="inlineStr">
        <is>
          <t>INGRESOS CORRIENTES DE LIBRE DESTINACION EXCEPTO EL 42% DE LIBRE DESTINACIÓN DE PROPOSITO GENERAL DE MPIOS DE CATEGORIA</t>
        </is>
      </c>
      <c r="R590" t="n">
        <v>1450353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1450353</v>
      </c>
      <c r="Z590" t="n">
        <v>611400</v>
      </c>
      <c r="AA590" t="n">
        <v>611400</v>
      </c>
      <c r="AB590" t="n">
        <v>611400</v>
      </c>
      <c r="AC590" t="n">
        <v>611400</v>
      </c>
      <c r="AD590" t="n">
        <v>838953</v>
      </c>
      <c r="AE590" t="n">
        <v>42.16</v>
      </c>
    </row>
    <row r="591">
      <c r="A591" t="inlineStr">
        <is>
          <t>5 - PERSONERÍA</t>
        </is>
      </c>
      <c r="B591" t="inlineStr">
        <is>
          <t>00 - SIN SECTOR</t>
        </is>
      </c>
      <c r="C591" t="inlineStr">
        <is>
          <t>00</t>
        </is>
      </c>
      <c r="D591" t="inlineStr">
        <is>
          <t>0000</t>
        </is>
      </c>
      <c r="E591" t="inlineStr">
        <is>
          <t>000000</t>
        </is>
      </c>
      <c r="F591" t="inlineStr">
        <is>
          <t>SIN PRODUCTO</t>
        </is>
      </c>
      <c r="G591" t="inlineStr">
        <is>
          <t>00</t>
        </is>
      </c>
      <c r="H591" t="inlineStr">
        <is>
          <t>00</t>
        </is>
      </c>
      <c r="I591" t="inlineStr">
        <is>
          <t>00</t>
        </is>
      </c>
      <c r="J591" t="inlineStr">
        <is>
          <t>SIN PRODUCTO DANE</t>
        </is>
      </c>
      <c r="K591" t="inlineStr">
        <is>
          <t>00</t>
        </is>
      </c>
      <c r="L591" t="inlineStr">
        <is>
          <t>SIN ATRIBUTO</t>
        </is>
      </c>
      <c r="N591" t="inlineStr">
        <is>
          <t>2.1.1.01.03</t>
        </is>
      </c>
      <c r="O591" t="inlineStr">
        <is>
          <t>Remuneraciones no constitutivas de factor salarial</t>
        </is>
      </c>
      <c r="P591" t="inlineStr">
        <is>
          <t>00</t>
        </is>
      </c>
      <c r="Q591" t="inlineStr">
        <is>
          <t>RECURSOS</t>
        </is>
      </c>
      <c r="R591" t="n">
        <v>9545853</v>
      </c>
      <c r="S591" t="n">
        <v>0</v>
      </c>
      <c r="T591" t="n">
        <v>0</v>
      </c>
      <c r="U591" t="n">
        <v>1048985</v>
      </c>
      <c r="V591" t="n">
        <v>0</v>
      </c>
      <c r="W591" t="n">
        <v>0</v>
      </c>
      <c r="X591" t="n">
        <v>0</v>
      </c>
      <c r="Y591" t="n">
        <v>10594838</v>
      </c>
      <c r="Z591" t="n">
        <v>10474201</v>
      </c>
      <c r="AA591" t="n">
        <v>10474201</v>
      </c>
      <c r="AB591" t="n">
        <v>10474201</v>
      </c>
      <c r="AC591" t="n">
        <v>10474201</v>
      </c>
      <c r="AD591" t="n">
        <v>120637</v>
      </c>
      <c r="AE591" t="n">
        <v>98.86</v>
      </c>
    </row>
    <row r="592">
      <c r="A592" t="inlineStr">
        <is>
          <t>5 - PERSONERÍA</t>
        </is>
      </c>
      <c r="B592" t="inlineStr">
        <is>
          <t>00 - SIN SECTOR</t>
        </is>
      </c>
      <c r="C592" t="inlineStr">
        <is>
          <t>00</t>
        </is>
      </c>
      <c r="D592" t="inlineStr">
        <is>
          <t>0000</t>
        </is>
      </c>
      <c r="E592" t="inlineStr">
        <is>
          <t>000000</t>
        </is>
      </c>
      <c r="F592" t="inlineStr">
        <is>
          <t>SIN PRODUCTO</t>
        </is>
      </c>
      <c r="G592" t="inlineStr">
        <is>
          <t>00</t>
        </is>
      </c>
      <c r="H592" t="inlineStr">
        <is>
          <t>00</t>
        </is>
      </c>
      <c r="I592" t="inlineStr">
        <is>
          <t>00</t>
        </is>
      </c>
      <c r="J592" t="inlineStr">
        <is>
          <t>SIN PRODUCTO DANE</t>
        </is>
      </c>
      <c r="K592" t="inlineStr">
        <is>
          <t>00</t>
        </is>
      </c>
      <c r="L592" t="inlineStr">
        <is>
          <t>SIN ATRIBUTO</t>
        </is>
      </c>
      <c r="N592" t="inlineStr">
        <is>
          <t>2.1.1.01.03.001</t>
        </is>
      </c>
      <c r="O592" t="inlineStr">
        <is>
          <t>Prestaciones sociales</t>
        </is>
      </c>
      <c r="P592" t="inlineStr">
        <is>
          <t>00</t>
        </is>
      </c>
      <c r="Q592" t="inlineStr">
        <is>
          <t>RECURSOS</t>
        </is>
      </c>
      <c r="R592" t="n">
        <v>9545853</v>
      </c>
      <c r="S592" t="n">
        <v>0</v>
      </c>
      <c r="T592" t="n">
        <v>0</v>
      </c>
      <c r="U592" t="n">
        <v>1048985</v>
      </c>
      <c r="V592" t="n">
        <v>0</v>
      </c>
      <c r="W592" t="n">
        <v>0</v>
      </c>
      <c r="X592" t="n">
        <v>0</v>
      </c>
      <c r="Y592" t="n">
        <v>10594838</v>
      </c>
      <c r="Z592" t="n">
        <v>10474201</v>
      </c>
      <c r="AA592" t="n">
        <v>10474201</v>
      </c>
      <c r="AB592" t="n">
        <v>10474201</v>
      </c>
      <c r="AC592" t="n">
        <v>10474201</v>
      </c>
      <c r="AD592" t="n">
        <v>120637</v>
      </c>
      <c r="AE592" t="n">
        <v>98.86</v>
      </c>
    </row>
    <row r="593">
      <c r="A593" t="inlineStr">
        <is>
          <t>5 - PERSONERÍA</t>
        </is>
      </c>
      <c r="B593" t="inlineStr">
        <is>
          <t>00 - SIN SECTOR</t>
        </is>
      </c>
      <c r="C593" t="inlineStr">
        <is>
          <t>00</t>
        </is>
      </c>
      <c r="D593" t="inlineStr">
        <is>
          <t>0000</t>
        </is>
      </c>
      <c r="E593" t="inlineStr">
        <is>
          <t>000000</t>
        </is>
      </c>
      <c r="F593" t="inlineStr">
        <is>
          <t>SIN PRODUCTO</t>
        </is>
      </c>
      <c r="G593" t="inlineStr">
        <is>
          <t>00</t>
        </is>
      </c>
      <c r="H593" t="inlineStr">
        <is>
          <t>00</t>
        </is>
      </c>
      <c r="I593" t="inlineStr">
        <is>
          <t>00</t>
        </is>
      </c>
      <c r="J593" t="inlineStr">
        <is>
          <t>SIN PRODUCTO DANE</t>
        </is>
      </c>
      <c r="K593" t="inlineStr">
        <is>
          <t>00</t>
        </is>
      </c>
      <c r="L593" t="inlineStr">
        <is>
          <t>SIN ATRIBUTO</t>
        </is>
      </c>
      <c r="N593" t="inlineStr">
        <is>
          <t>2.1.1.01.03.001.02</t>
        </is>
      </c>
      <c r="O593" t="inlineStr">
        <is>
          <t>Indemnizacion por vacaciones</t>
        </is>
      </c>
      <c r="P593" t="inlineStr">
        <is>
          <t>100</t>
        </is>
      </c>
      <c r="Q593" t="inlineStr">
        <is>
          <t>INGRESOS CORRIENTES DE LIBRE DESTINACION EXCEPTO EL 42% DE LIBRE DESTINACIÓN DE PROPOSITO GENERAL DE MPIOS DE CATEGORIA</t>
        </is>
      </c>
      <c r="R593" t="n">
        <v>9000000</v>
      </c>
      <c r="S593" t="n">
        <v>0</v>
      </c>
      <c r="T593" t="n">
        <v>0</v>
      </c>
      <c r="U593" t="n">
        <v>1048985</v>
      </c>
      <c r="V593" t="n">
        <v>0</v>
      </c>
      <c r="W593" t="n">
        <v>0</v>
      </c>
      <c r="X593" t="n">
        <v>0</v>
      </c>
      <c r="Y593" t="n">
        <v>10048985</v>
      </c>
      <c r="Z593" t="n">
        <v>10048985</v>
      </c>
      <c r="AA593" t="n">
        <v>10048985</v>
      </c>
      <c r="AB593" t="n">
        <v>10048985</v>
      </c>
      <c r="AC593" t="n">
        <v>10048985</v>
      </c>
      <c r="AD593" t="n">
        <v>0</v>
      </c>
      <c r="AE593" t="n">
        <v>100</v>
      </c>
    </row>
    <row r="594">
      <c r="A594" t="inlineStr">
        <is>
          <t>5 - PERSONERÍA</t>
        </is>
      </c>
      <c r="B594" t="inlineStr">
        <is>
          <t>00 - SIN SECTOR</t>
        </is>
      </c>
      <c r="C594" t="inlineStr">
        <is>
          <t>00</t>
        </is>
      </c>
      <c r="D594" t="inlineStr">
        <is>
          <t>0000</t>
        </is>
      </c>
      <c r="E594" t="inlineStr">
        <is>
          <t>000000</t>
        </is>
      </c>
      <c r="F594" t="inlineStr">
        <is>
          <t>SIN PRODUCTO</t>
        </is>
      </c>
      <c r="G594" t="inlineStr">
        <is>
          <t>00</t>
        </is>
      </c>
      <c r="H594" t="inlineStr">
        <is>
          <t>00</t>
        </is>
      </c>
      <c r="I594" t="inlineStr">
        <is>
          <t>00</t>
        </is>
      </c>
      <c r="J594" t="inlineStr">
        <is>
          <t>SIN PRODUCTO DANE</t>
        </is>
      </c>
      <c r="K594" t="inlineStr">
        <is>
          <t>00</t>
        </is>
      </c>
      <c r="L594" t="inlineStr">
        <is>
          <t>SIN ATRIBUTO</t>
        </is>
      </c>
      <c r="N594" t="inlineStr">
        <is>
          <t>2.1.1.01.03.001.03</t>
        </is>
      </c>
      <c r="O594" t="inlineStr">
        <is>
          <t>Bonificacion especial de recreacion</t>
        </is>
      </c>
      <c r="P594" t="inlineStr">
        <is>
          <t>100</t>
        </is>
      </c>
      <c r="Q594" t="inlineStr">
        <is>
          <t>INGRESOS CORRIENTES DE LIBRE DESTINACION EXCEPTO EL 42% DE LIBRE DESTINACIÓN DE PROPOSITO GENERAL DE MPIOS DE CATEGORIA</t>
        </is>
      </c>
      <c r="R594" t="n">
        <v>545853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545853</v>
      </c>
      <c r="Z594" t="n">
        <v>425216</v>
      </c>
      <c r="AA594" t="n">
        <v>425216</v>
      </c>
      <c r="AB594" t="n">
        <v>425216</v>
      </c>
      <c r="AC594" t="n">
        <v>425216</v>
      </c>
      <c r="AD594" t="n">
        <v>120637</v>
      </c>
      <c r="AE594" t="n">
        <v>77.90000000000001</v>
      </c>
    </row>
    <row r="595">
      <c r="A595" t="inlineStr">
        <is>
          <t>5 - PERSONERÍA</t>
        </is>
      </c>
      <c r="B595" t="inlineStr">
        <is>
          <t>00 - SIN SECTOR</t>
        </is>
      </c>
      <c r="C595" t="inlineStr">
        <is>
          <t>00</t>
        </is>
      </c>
      <c r="D595" t="inlineStr">
        <is>
          <t>0000</t>
        </is>
      </c>
      <c r="E595" t="inlineStr">
        <is>
          <t>000000</t>
        </is>
      </c>
      <c r="F595" t="inlineStr">
        <is>
          <t>SIN PRODUCTO</t>
        </is>
      </c>
      <c r="G595" t="inlineStr">
        <is>
          <t>00</t>
        </is>
      </c>
      <c r="H595" t="inlineStr">
        <is>
          <t>00</t>
        </is>
      </c>
      <c r="I595" t="inlineStr">
        <is>
          <t>00</t>
        </is>
      </c>
      <c r="J595" t="inlineStr">
        <is>
          <t>SIN PRODUCTO DANE</t>
        </is>
      </c>
      <c r="K595" t="inlineStr">
        <is>
          <t>00</t>
        </is>
      </c>
      <c r="L595" t="inlineStr">
        <is>
          <t>SIN ATRIBUTO</t>
        </is>
      </c>
      <c r="N595" t="inlineStr">
        <is>
          <t>2.1.2</t>
        </is>
      </c>
      <c r="O595" t="inlineStr">
        <is>
          <t>Adquisicion de bienes y servicios</t>
        </is>
      </c>
      <c r="P595" t="inlineStr">
        <is>
          <t>00</t>
        </is>
      </c>
      <c r="Q595" t="inlineStr">
        <is>
          <t>RECURSOS</t>
        </is>
      </c>
      <c r="R595" t="n">
        <v>44347133</v>
      </c>
      <c r="S595" t="n">
        <v>0</v>
      </c>
      <c r="T595" t="n">
        <v>0</v>
      </c>
      <c r="U595" t="n">
        <v>1822480</v>
      </c>
      <c r="V595" t="n">
        <v>1822480</v>
      </c>
      <c r="W595" t="n">
        <v>0</v>
      </c>
      <c r="X595" t="n">
        <v>0</v>
      </c>
      <c r="Y595" t="n">
        <v>44347133</v>
      </c>
      <c r="Z595" t="n">
        <v>35872500</v>
      </c>
      <c r="AA595" t="n">
        <v>35872500</v>
      </c>
      <c r="AB595" t="n">
        <v>28372500</v>
      </c>
      <c r="AC595" t="n">
        <v>28372500</v>
      </c>
      <c r="AD595" t="n">
        <v>8474633</v>
      </c>
      <c r="AE595" t="n">
        <v>80.89</v>
      </c>
    </row>
    <row r="596">
      <c r="A596" t="inlineStr">
        <is>
          <t>5 - PERSONERÍA</t>
        </is>
      </c>
      <c r="B596" t="inlineStr">
        <is>
          <t>00 - SIN SECTOR</t>
        </is>
      </c>
      <c r="C596" t="inlineStr">
        <is>
          <t>00</t>
        </is>
      </c>
      <c r="D596" t="inlineStr">
        <is>
          <t>0000</t>
        </is>
      </c>
      <c r="E596" t="inlineStr">
        <is>
          <t>000000</t>
        </is>
      </c>
      <c r="F596" t="inlineStr">
        <is>
          <t>SIN PRODUCTO</t>
        </is>
      </c>
      <c r="G596" t="inlineStr">
        <is>
          <t>00</t>
        </is>
      </c>
      <c r="H596" t="inlineStr">
        <is>
          <t>00</t>
        </is>
      </c>
      <c r="I596" t="inlineStr">
        <is>
          <t>00</t>
        </is>
      </c>
      <c r="J596" t="inlineStr">
        <is>
          <t>SIN PRODUCTO DANE</t>
        </is>
      </c>
      <c r="K596" t="inlineStr">
        <is>
          <t>00</t>
        </is>
      </c>
      <c r="L596" t="inlineStr">
        <is>
          <t>SIN ATRIBUTO</t>
        </is>
      </c>
      <c r="N596" t="inlineStr">
        <is>
          <t>2.1.2.02</t>
        </is>
      </c>
      <c r="O596" t="inlineStr">
        <is>
          <t>Adquisiciones diferentes de activos</t>
        </is>
      </c>
      <c r="P596" t="inlineStr">
        <is>
          <t>00</t>
        </is>
      </c>
      <c r="Q596" t="inlineStr">
        <is>
          <t>RECURSOS</t>
        </is>
      </c>
      <c r="R596" t="n">
        <v>44347133</v>
      </c>
      <c r="S596" t="n">
        <v>0</v>
      </c>
      <c r="T596" t="n">
        <v>0</v>
      </c>
      <c r="U596" t="n">
        <v>1822480</v>
      </c>
      <c r="V596" t="n">
        <v>1822480</v>
      </c>
      <c r="W596" t="n">
        <v>0</v>
      </c>
      <c r="X596" t="n">
        <v>0</v>
      </c>
      <c r="Y596" t="n">
        <v>44347133</v>
      </c>
      <c r="Z596" t="n">
        <v>35872500</v>
      </c>
      <c r="AA596" t="n">
        <v>35872500</v>
      </c>
      <c r="AB596" t="n">
        <v>28372500</v>
      </c>
      <c r="AC596" t="n">
        <v>28372500</v>
      </c>
      <c r="AD596" t="n">
        <v>8474633</v>
      </c>
      <c r="AE596" t="n">
        <v>80.89</v>
      </c>
    </row>
    <row r="597">
      <c r="A597" t="inlineStr">
        <is>
          <t>5 - PERSONERÍA</t>
        </is>
      </c>
      <c r="B597" t="inlineStr">
        <is>
          <t>00 - SIN SECTOR</t>
        </is>
      </c>
      <c r="C597" t="inlineStr">
        <is>
          <t>00</t>
        </is>
      </c>
      <c r="D597" t="inlineStr">
        <is>
          <t>0000</t>
        </is>
      </c>
      <c r="E597" t="inlineStr">
        <is>
          <t>000000</t>
        </is>
      </c>
      <c r="F597" t="inlineStr">
        <is>
          <t>SIN PRODUCTO</t>
        </is>
      </c>
      <c r="G597" t="inlineStr">
        <is>
          <t>00</t>
        </is>
      </c>
      <c r="H597" t="inlineStr">
        <is>
          <t>00</t>
        </is>
      </c>
      <c r="I597" t="inlineStr">
        <is>
          <t>00</t>
        </is>
      </c>
      <c r="J597" t="inlineStr">
        <is>
          <t>SIN PRODUCTO DANE</t>
        </is>
      </c>
      <c r="K597" t="inlineStr">
        <is>
          <t>00</t>
        </is>
      </c>
      <c r="L597" t="inlineStr">
        <is>
          <t>SIN ATRIBUTO</t>
        </is>
      </c>
      <c r="N597" t="inlineStr">
        <is>
          <t>2.1.2.02.01</t>
        </is>
      </c>
      <c r="O597" t="inlineStr">
        <is>
          <t>Materiales y suministros</t>
        </is>
      </c>
      <c r="P597" t="inlineStr">
        <is>
          <t>00</t>
        </is>
      </c>
      <c r="Q597" t="inlineStr">
        <is>
          <t>RECURSOS</t>
        </is>
      </c>
      <c r="R597" t="n">
        <v>3969980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3969980</v>
      </c>
      <c r="Z597" t="n">
        <v>0</v>
      </c>
      <c r="AA597" t="n">
        <v>0</v>
      </c>
      <c r="AB597" t="n">
        <v>0</v>
      </c>
      <c r="AC597" t="n">
        <v>0</v>
      </c>
      <c r="AD597" t="n">
        <v>3969980</v>
      </c>
      <c r="AE597" t="n">
        <v>0</v>
      </c>
    </row>
    <row r="598">
      <c r="A598" t="inlineStr">
        <is>
          <t>5 - PERSONERÍA</t>
        </is>
      </c>
      <c r="B598" t="inlineStr">
        <is>
          <t>00 - SIN SECTOR</t>
        </is>
      </c>
      <c r="C598" t="inlineStr">
        <is>
          <t>00</t>
        </is>
      </c>
      <c r="D598" t="inlineStr">
        <is>
          <t>0000</t>
        </is>
      </c>
      <c r="E598" t="inlineStr">
        <is>
          <t>000000</t>
        </is>
      </c>
      <c r="F598" t="inlineStr">
        <is>
          <t>SIN PRODUCTO</t>
        </is>
      </c>
      <c r="G598" t="inlineStr">
        <is>
          <t>000</t>
        </is>
      </c>
      <c r="H598" t="inlineStr">
        <is>
          <t>000</t>
        </is>
      </c>
      <c r="I598" t="inlineStr">
        <is>
          <t>2823609</t>
        </is>
      </c>
      <c r="J598" t="inlineStr">
        <is>
          <t>Uniformes de trabajo</t>
        </is>
      </c>
      <c r="K598" t="inlineStr">
        <is>
          <t>00</t>
        </is>
      </c>
      <c r="L598" t="inlineStr">
        <is>
          <t>SIN ATRIBUTO</t>
        </is>
      </c>
      <c r="N598" t="inlineStr">
        <is>
          <t>2.1.2.02.01.002.01</t>
        </is>
      </c>
      <c r="O598" t="inlineStr">
        <is>
          <t>Dotacion empleados</t>
        </is>
      </c>
      <c r="P598" t="inlineStr">
        <is>
          <t>100</t>
        </is>
      </c>
      <c r="Q598" t="inlineStr">
        <is>
          <t>INGRESOS CORRIENTES DE LIBRE DESTINACION EXCEPTO EL 42% DE LIBRE DESTINACIÓN DE PROPOSITO GENERAL DE MPIOS DE CATEGORIA</t>
        </is>
      </c>
      <c r="R598" t="n">
        <v>1969980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1969980</v>
      </c>
      <c r="Z598" t="n">
        <v>0</v>
      </c>
      <c r="AA598" t="n">
        <v>0</v>
      </c>
      <c r="AB598" t="n">
        <v>0</v>
      </c>
      <c r="AC598" t="n">
        <v>0</v>
      </c>
      <c r="AD598" t="n">
        <v>1969980</v>
      </c>
      <c r="AE598" t="n">
        <v>0</v>
      </c>
    </row>
    <row r="599">
      <c r="A599" t="inlineStr">
        <is>
          <t>5 - PERSONERÍA</t>
        </is>
      </c>
      <c r="B599" t="inlineStr">
        <is>
          <t>00 - SIN SECTOR</t>
        </is>
      </c>
      <c r="C599" t="inlineStr">
        <is>
          <t>00</t>
        </is>
      </c>
      <c r="D599" t="inlineStr">
        <is>
          <t>0000</t>
        </is>
      </c>
      <c r="E599" t="inlineStr">
        <is>
          <t>000000</t>
        </is>
      </c>
      <c r="F599" t="inlineStr">
        <is>
          <t>SIN PRODUCTO</t>
        </is>
      </c>
      <c r="G599" t="inlineStr">
        <is>
          <t>00</t>
        </is>
      </c>
      <c r="H599" t="inlineStr">
        <is>
          <t>00</t>
        </is>
      </c>
      <c r="I599" t="inlineStr">
        <is>
          <t>00</t>
        </is>
      </c>
      <c r="J599" t="inlineStr">
        <is>
          <t>SIN PRODUCTO DANE</t>
        </is>
      </c>
      <c r="K599" t="inlineStr">
        <is>
          <t>00</t>
        </is>
      </c>
      <c r="L599" t="inlineStr">
        <is>
          <t>SIN ATRIBUTO</t>
        </is>
      </c>
      <c r="N599" t="inlineStr">
        <is>
          <t>2.1.2.02.01.003.01</t>
        </is>
      </c>
      <c r="O599" t="inlineStr">
        <is>
          <t>Otros bienes transportables excepto productos metalicos, maquinaria y equipo</t>
        </is>
      </c>
      <c r="P599" t="inlineStr">
        <is>
          <t>100</t>
        </is>
      </c>
      <c r="Q599" t="inlineStr">
        <is>
          <t>INGRESOS CORRIENTES DE LIBRE DESTINACION EXCEPTO EL 42% DE LIBRE DESTINACIÓN DE PROPOSITO GENERAL DE MPIOS DE CATEGORIA</t>
        </is>
      </c>
      <c r="R599" t="n">
        <v>2000000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2000000</v>
      </c>
      <c r="Z599" t="n">
        <v>0</v>
      </c>
      <c r="AA599" t="n">
        <v>0</v>
      </c>
      <c r="AB599" t="n">
        <v>0</v>
      </c>
      <c r="AC599" t="n">
        <v>0</v>
      </c>
      <c r="AD599" t="n">
        <v>2000000</v>
      </c>
      <c r="AE599" t="n">
        <v>0</v>
      </c>
    </row>
    <row r="600">
      <c r="A600" t="inlineStr">
        <is>
          <t>5 - PERSONERÍA</t>
        </is>
      </c>
      <c r="B600" t="inlineStr">
        <is>
          <t>00 - SIN SECTOR</t>
        </is>
      </c>
      <c r="C600" t="inlineStr">
        <is>
          <t>00</t>
        </is>
      </c>
      <c r="D600" t="inlineStr">
        <is>
          <t>0000</t>
        </is>
      </c>
      <c r="E600" t="inlineStr">
        <is>
          <t>000000</t>
        </is>
      </c>
      <c r="F600" t="inlineStr">
        <is>
          <t>SIN PRODUCTO</t>
        </is>
      </c>
      <c r="G600" t="inlineStr">
        <is>
          <t>00</t>
        </is>
      </c>
      <c r="H600" t="inlineStr">
        <is>
          <t>00</t>
        </is>
      </c>
      <c r="I600" t="inlineStr">
        <is>
          <t>00</t>
        </is>
      </c>
      <c r="J600" t="inlineStr">
        <is>
          <t>SIN PRODUCTO DANE</t>
        </is>
      </c>
      <c r="K600" t="inlineStr">
        <is>
          <t>00</t>
        </is>
      </c>
      <c r="L600" t="inlineStr">
        <is>
          <t>SIN ATRIBUTO</t>
        </is>
      </c>
      <c r="N600" t="inlineStr">
        <is>
          <t>2.1.2.02.02</t>
        </is>
      </c>
      <c r="O600" t="inlineStr">
        <is>
          <t>Adquisicion de servicios</t>
        </is>
      </c>
      <c r="P600" t="inlineStr">
        <is>
          <t>00</t>
        </is>
      </c>
      <c r="Q600" t="inlineStr">
        <is>
          <t>RECURSOS</t>
        </is>
      </c>
      <c r="R600" t="n">
        <v>40377153</v>
      </c>
      <c r="S600" t="n">
        <v>0</v>
      </c>
      <c r="T600" t="n">
        <v>0</v>
      </c>
      <c r="U600" t="n">
        <v>1822480</v>
      </c>
      <c r="V600" t="n">
        <v>1822480</v>
      </c>
      <c r="W600" t="n">
        <v>0</v>
      </c>
      <c r="X600" t="n">
        <v>0</v>
      </c>
      <c r="Y600" t="n">
        <v>40377153</v>
      </c>
      <c r="Z600" t="n">
        <v>35872500</v>
      </c>
      <c r="AA600" t="n">
        <v>35872500</v>
      </c>
      <c r="AB600" t="n">
        <v>28372500</v>
      </c>
      <c r="AC600" t="n">
        <v>28372500</v>
      </c>
      <c r="AD600" t="n">
        <v>4504653</v>
      </c>
      <c r="AE600" t="n">
        <v>88.84</v>
      </c>
    </row>
    <row r="601">
      <c r="A601" t="inlineStr">
        <is>
          <t>5 - PERSONERÍA</t>
        </is>
      </c>
      <c r="B601" t="inlineStr">
        <is>
          <t>00 - SIN SECTOR</t>
        </is>
      </c>
      <c r="C601" t="inlineStr">
        <is>
          <t>00</t>
        </is>
      </c>
      <c r="D601" t="inlineStr">
        <is>
          <t>0000</t>
        </is>
      </c>
      <c r="E601" t="inlineStr">
        <is>
          <t>000000</t>
        </is>
      </c>
      <c r="F601" t="inlineStr">
        <is>
          <t>SIN PRODUCTO</t>
        </is>
      </c>
      <c r="G601" t="inlineStr">
        <is>
          <t>00</t>
        </is>
      </c>
      <c r="H601" t="inlineStr">
        <is>
          <t>00</t>
        </is>
      </c>
      <c r="I601" t="inlineStr">
        <is>
          <t>00</t>
        </is>
      </c>
      <c r="J601" t="inlineStr">
        <is>
          <t>SIN PRODUCTO DANE</t>
        </is>
      </c>
      <c r="K601" t="inlineStr">
        <is>
          <t>00</t>
        </is>
      </c>
      <c r="L601" t="inlineStr">
        <is>
          <t>SIN ATRIBUTO</t>
        </is>
      </c>
      <c r="N601" t="inlineStr">
        <is>
          <t>2.1.2.02.02.009</t>
        </is>
      </c>
      <c r="O601" t="inlineStr">
        <is>
          <t>Servicios para la comunidad, sociales y personales</t>
        </is>
      </c>
      <c r="P601" t="inlineStr">
        <is>
          <t>00</t>
        </is>
      </c>
      <c r="Q601" t="inlineStr">
        <is>
          <t>RECURSOS</t>
        </is>
      </c>
      <c r="R601" t="n">
        <v>0</v>
      </c>
      <c r="S601" t="n">
        <v>0</v>
      </c>
      <c r="T601" t="n">
        <v>0</v>
      </c>
      <c r="U601" t="n">
        <v>1822480</v>
      </c>
      <c r="V601" t="n">
        <v>0</v>
      </c>
      <c r="W601" t="n">
        <v>0</v>
      </c>
      <c r="X601" t="n">
        <v>0</v>
      </c>
      <c r="Y601" t="n">
        <v>1822480</v>
      </c>
      <c r="Z601" t="n">
        <v>1822480</v>
      </c>
      <c r="AA601" t="n">
        <v>1822480</v>
      </c>
      <c r="AB601" t="n">
        <v>1822480</v>
      </c>
      <c r="AC601" t="n">
        <v>1822480</v>
      </c>
      <c r="AD601" t="n">
        <v>0</v>
      </c>
      <c r="AE601" t="n">
        <v>100</v>
      </c>
    </row>
    <row r="602">
      <c r="A602" t="inlineStr">
        <is>
          <t>5 - PERSONERÍA</t>
        </is>
      </c>
      <c r="B602" t="inlineStr">
        <is>
          <t>00 - SIN SECTOR</t>
        </is>
      </c>
      <c r="C602" t="inlineStr">
        <is>
          <t>00</t>
        </is>
      </c>
      <c r="D602" t="inlineStr">
        <is>
          <t>0000</t>
        </is>
      </c>
      <c r="E602" t="inlineStr">
        <is>
          <t>000000</t>
        </is>
      </c>
      <c r="F602" t="inlineStr">
        <is>
          <t>SIN PRODUCTO</t>
        </is>
      </c>
      <c r="G602" t="inlineStr">
        <is>
          <t>000</t>
        </is>
      </c>
      <c r="H602" t="inlineStr">
        <is>
          <t>000</t>
        </is>
      </c>
      <c r="I602" t="inlineStr">
        <is>
          <t>97990</t>
        </is>
      </c>
      <c r="J602" t="inlineStr">
        <is>
          <t>Otros servicios diversos n.c.p.</t>
        </is>
      </c>
      <c r="K602" t="inlineStr">
        <is>
          <t>00</t>
        </is>
      </c>
      <c r="L602" t="inlineStr">
        <is>
          <t>SIN ATRIBUTO</t>
        </is>
      </c>
      <c r="N602" t="inlineStr">
        <is>
          <t>2.1.2.02.02.009.01</t>
        </is>
      </c>
      <c r="O602" t="inlineStr">
        <is>
          <t>Servicios de la administración pública OPS</t>
        </is>
      </c>
      <c r="P602" t="inlineStr">
        <is>
          <t>100</t>
        </is>
      </c>
      <c r="Q602" t="inlineStr">
        <is>
          <t>INGRESOS CORRIENTES DE LIBRE DESTINACION EXCEPTO EL 42% DE LIBRE DESTINACIÓN DE PROPOSITO GENERAL DE MPIOS DE CATEGORIA</t>
        </is>
      </c>
      <c r="R602" t="n">
        <v>20000000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20000000</v>
      </c>
      <c r="Z602" t="n">
        <v>20000000</v>
      </c>
      <c r="AA602" t="n">
        <v>20000000</v>
      </c>
      <c r="AB602" t="n">
        <v>12500000</v>
      </c>
      <c r="AC602" t="n">
        <v>12500000</v>
      </c>
      <c r="AD602" t="n">
        <v>0</v>
      </c>
      <c r="AE602" t="n">
        <v>100</v>
      </c>
    </row>
    <row r="603">
      <c r="A603" t="inlineStr">
        <is>
          <t>5 - PERSONERÍA</t>
        </is>
      </c>
      <c r="B603" t="inlineStr">
        <is>
          <t>00 - SIN SECTOR</t>
        </is>
      </c>
      <c r="C603" t="inlineStr">
        <is>
          <t>00</t>
        </is>
      </c>
      <c r="D603" t="inlineStr">
        <is>
          <t>0000</t>
        </is>
      </c>
      <c r="E603" t="inlineStr">
        <is>
          <t>000000</t>
        </is>
      </c>
      <c r="F603" t="inlineStr">
        <is>
          <t>SIN PRODUCTO</t>
        </is>
      </c>
      <c r="G603" t="inlineStr">
        <is>
          <t>00</t>
        </is>
      </c>
      <c r="H603" t="inlineStr">
        <is>
          <t>00</t>
        </is>
      </c>
      <c r="I603" t="inlineStr">
        <is>
          <t>97990</t>
        </is>
      </c>
      <c r="J603" t="inlineStr">
        <is>
          <t>Otros servicios diversos n.c.p.</t>
        </is>
      </c>
      <c r="K603" t="inlineStr">
        <is>
          <t>00</t>
        </is>
      </c>
      <c r="L603" t="inlineStr">
        <is>
          <t>SIN ATRIBUTO</t>
        </is>
      </c>
      <c r="N603" t="inlineStr">
        <is>
          <t>2.1.2.02.02.009.03</t>
        </is>
      </c>
      <c r="O603" t="inlineStr">
        <is>
          <t>Capacitacion</t>
        </is>
      </c>
      <c r="P603" t="inlineStr">
        <is>
          <t>100</t>
        </is>
      </c>
      <c r="Q603" t="inlineStr">
        <is>
          <t>INGRESOS CORRIENTES DE LIBRE DESTINACION EXCEPTO EL 42% DE LIBRE DESTINACIÓN DE PROPOSITO GENERAL DE MPIOS DE CATEGORIA</t>
        </is>
      </c>
      <c r="R603" t="n">
        <v>0</v>
      </c>
      <c r="S603" t="n">
        <v>0</v>
      </c>
      <c r="T603" t="n">
        <v>0</v>
      </c>
      <c r="U603" t="n">
        <v>1822480</v>
      </c>
      <c r="V603" t="n">
        <v>0</v>
      </c>
      <c r="W603" t="n">
        <v>0</v>
      </c>
      <c r="X603" t="n">
        <v>0</v>
      </c>
      <c r="Y603" t="n">
        <v>1822480</v>
      </c>
      <c r="Z603" t="n">
        <v>1822480</v>
      </c>
      <c r="AA603" t="n">
        <v>1822480</v>
      </c>
      <c r="AB603" t="n">
        <v>1822480</v>
      </c>
      <c r="AC603" t="n">
        <v>1822480</v>
      </c>
      <c r="AD603" t="n">
        <v>0</v>
      </c>
      <c r="AE603" t="n">
        <v>100</v>
      </c>
    </row>
    <row r="604">
      <c r="A604" t="inlineStr">
        <is>
          <t>5 - PERSONERÍA</t>
        </is>
      </c>
      <c r="B604" t="inlineStr">
        <is>
          <t>00 - SIN SECTOR</t>
        </is>
      </c>
      <c r="C604" t="inlineStr">
        <is>
          <t>00</t>
        </is>
      </c>
      <c r="D604" t="inlineStr">
        <is>
          <t>0000</t>
        </is>
      </c>
      <c r="E604" t="inlineStr">
        <is>
          <t>000000</t>
        </is>
      </c>
      <c r="F604" t="inlineStr">
        <is>
          <t>SIN PRODUCTO</t>
        </is>
      </c>
      <c r="G604" t="inlineStr">
        <is>
          <t>00</t>
        </is>
      </c>
      <c r="H604" t="inlineStr">
        <is>
          <t>00</t>
        </is>
      </c>
      <c r="I604" t="inlineStr">
        <is>
          <t>00</t>
        </is>
      </c>
      <c r="J604" t="inlineStr">
        <is>
          <t>SIN PRODUCTO DANE</t>
        </is>
      </c>
      <c r="K604" t="inlineStr">
        <is>
          <t>00</t>
        </is>
      </c>
      <c r="L604" t="inlineStr">
        <is>
          <t>SIN ATRIBUTO</t>
        </is>
      </c>
      <c r="N604" t="inlineStr">
        <is>
          <t>2.1.2.02.02.010</t>
        </is>
      </c>
      <c r="O604" t="inlineStr">
        <is>
          <t>Viaticos de los funcionarios en comision</t>
        </is>
      </c>
      <c r="P604" t="inlineStr">
        <is>
          <t>100</t>
        </is>
      </c>
      <c r="Q604" t="inlineStr">
        <is>
          <t>INGRESOS CORRIENTES DE LIBRE DESTINACION EXCEPTO EL 42% DE LIBRE DESTINACIÓN DE PROPOSITO GENERAL DE MPIOS DE CATEGORIA</t>
        </is>
      </c>
      <c r="R604" t="n">
        <v>20377153</v>
      </c>
      <c r="S604" t="n">
        <v>0</v>
      </c>
      <c r="T604" t="n">
        <v>0</v>
      </c>
      <c r="U604" t="n">
        <v>0</v>
      </c>
      <c r="V604" t="n">
        <v>1822480</v>
      </c>
      <c r="W604" t="n">
        <v>0</v>
      </c>
      <c r="X604" t="n">
        <v>0</v>
      </c>
      <c r="Y604" t="n">
        <v>18554673</v>
      </c>
      <c r="Z604" t="n">
        <v>14050020</v>
      </c>
      <c r="AA604" t="n">
        <v>14050020</v>
      </c>
      <c r="AB604" t="n">
        <v>14050020</v>
      </c>
      <c r="AC604" t="n">
        <v>14050020</v>
      </c>
      <c r="AD604" t="n">
        <v>4504653</v>
      </c>
      <c r="AE604" t="n">
        <v>75.72</v>
      </c>
    </row>
    <row r="605">
      <c r="A605" t="inlineStr">
        <is>
          <t>6 - UNIDAD DE SERVICIOS PÚBLICOS</t>
        </is>
      </c>
      <c r="B605" t="inlineStr">
        <is>
          <t>00 - SIN SECTOR</t>
        </is>
      </c>
      <c r="C605" t="inlineStr">
        <is>
          <t>00</t>
        </is>
      </c>
      <c r="D605" t="inlineStr">
        <is>
          <t>0000</t>
        </is>
      </c>
      <c r="E605" t="inlineStr">
        <is>
          <t>000000</t>
        </is>
      </c>
      <c r="F605" t="inlineStr">
        <is>
          <t>SIN PRODUCTO</t>
        </is>
      </c>
      <c r="G605" t="inlineStr">
        <is>
          <t>00</t>
        </is>
      </c>
      <c r="H605" t="inlineStr">
        <is>
          <t>00</t>
        </is>
      </c>
      <c r="I605" t="inlineStr">
        <is>
          <t>00</t>
        </is>
      </c>
      <c r="J605" t="inlineStr">
        <is>
          <t>SIN PRODUCTO DANE</t>
        </is>
      </c>
      <c r="K605" t="inlineStr">
        <is>
          <t>00</t>
        </is>
      </c>
      <c r="L605" t="inlineStr">
        <is>
          <t>SIN ATRIBUTO</t>
        </is>
      </c>
      <c r="N605" t="inlineStr">
        <is>
          <t>2</t>
        </is>
      </c>
      <c r="O605" t="inlineStr">
        <is>
          <t>Gastos</t>
        </is>
      </c>
      <c r="P605" t="inlineStr">
        <is>
          <t>00</t>
        </is>
      </c>
      <c r="Q605" t="inlineStr">
        <is>
          <t>RECURSOS</t>
        </is>
      </c>
      <c r="R605" t="n">
        <v>580762021</v>
      </c>
      <c r="S605" t="n">
        <v>5185550</v>
      </c>
      <c r="T605" t="n">
        <v>0</v>
      </c>
      <c r="U605" t="n">
        <v>15935182</v>
      </c>
      <c r="V605" t="n">
        <v>15935182</v>
      </c>
      <c r="W605" t="n">
        <v>0</v>
      </c>
      <c r="X605" t="n">
        <v>0</v>
      </c>
      <c r="Y605" t="n">
        <v>585947571</v>
      </c>
      <c r="Z605" t="n">
        <v>298731007.42</v>
      </c>
      <c r="AA605" t="n">
        <v>298730136.42</v>
      </c>
      <c r="AB605" t="n">
        <v>206610124.42</v>
      </c>
      <c r="AC605" t="n">
        <v>206610124.42</v>
      </c>
      <c r="AD605" t="n">
        <v>287216563.58</v>
      </c>
      <c r="AE605" t="n">
        <v>50.98</v>
      </c>
    </row>
    <row r="606">
      <c r="A606" t="inlineStr">
        <is>
          <t>6 - UNIDAD DE SERVICIOS PÚBLICOS</t>
        </is>
      </c>
      <c r="B606" t="inlineStr">
        <is>
          <t>00 - SIN SECTOR</t>
        </is>
      </c>
      <c r="C606" t="inlineStr">
        <is>
          <t>00</t>
        </is>
      </c>
      <c r="D606" t="inlineStr">
        <is>
          <t>0000</t>
        </is>
      </c>
      <c r="E606" t="inlineStr">
        <is>
          <t>000000</t>
        </is>
      </c>
      <c r="F606" t="inlineStr">
        <is>
          <t>SIN PRODUCTO</t>
        </is>
      </c>
      <c r="G606" t="inlineStr">
        <is>
          <t>00</t>
        </is>
      </c>
      <c r="H606" t="inlineStr">
        <is>
          <t>00</t>
        </is>
      </c>
      <c r="I606" t="inlineStr">
        <is>
          <t>00</t>
        </is>
      </c>
      <c r="J606" t="inlineStr">
        <is>
          <t>SIN PRODUCTO DANE</t>
        </is>
      </c>
      <c r="K606" t="inlineStr">
        <is>
          <t>00</t>
        </is>
      </c>
      <c r="L606" t="inlineStr">
        <is>
          <t>SIN ATRIBUTO</t>
        </is>
      </c>
      <c r="N606" t="inlineStr">
        <is>
          <t>2.1</t>
        </is>
      </c>
      <c r="O606" t="inlineStr">
        <is>
          <t>Funcionamiento</t>
        </is>
      </c>
      <c r="P606" t="inlineStr">
        <is>
          <t>00</t>
        </is>
      </c>
      <c r="Q606" t="inlineStr">
        <is>
          <t>RECURSOS</t>
        </is>
      </c>
      <c r="R606" t="n">
        <v>580762021</v>
      </c>
      <c r="S606" t="n">
        <v>5185550</v>
      </c>
      <c r="T606" t="n">
        <v>0</v>
      </c>
      <c r="U606" t="n">
        <v>15935182</v>
      </c>
      <c r="V606" t="n">
        <v>15935182</v>
      </c>
      <c r="W606" t="n">
        <v>0</v>
      </c>
      <c r="X606" t="n">
        <v>0</v>
      </c>
      <c r="Y606" t="n">
        <v>585947571</v>
      </c>
      <c r="Z606" t="n">
        <v>298731007.42</v>
      </c>
      <c r="AA606" t="n">
        <v>298730136.42</v>
      </c>
      <c r="AB606" t="n">
        <v>206610124.42</v>
      </c>
      <c r="AC606" t="n">
        <v>206610124.42</v>
      </c>
      <c r="AD606" t="n">
        <v>287216563.58</v>
      </c>
      <c r="AE606" t="n">
        <v>50.98</v>
      </c>
    </row>
    <row r="607">
      <c r="A607" t="inlineStr">
        <is>
          <t>6 - UNIDAD DE SERVICIOS PÚBLICOS</t>
        </is>
      </c>
      <c r="B607" t="inlineStr">
        <is>
          <t>00 - SIN SECTOR</t>
        </is>
      </c>
      <c r="C607" t="inlineStr">
        <is>
          <t>00</t>
        </is>
      </c>
      <c r="D607" t="inlineStr">
        <is>
          <t>0000</t>
        </is>
      </c>
      <c r="E607" t="inlineStr">
        <is>
          <t>000000</t>
        </is>
      </c>
      <c r="F607" t="inlineStr">
        <is>
          <t>SIN PRODUCTO</t>
        </is>
      </c>
      <c r="G607" t="inlineStr">
        <is>
          <t>00</t>
        </is>
      </c>
      <c r="H607" t="inlineStr">
        <is>
          <t>00</t>
        </is>
      </c>
      <c r="I607" t="inlineStr">
        <is>
          <t>00</t>
        </is>
      </c>
      <c r="J607" t="inlineStr">
        <is>
          <t>SIN PRODUCTO DANE</t>
        </is>
      </c>
      <c r="K607" t="inlineStr">
        <is>
          <t>00</t>
        </is>
      </c>
      <c r="L607" t="inlineStr">
        <is>
          <t>SIN ATRIBUTO</t>
        </is>
      </c>
      <c r="N607" t="inlineStr">
        <is>
          <t>2.1.1</t>
        </is>
      </c>
      <c r="O607" t="inlineStr">
        <is>
          <t>Gastos de personal</t>
        </is>
      </c>
      <c r="P607" t="inlineStr">
        <is>
          <t>00</t>
        </is>
      </c>
      <c r="Q607" t="inlineStr">
        <is>
          <t>RECURSOS</t>
        </is>
      </c>
      <c r="R607" t="n">
        <v>138894640</v>
      </c>
      <c r="S607" t="n">
        <v>0</v>
      </c>
      <c r="T607" t="n">
        <v>0</v>
      </c>
      <c r="U607" t="n">
        <v>25382</v>
      </c>
      <c r="V607" t="n">
        <v>25382</v>
      </c>
      <c r="W607" t="n">
        <v>0</v>
      </c>
      <c r="X607" t="n">
        <v>0</v>
      </c>
      <c r="Y607" t="n">
        <v>138894640</v>
      </c>
      <c r="Z607" t="n">
        <v>61828506</v>
      </c>
      <c r="AA607" t="n">
        <v>61828506</v>
      </c>
      <c r="AB607" t="n">
        <v>61828506</v>
      </c>
      <c r="AC607" t="n">
        <v>61828506</v>
      </c>
      <c r="AD607" t="n">
        <v>77066134</v>
      </c>
      <c r="AE607" t="n">
        <v>44.51</v>
      </c>
    </row>
    <row r="608">
      <c r="A608" t="inlineStr">
        <is>
          <t>6 - UNIDAD DE SERVICIOS PÚBLICOS</t>
        </is>
      </c>
      <c r="B608" t="inlineStr">
        <is>
          <t>00 - SIN SECTOR</t>
        </is>
      </c>
      <c r="C608" t="inlineStr">
        <is>
          <t>00</t>
        </is>
      </c>
      <c r="D608" t="inlineStr">
        <is>
          <t>0000</t>
        </is>
      </c>
      <c r="E608" t="inlineStr">
        <is>
          <t>000000</t>
        </is>
      </c>
      <c r="F608" t="inlineStr">
        <is>
          <t>SIN PRODUCTO</t>
        </is>
      </c>
      <c r="G608" t="inlineStr">
        <is>
          <t>00</t>
        </is>
      </c>
      <c r="H608" t="inlineStr">
        <is>
          <t>00</t>
        </is>
      </c>
      <c r="I608" t="inlineStr">
        <is>
          <t>00</t>
        </is>
      </c>
      <c r="J608" t="inlineStr">
        <is>
          <t>SIN PRODUCTO DANE</t>
        </is>
      </c>
      <c r="K608" t="inlineStr">
        <is>
          <t>00</t>
        </is>
      </c>
      <c r="L608" t="inlineStr">
        <is>
          <t>SIN ATRIBUTO</t>
        </is>
      </c>
      <c r="N608" t="inlineStr">
        <is>
          <t>2.1.1.01</t>
        </is>
      </c>
      <c r="O608" t="inlineStr">
        <is>
          <t>Planta de personal permanente</t>
        </is>
      </c>
      <c r="P608" t="inlineStr">
        <is>
          <t>00</t>
        </is>
      </c>
      <c r="Q608" t="inlineStr">
        <is>
          <t>RECURSOS</t>
        </is>
      </c>
      <c r="R608" t="n">
        <v>138894640</v>
      </c>
      <c r="S608" t="n">
        <v>0</v>
      </c>
      <c r="T608" t="n">
        <v>0</v>
      </c>
      <c r="U608" t="n">
        <v>25382</v>
      </c>
      <c r="V608" t="n">
        <v>25382</v>
      </c>
      <c r="W608" t="n">
        <v>0</v>
      </c>
      <c r="X608" t="n">
        <v>0</v>
      </c>
      <c r="Y608" t="n">
        <v>138894640</v>
      </c>
      <c r="Z608" t="n">
        <v>61828506</v>
      </c>
      <c r="AA608" t="n">
        <v>61828506</v>
      </c>
      <c r="AB608" t="n">
        <v>61828506</v>
      </c>
      <c r="AC608" t="n">
        <v>61828506</v>
      </c>
      <c r="AD608" t="n">
        <v>77066134</v>
      </c>
      <c r="AE608" t="n">
        <v>44.51</v>
      </c>
    </row>
    <row r="609">
      <c r="A609" t="inlineStr">
        <is>
          <t>6 - UNIDAD DE SERVICIOS PÚBLICOS</t>
        </is>
      </c>
      <c r="B609" t="inlineStr">
        <is>
          <t>00 - SIN SECTOR</t>
        </is>
      </c>
      <c r="C609" t="inlineStr">
        <is>
          <t>00</t>
        </is>
      </c>
      <c r="D609" t="inlineStr">
        <is>
          <t>0000</t>
        </is>
      </c>
      <c r="E609" t="inlineStr">
        <is>
          <t>000000</t>
        </is>
      </c>
      <c r="F609" t="inlineStr">
        <is>
          <t>SIN PRODUCTO</t>
        </is>
      </c>
      <c r="G609" t="inlineStr">
        <is>
          <t>00</t>
        </is>
      </c>
      <c r="H609" t="inlineStr">
        <is>
          <t>00</t>
        </is>
      </c>
      <c r="I609" t="inlineStr">
        <is>
          <t>00</t>
        </is>
      </c>
      <c r="J609" t="inlineStr">
        <is>
          <t>SIN PRODUCTO DANE</t>
        </is>
      </c>
      <c r="K609" t="inlineStr">
        <is>
          <t>00</t>
        </is>
      </c>
      <c r="L609" t="inlineStr">
        <is>
          <t>SIN ATRIBUTO</t>
        </is>
      </c>
      <c r="N609" t="inlineStr">
        <is>
          <t>2.1.1.01.01</t>
        </is>
      </c>
      <c r="O609" t="inlineStr">
        <is>
          <t>Factores constitutivos de salario</t>
        </is>
      </c>
      <c r="P609" t="inlineStr">
        <is>
          <t>00</t>
        </is>
      </c>
      <c r="Q609" t="inlineStr">
        <is>
          <t>RECURSOS</t>
        </is>
      </c>
      <c r="R609" t="n">
        <v>100416399</v>
      </c>
      <c r="S609" t="n">
        <v>0</v>
      </c>
      <c r="T609" t="n">
        <v>0</v>
      </c>
      <c r="U609" t="n">
        <v>25382</v>
      </c>
      <c r="V609" t="n">
        <v>25382</v>
      </c>
      <c r="W609" t="n">
        <v>0</v>
      </c>
      <c r="X609" t="n">
        <v>0</v>
      </c>
      <c r="Y609" t="n">
        <v>100416399</v>
      </c>
      <c r="Z609" t="n">
        <v>39398035</v>
      </c>
      <c r="AA609" t="n">
        <v>39398035</v>
      </c>
      <c r="AB609" t="n">
        <v>39398035</v>
      </c>
      <c r="AC609" t="n">
        <v>39398035</v>
      </c>
      <c r="AD609" t="n">
        <v>61018364</v>
      </c>
      <c r="AE609" t="n">
        <v>39.23</v>
      </c>
    </row>
    <row r="610">
      <c r="A610" t="inlineStr">
        <is>
          <t>6 - UNIDAD DE SERVICIOS PÚBLICOS</t>
        </is>
      </c>
      <c r="B610" t="inlineStr">
        <is>
          <t>00 - SIN SECTOR</t>
        </is>
      </c>
      <c r="C610" t="inlineStr">
        <is>
          <t>00</t>
        </is>
      </c>
      <c r="D610" t="inlineStr">
        <is>
          <t>0000</t>
        </is>
      </c>
      <c r="E610" t="inlineStr">
        <is>
          <t>000000</t>
        </is>
      </c>
      <c r="F610" t="inlineStr">
        <is>
          <t>SIN PRODUCTO</t>
        </is>
      </c>
      <c r="G610" t="inlineStr">
        <is>
          <t>00</t>
        </is>
      </c>
      <c r="H610" t="inlineStr">
        <is>
          <t>00</t>
        </is>
      </c>
      <c r="I610" t="inlineStr">
        <is>
          <t>00</t>
        </is>
      </c>
      <c r="J610" t="inlineStr">
        <is>
          <t>SIN PRODUCTO DANE</t>
        </is>
      </c>
      <c r="K610" t="inlineStr">
        <is>
          <t>00</t>
        </is>
      </c>
      <c r="L610" t="inlineStr">
        <is>
          <t>SIN ATRIBUTO</t>
        </is>
      </c>
      <c r="N610" t="inlineStr">
        <is>
          <t>2.1.1.01.01.001</t>
        </is>
      </c>
      <c r="O610" t="inlineStr">
        <is>
          <t>Factores salariales comunes</t>
        </is>
      </c>
      <c r="P610" t="inlineStr">
        <is>
          <t>00</t>
        </is>
      </c>
      <c r="Q610" t="inlineStr">
        <is>
          <t>RECURSOS</t>
        </is>
      </c>
      <c r="R610" t="n">
        <v>100416399</v>
      </c>
      <c r="S610" t="n">
        <v>0</v>
      </c>
      <c r="T610" t="n">
        <v>0</v>
      </c>
      <c r="U610" t="n">
        <v>25382</v>
      </c>
      <c r="V610" t="n">
        <v>25382</v>
      </c>
      <c r="W610" t="n">
        <v>0</v>
      </c>
      <c r="X610" t="n">
        <v>0</v>
      </c>
      <c r="Y610" t="n">
        <v>100416399</v>
      </c>
      <c r="Z610" t="n">
        <v>39398035</v>
      </c>
      <c r="AA610" t="n">
        <v>39398035</v>
      </c>
      <c r="AB610" t="n">
        <v>39398035</v>
      </c>
      <c r="AC610" t="n">
        <v>39398035</v>
      </c>
      <c r="AD610" t="n">
        <v>61018364</v>
      </c>
      <c r="AE610" t="n">
        <v>39.23</v>
      </c>
    </row>
    <row r="611">
      <c r="A611" t="inlineStr">
        <is>
          <t>6 - UNIDAD DE SERVICIOS PÚBLICOS</t>
        </is>
      </c>
      <c r="B611" t="inlineStr">
        <is>
          <t>00 - SIN SECTOR</t>
        </is>
      </c>
      <c r="C611" t="inlineStr">
        <is>
          <t>00</t>
        </is>
      </c>
      <c r="D611" t="inlineStr">
        <is>
          <t>0000</t>
        </is>
      </c>
      <c r="E611" t="inlineStr">
        <is>
          <t>000000</t>
        </is>
      </c>
      <c r="F611" t="inlineStr">
        <is>
          <t>SIN PRODUCTO</t>
        </is>
      </c>
      <c r="G611" t="inlineStr">
        <is>
          <t>00</t>
        </is>
      </c>
      <c r="H611" t="inlineStr">
        <is>
          <t>00</t>
        </is>
      </c>
      <c r="I611" t="inlineStr">
        <is>
          <t>00</t>
        </is>
      </c>
      <c r="J611" t="inlineStr">
        <is>
          <t>SIN PRODUCTO DANE</t>
        </is>
      </c>
      <c r="K611" t="inlineStr">
        <is>
          <t>00</t>
        </is>
      </c>
      <c r="L611" t="inlineStr">
        <is>
          <t>SIN ATRIBUTO</t>
        </is>
      </c>
      <c r="N611" t="inlineStr">
        <is>
          <t>2.1.1.01.01.001.01</t>
        </is>
      </c>
      <c r="O611" t="inlineStr">
        <is>
          <t>Sueldo basico</t>
        </is>
      </c>
      <c r="P611" t="inlineStr">
        <is>
          <t>00</t>
        </is>
      </c>
      <c r="Q611" t="inlineStr">
        <is>
          <t>RECURSOS</t>
        </is>
      </c>
      <c r="R611" t="n">
        <v>79956134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79956134</v>
      </c>
      <c r="Z611" t="n">
        <v>31605752</v>
      </c>
      <c r="AA611" t="n">
        <v>31605752</v>
      </c>
      <c r="AB611" t="n">
        <v>31605752</v>
      </c>
      <c r="AC611" t="n">
        <v>31605752</v>
      </c>
      <c r="AD611" t="n">
        <v>48350382</v>
      </c>
      <c r="AE611" t="n">
        <v>39.53</v>
      </c>
    </row>
    <row r="612">
      <c r="A612" t="inlineStr">
        <is>
          <t>6 - UNIDAD DE SERVICIOS PÚBLICOS</t>
        </is>
      </c>
      <c r="B612" t="inlineStr">
        <is>
          <t>00 - SIN SECTOR</t>
        </is>
      </c>
      <c r="C612" t="inlineStr">
        <is>
          <t>00</t>
        </is>
      </c>
      <c r="D612" t="inlineStr">
        <is>
          <t>0000</t>
        </is>
      </c>
      <c r="E612" t="inlineStr">
        <is>
          <t>000000</t>
        </is>
      </c>
      <c r="F612" t="inlineStr">
        <is>
          <t>SIN PRODUCTO</t>
        </is>
      </c>
      <c r="G612" t="inlineStr">
        <is>
          <t>00</t>
        </is>
      </c>
      <c r="H612" t="inlineStr">
        <is>
          <t>00</t>
        </is>
      </c>
      <c r="I612" t="inlineStr">
        <is>
          <t>00</t>
        </is>
      </c>
      <c r="J612" t="inlineStr">
        <is>
          <t>SIN PRODUCTO DANE</t>
        </is>
      </c>
      <c r="K612" t="inlineStr">
        <is>
          <t>00</t>
        </is>
      </c>
      <c r="L612" t="inlineStr">
        <is>
          <t>SIN ATRIBUTO</t>
        </is>
      </c>
      <c r="N612" t="inlineStr">
        <is>
          <t>2.1.1.01.01.001.01.01</t>
        </is>
      </c>
      <c r="O612" t="inlineStr">
        <is>
          <t>Sueldo básico Admtivo</t>
        </is>
      </c>
      <c r="P612" t="inlineStr">
        <is>
          <t>292.1</t>
        </is>
      </c>
      <c r="Q612" t="inlineStr">
        <is>
          <t>Transferencia AAA ACUEDUCTO</t>
        </is>
      </c>
      <c r="R612" t="n">
        <v>44194131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44194131</v>
      </c>
      <c r="Z612" t="n">
        <v>19399552</v>
      </c>
      <c r="AA612" t="n">
        <v>19399552</v>
      </c>
      <c r="AB612" t="n">
        <v>19399552</v>
      </c>
      <c r="AC612" t="n">
        <v>19399552</v>
      </c>
      <c r="AD612" t="n">
        <v>24794579</v>
      </c>
      <c r="AE612" t="n">
        <v>43.9</v>
      </c>
    </row>
    <row r="613">
      <c r="A613" t="inlineStr">
        <is>
          <t>6 - UNIDAD DE SERVICIOS PÚBLICOS</t>
        </is>
      </c>
      <c r="B613" t="inlineStr">
        <is>
          <t>00 - SIN SECTOR</t>
        </is>
      </c>
      <c r="C613" t="inlineStr">
        <is>
          <t>00</t>
        </is>
      </c>
      <c r="D613" t="inlineStr">
        <is>
          <t>0000</t>
        </is>
      </c>
      <c r="E613" t="inlineStr">
        <is>
          <t>000000</t>
        </is>
      </c>
      <c r="F613" t="inlineStr">
        <is>
          <t>SIN PRODUCTO</t>
        </is>
      </c>
      <c r="G613" t="inlineStr">
        <is>
          <t>00</t>
        </is>
      </c>
      <c r="H613" t="inlineStr">
        <is>
          <t>00</t>
        </is>
      </c>
      <c r="I613" t="inlineStr">
        <is>
          <t>00</t>
        </is>
      </c>
      <c r="J613" t="inlineStr">
        <is>
          <t>SIN PRODUCTO DANE</t>
        </is>
      </c>
      <c r="K613" t="inlineStr">
        <is>
          <t>00</t>
        </is>
      </c>
      <c r="L613" t="inlineStr">
        <is>
          <t>SIN ATRIBUTO</t>
        </is>
      </c>
      <c r="N613" t="inlineStr">
        <is>
          <t>2.1.1.01.01.001.01.02</t>
        </is>
      </c>
      <c r="O613" t="inlineStr">
        <is>
          <t>Sueldo básico Admtivo</t>
        </is>
      </c>
      <c r="P613" t="inlineStr">
        <is>
          <t>104</t>
        </is>
      </c>
      <c r="Q613" t="inlineStr">
        <is>
          <t>RECURSOS PROPIOS AAA</t>
        </is>
      </c>
      <c r="R613" t="n">
        <v>21600717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21600717</v>
      </c>
      <c r="Z613" t="n">
        <v>0</v>
      </c>
      <c r="AA613" t="n">
        <v>0</v>
      </c>
      <c r="AB613" t="n">
        <v>0</v>
      </c>
      <c r="AC613" t="n">
        <v>0</v>
      </c>
      <c r="AD613" t="n">
        <v>21600717</v>
      </c>
      <c r="AE613" t="n">
        <v>0</v>
      </c>
    </row>
    <row r="614">
      <c r="A614" t="inlineStr">
        <is>
          <t>6 - UNIDAD DE SERVICIOS PÚBLICOS</t>
        </is>
      </c>
      <c r="B614" t="inlineStr">
        <is>
          <t>00 - SIN SECTOR</t>
        </is>
      </c>
      <c r="C614" t="inlineStr">
        <is>
          <t>00</t>
        </is>
      </c>
      <c r="D614" t="inlineStr">
        <is>
          <t>0000</t>
        </is>
      </c>
      <c r="E614" t="inlineStr">
        <is>
          <t>000000</t>
        </is>
      </c>
      <c r="F614" t="inlineStr">
        <is>
          <t>SIN PRODUCTO</t>
        </is>
      </c>
      <c r="G614" t="inlineStr">
        <is>
          <t>00</t>
        </is>
      </c>
      <c r="H614" t="inlineStr">
        <is>
          <t>00</t>
        </is>
      </c>
      <c r="I614" t="inlineStr">
        <is>
          <t>00</t>
        </is>
      </c>
      <c r="J614" t="inlineStr">
        <is>
          <t>SIN PRODUCTO DANE</t>
        </is>
      </c>
      <c r="K614" t="inlineStr">
        <is>
          <t>00</t>
        </is>
      </c>
      <c r="L614" t="inlineStr">
        <is>
          <t>SIN ATRIBUTO</t>
        </is>
      </c>
      <c r="N614" t="inlineStr">
        <is>
          <t>2.1.1.01.01.001.01.03</t>
        </is>
      </c>
      <c r="O614" t="inlineStr">
        <is>
          <t>Sueldos Aseo</t>
        </is>
      </c>
      <c r="P614" t="inlineStr">
        <is>
          <t>292.2</t>
        </is>
      </c>
      <c r="Q614" t="inlineStr">
        <is>
          <t>Transferencia AAA ALCANTARILLADO</t>
        </is>
      </c>
      <c r="R614" t="n">
        <v>14161286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14161286</v>
      </c>
      <c r="Z614" t="n">
        <v>12206200</v>
      </c>
      <c r="AA614" t="n">
        <v>12206200</v>
      </c>
      <c r="AB614" t="n">
        <v>12206200</v>
      </c>
      <c r="AC614" t="n">
        <v>12206200</v>
      </c>
      <c r="AD614" t="n">
        <v>1955086</v>
      </c>
      <c r="AE614" t="n">
        <v>86.19</v>
      </c>
    </row>
    <row r="615">
      <c r="A615" t="inlineStr">
        <is>
          <t>6 - UNIDAD DE SERVICIOS PÚBLICOS</t>
        </is>
      </c>
      <c r="B615" t="inlineStr">
        <is>
          <t>00 - SIN SECTOR</t>
        </is>
      </c>
      <c r="C615" t="inlineStr">
        <is>
          <t>00</t>
        </is>
      </c>
      <c r="D615" t="inlineStr">
        <is>
          <t>0000</t>
        </is>
      </c>
      <c r="E615" t="inlineStr">
        <is>
          <t>000000</t>
        </is>
      </c>
      <c r="F615" t="inlineStr">
        <is>
          <t>SIN PRODUCTO</t>
        </is>
      </c>
      <c r="G615" t="inlineStr">
        <is>
          <t>00</t>
        </is>
      </c>
      <c r="H615" t="inlineStr">
        <is>
          <t>00</t>
        </is>
      </c>
      <c r="I615" t="inlineStr">
        <is>
          <t>00</t>
        </is>
      </c>
      <c r="J615" t="inlineStr">
        <is>
          <t>SIN PRODUCTO DANE</t>
        </is>
      </c>
      <c r="K615" t="inlineStr">
        <is>
          <t>00</t>
        </is>
      </c>
      <c r="L615" t="inlineStr">
        <is>
          <t>SIN ATRIBUTO</t>
        </is>
      </c>
      <c r="N615" t="inlineStr">
        <is>
          <t>2.1.1.01.01.001.04</t>
        </is>
      </c>
      <c r="O615" t="inlineStr">
        <is>
          <t>Subsidio de alimentacion</t>
        </is>
      </c>
      <c r="P615" t="inlineStr">
        <is>
          <t>00</t>
        </is>
      </c>
      <c r="Q615" t="inlineStr">
        <is>
          <t>RECURSOS</t>
        </is>
      </c>
      <c r="R615" t="n">
        <v>1382304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1382304</v>
      </c>
      <c r="Z615" t="n">
        <v>529285</v>
      </c>
      <c r="AA615" t="n">
        <v>529285</v>
      </c>
      <c r="AB615" t="n">
        <v>529285</v>
      </c>
      <c r="AC615" t="n">
        <v>529285</v>
      </c>
      <c r="AD615" t="n">
        <v>853019</v>
      </c>
      <c r="AE615" t="n">
        <v>38.29</v>
      </c>
    </row>
    <row r="616">
      <c r="A616" t="inlineStr">
        <is>
          <t>6 - UNIDAD DE SERVICIOS PÚBLICOS</t>
        </is>
      </c>
      <c r="B616" t="inlineStr">
        <is>
          <t>00 - SIN SECTOR</t>
        </is>
      </c>
      <c r="C616" t="inlineStr">
        <is>
          <t>00</t>
        </is>
      </c>
      <c r="D616" t="inlineStr">
        <is>
          <t>0000</t>
        </is>
      </c>
      <c r="E616" t="inlineStr">
        <is>
          <t>000000</t>
        </is>
      </c>
      <c r="F616" t="inlineStr">
        <is>
          <t>SIN PRODUCTO</t>
        </is>
      </c>
      <c r="G616" t="inlineStr">
        <is>
          <t>00</t>
        </is>
      </c>
      <c r="H616" t="inlineStr">
        <is>
          <t>00</t>
        </is>
      </c>
      <c r="I616" t="inlineStr">
        <is>
          <t>00</t>
        </is>
      </c>
      <c r="J616" t="inlineStr">
        <is>
          <t>SIN PRODUCTO DANE</t>
        </is>
      </c>
      <c r="K616" t="inlineStr">
        <is>
          <t>00</t>
        </is>
      </c>
      <c r="L616" t="inlineStr">
        <is>
          <t>SIN ATRIBUTO</t>
        </is>
      </c>
      <c r="N616" t="inlineStr">
        <is>
          <t>2.1.1.01.01.001.04.01</t>
        </is>
      </c>
      <c r="O616" t="inlineStr">
        <is>
          <t>Subsidio de alimentacion ASEO</t>
        </is>
      </c>
      <c r="P616" t="inlineStr">
        <is>
          <t>292.3</t>
        </is>
      </c>
      <c r="Q616" t="inlineStr">
        <is>
          <t>Transferencia AAA ASEO</t>
        </is>
      </c>
      <c r="R616" t="n">
        <v>1382304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1382304</v>
      </c>
      <c r="Z616" t="n">
        <v>529285</v>
      </c>
      <c r="AA616" t="n">
        <v>529285</v>
      </c>
      <c r="AB616" t="n">
        <v>529285</v>
      </c>
      <c r="AC616" t="n">
        <v>529285</v>
      </c>
      <c r="AD616" t="n">
        <v>853019</v>
      </c>
      <c r="AE616" t="n">
        <v>38.29</v>
      </c>
    </row>
    <row r="617">
      <c r="A617" t="inlineStr">
        <is>
          <t>6 - UNIDAD DE SERVICIOS PÚBLICOS</t>
        </is>
      </c>
      <c r="B617" t="inlineStr">
        <is>
          <t>00 - SIN SECTOR</t>
        </is>
      </c>
      <c r="C617" t="inlineStr">
        <is>
          <t>00</t>
        </is>
      </c>
      <c r="D617" t="inlineStr">
        <is>
          <t>0000</t>
        </is>
      </c>
      <c r="E617" t="inlineStr">
        <is>
          <t>000000</t>
        </is>
      </c>
      <c r="F617" t="inlineStr">
        <is>
          <t>SIN PRODUCTO</t>
        </is>
      </c>
      <c r="G617" t="inlineStr">
        <is>
          <t>00</t>
        </is>
      </c>
      <c r="H617" t="inlineStr">
        <is>
          <t>00</t>
        </is>
      </c>
      <c r="I617" t="inlineStr">
        <is>
          <t>00</t>
        </is>
      </c>
      <c r="J617" t="inlineStr">
        <is>
          <t>SIN PRODUCTO DANE</t>
        </is>
      </c>
      <c r="K617" t="inlineStr">
        <is>
          <t>00</t>
        </is>
      </c>
      <c r="L617" t="inlineStr">
        <is>
          <t>SIN ATRIBUTO</t>
        </is>
      </c>
      <c r="N617" t="inlineStr">
        <is>
          <t>2.1.1.01.01.001.05</t>
        </is>
      </c>
      <c r="O617" t="inlineStr">
        <is>
          <t>Auxilio de transporte</t>
        </is>
      </c>
      <c r="P617" t="inlineStr">
        <is>
          <t>00</t>
        </is>
      </c>
      <c r="Q617" t="inlineStr">
        <is>
          <t>RECURSOS</t>
        </is>
      </c>
      <c r="R617" t="n">
        <v>2395008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2395008</v>
      </c>
      <c r="Z617" t="n">
        <v>1245475</v>
      </c>
      <c r="AA617" t="n">
        <v>1245475</v>
      </c>
      <c r="AB617" t="n">
        <v>1245475</v>
      </c>
      <c r="AC617" t="n">
        <v>1245475</v>
      </c>
      <c r="AD617" t="n">
        <v>1149533</v>
      </c>
      <c r="AE617" t="n">
        <v>52</v>
      </c>
    </row>
    <row r="618">
      <c r="A618" t="inlineStr">
        <is>
          <t>6 - UNIDAD DE SERVICIOS PÚBLICOS</t>
        </is>
      </c>
      <c r="B618" t="inlineStr">
        <is>
          <t>00 - SIN SECTOR</t>
        </is>
      </c>
      <c r="C618" t="inlineStr">
        <is>
          <t>00</t>
        </is>
      </c>
      <c r="D618" t="inlineStr">
        <is>
          <t>0000</t>
        </is>
      </c>
      <c r="E618" t="inlineStr">
        <is>
          <t>000000</t>
        </is>
      </c>
      <c r="F618" t="inlineStr">
        <is>
          <t>SIN PRODUCTO</t>
        </is>
      </c>
      <c r="G618" t="inlineStr">
        <is>
          <t>00</t>
        </is>
      </c>
      <c r="H618" t="inlineStr">
        <is>
          <t>00</t>
        </is>
      </c>
      <c r="I618" t="inlineStr">
        <is>
          <t>00</t>
        </is>
      </c>
      <c r="J618" t="inlineStr">
        <is>
          <t>SIN PRODUCTO DANE</t>
        </is>
      </c>
      <c r="K618" t="inlineStr">
        <is>
          <t>00</t>
        </is>
      </c>
      <c r="L618" t="inlineStr">
        <is>
          <t>SIN ATRIBUTO</t>
        </is>
      </c>
      <c r="N618" t="inlineStr">
        <is>
          <t>2.1.1.01.01.001.05.01</t>
        </is>
      </c>
      <c r="O618" t="inlineStr">
        <is>
          <t>Auxilio de transporte ASEO</t>
        </is>
      </c>
      <c r="P618" t="inlineStr">
        <is>
          <t>292.1</t>
        </is>
      </c>
      <c r="Q618" t="inlineStr">
        <is>
          <t>Transferencia AAA ACUEDUCTO</t>
        </is>
      </c>
      <c r="R618" t="n">
        <v>2395008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2395008</v>
      </c>
      <c r="Z618" t="n">
        <v>1245475</v>
      </c>
      <c r="AA618" t="n">
        <v>1245475</v>
      </c>
      <c r="AB618" t="n">
        <v>1245475</v>
      </c>
      <c r="AC618" t="n">
        <v>1245475</v>
      </c>
      <c r="AD618" t="n">
        <v>1149533</v>
      </c>
      <c r="AE618" t="n">
        <v>52</v>
      </c>
    </row>
    <row r="619">
      <c r="A619" t="inlineStr">
        <is>
          <t>6 - UNIDAD DE SERVICIOS PÚBLICOS</t>
        </is>
      </c>
      <c r="B619" t="inlineStr">
        <is>
          <t>00 - SIN SECTOR</t>
        </is>
      </c>
      <c r="C619" t="inlineStr">
        <is>
          <t>00</t>
        </is>
      </c>
      <c r="D619" t="inlineStr">
        <is>
          <t>0000</t>
        </is>
      </c>
      <c r="E619" t="inlineStr">
        <is>
          <t>000000</t>
        </is>
      </c>
      <c r="F619" t="inlineStr">
        <is>
          <t>SIN PRODUCTO</t>
        </is>
      </c>
      <c r="G619" t="inlineStr">
        <is>
          <t>00</t>
        </is>
      </c>
      <c r="H619" t="inlineStr">
        <is>
          <t>00</t>
        </is>
      </c>
      <c r="I619" t="inlineStr">
        <is>
          <t>00</t>
        </is>
      </c>
      <c r="J619" t="inlineStr">
        <is>
          <t>SIN PRODUCTO DANE</t>
        </is>
      </c>
      <c r="K619" t="inlineStr">
        <is>
          <t>00</t>
        </is>
      </c>
      <c r="L619" t="inlineStr">
        <is>
          <t>SIN ATRIBUTO</t>
        </is>
      </c>
      <c r="N619" t="inlineStr">
        <is>
          <t>2.1.1.01.01.001.06</t>
        </is>
      </c>
      <c r="O619" t="inlineStr">
        <is>
          <t>Prima de servicio</t>
        </is>
      </c>
      <c r="P619" t="inlineStr">
        <is>
          <t>00</t>
        </is>
      </c>
      <c r="Q619" t="inlineStr">
        <is>
          <t>RECURSOS</t>
        </is>
      </c>
      <c r="R619" t="n">
        <v>3492086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3492086</v>
      </c>
      <c r="Z619" t="n">
        <v>1036624</v>
      </c>
      <c r="AA619" t="n">
        <v>1036624</v>
      </c>
      <c r="AB619" t="n">
        <v>1036624</v>
      </c>
      <c r="AC619" t="n">
        <v>1036624</v>
      </c>
      <c r="AD619" t="n">
        <v>2455462</v>
      </c>
      <c r="AE619" t="n">
        <v>29.68</v>
      </c>
    </row>
    <row r="620">
      <c r="A620" t="inlineStr">
        <is>
          <t>6 - UNIDAD DE SERVICIOS PÚBLICOS</t>
        </is>
      </c>
      <c r="B620" t="inlineStr">
        <is>
          <t>00 - SIN SECTOR</t>
        </is>
      </c>
      <c r="C620" t="inlineStr">
        <is>
          <t>00</t>
        </is>
      </c>
      <c r="D620" t="inlineStr">
        <is>
          <t>0000</t>
        </is>
      </c>
      <c r="E620" t="inlineStr">
        <is>
          <t>000000</t>
        </is>
      </c>
      <c r="F620" t="inlineStr">
        <is>
          <t>SIN PRODUCTO</t>
        </is>
      </c>
      <c r="G620" t="inlineStr">
        <is>
          <t>00</t>
        </is>
      </c>
      <c r="H620" t="inlineStr">
        <is>
          <t>00</t>
        </is>
      </c>
      <c r="I620" t="inlineStr">
        <is>
          <t>00</t>
        </is>
      </c>
      <c r="J620" t="inlineStr">
        <is>
          <t>SIN PRODUCTO DANE</t>
        </is>
      </c>
      <c r="K620" t="inlineStr">
        <is>
          <t>00</t>
        </is>
      </c>
      <c r="L620" t="inlineStr">
        <is>
          <t>SIN ATRIBUTO</t>
        </is>
      </c>
      <c r="N620" t="inlineStr">
        <is>
          <t>2.1.1.01.01.001.06.01</t>
        </is>
      </c>
      <c r="O620" t="inlineStr">
        <is>
          <t>Prima de servicio Admtivo</t>
        </is>
      </c>
      <c r="P620" t="inlineStr">
        <is>
          <t>104</t>
        </is>
      </c>
      <c r="Q620" t="inlineStr">
        <is>
          <t>RECURSOS PROPIOS AAA</t>
        </is>
      </c>
      <c r="R620" t="n">
        <v>2052515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2052515</v>
      </c>
      <c r="Z620" t="n">
        <v>1036624</v>
      </c>
      <c r="AA620" t="n">
        <v>1036624</v>
      </c>
      <c r="AB620" t="n">
        <v>1036624</v>
      </c>
      <c r="AC620" t="n">
        <v>1036624</v>
      </c>
      <c r="AD620" t="n">
        <v>1015891</v>
      </c>
      <c r="AE620" t="n">
        <v>50.51</v>
      </c>
    </row>
    <row r="621">
      <c r="A621" t="inlineStr">
        <is>
          <t>6 - UNIDAD DE SERVICIOS PÚBLICOS</t>
        </is>
      </c>
      <c r="B621" t="inlineStr">
        <is>
          <t>00 - SIN SECTOR</t>
        </is>
      </c>
      <c r="C621" t="inlineStr">
        <is>
          <t>00</t>
        </is>
      </c>
      <c r="D621" t="inlineStr">
        <is>
          <t>0000</t>
        </is>
      </c>
      <c r="E621" t="inlineStr">
        <is>
          <t>000000</t>
        </is>
      </c>
      <c r="F621" t="inlineStr">
        <is>
          <t>SIN PRODUCTO</t>
        </is>
      </c>
      <c r="G621" t="inlineStr">
        <is>
          <t>00</t>
        </is>
      </c>
      <c r="H621" t="inlineStr">
        <is>
          <t>00</t>
        </is>
      </c>
      <c r="I621" t="inlineStr">
        <is>
          <t>00</t>
        </is>
      </c>
      <c r="J621" t="inlineStr">
        <is>
          <t>SIN PRODUCTO DANE</t>
        </is>
      </c>
      <c r="K621" t="inlineStr">
        <is>
          <t>00</t>
        </is>
      </c>
      <c r="L621" t="inlineStr">
        <is>
          <t>SIN ATRIBUTO</t>
        </is>
      </c>
      <c r="N621" t="inlineStr">
        <is>
          <t>2.1.1.01.01.001.06.02</t>
        </is>
      </c>
      <c r="O621" t="inlineStr">
        <is>
          <t>Prima de servicio Aseo</t>
        </is>
      </c>
      <c r="P621" t="inlineStr">
        <is>
          <t>292.1</t>
        </is>
      </c>
      <c r="Q621" t="inlineStr">
        <is>
          <t>Transferencia AAA ACUEDUCTO</t>
        </is>
      </c>
      <c r="R621" t="n">
        <v>1439571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1439571</v>
      </c>
      <c r="Z621" t="n">
        <v>0</v>
      </c>
      <c r="AA621" t="n">
        <v>0</v>
      </c>
      <c r="AB621" t="n">
        <v>0</v>
      </c>
      <c r="AC621" t="n">
        <v>0</v>
      </c>
      <c r="AD621" t="n">
        <v>1439571</v>
      </c>
      <c r="AE621" t="n">
        <v>0</v>
      </c>
    </row>
    <row r="622">
      <c r="A622" t="inlineStr">
        <is>
          <t>6 - UNIDAD DE SERVICIOS PÚBLICOS</t>
        </is>
      </c>
      <c r="B622" t="inlineStr">
        <is>
          <t>00 - SIN SECTOR</t>
        </is>
      </c>
      <c r="C622" t="inlineStr">
        <is>
          <t>00</t>
        </is>
      </c>
      <c r="D622" t="inlineStr">
        <is>
          <t>0000</t>
        </is>
      </c>
      <c r="E622" t="inlineStr">
        <is>
          <t>000000</t>
        </is>
      </c>
      <c r="F622" t="inlineStr">
        <is>
          <t>SIN PRODUCTO</t>
        </is>
      </c>
      <c r="G622" t="inlineStr">
        <is>
          <t>00</t>
        </is>
      </c>
      <c r="H622" t="inlineStr">
        <is>
          <t>00</t>
        </is>
      </c>
      <c r="I622" t="inlineStr">
        <is>
          <t>00</t>
        </is>
      </c>
      <c r="J622" t="inlineStr">
        <is>
          <t>SIN PRODUCTO DANE</t>
        </is>
      </c>
      <c r="K622" t="inlineStr">
        <is>
          <t>00</t>
        </is>
      </c>
      <c r="L622" t="inlineStr">
        <is>
          <t>SIN ATRIBUTO</t>
        </is>
      </c>
      <c r="N622" t="inlineStr">
        <is>
          <t>2.1.1.01.01.001.07</t>
        </is>
      </c>
      <c r="O622" t="inlineStr">
        <is>
          <t>Bonificacion por servicios prestados</t>
        </is>
      </c>
      <c r="P622" t="inlineStr">
        <is>
          <t>00</t>
        </is>
      </c>
      <c r="Q622" t="inlineStr">
        <is>
          <t>RECURSOS</t>
        </is>
      </c>
      <c r="R622" t="n">
        <v>2724830</v>
      </c>
      <c r="S622" t="n">
        <v>0</v>
      </c>
      <c r="T622" t="n">
        <v>0</v>
      </c>
      <c r="U622" t="n">
        <v>25382</v>
      </c>
      <c r="V622" t="n">
        <v>25382</v>
      </c>
      <c r="W622" t="n">
        <v>0</v>
      </c>
      <c r="X622" t="n">
        <v>0</v>
      </c>
      <c r="Y622" t="n">
        <v>2724830</v>
      </c>
      <c r="Z622" t="n">
        <v>2715283</v>
      </c>
      <c r="AA622" t="n">
        <v>2715283</v>
      </c>
      <c r="AB622" t="n">
        <v>2715283</v>
      </c>
      <c r="AC622" t="n">
        <v>2715283</v>
      </c>
      <c r="AD622" t="n">
        <v>9547</v>
      </c>
      <c r="AE622" t="n">
        <v>99.65000000000001</v>
      </c>
    </row>
    <row r="623">
      <c r="A623" t="inlineStr">
        <is>
          <t>6 - UNIDAD DE SERVICIOS PÚBLICOS</t>
        </is>
      </c>
      <c r="B623" t="inlineStr">
        <is>
          <t>00 - SIN SECTOR</t>
        </is>
      </c>
      <c r="C623" t="inlineStr">
        <is>
          <t>00</t>
        </is>
      </c>
      <c r="D623" t="inlineStr">
        <is>
          <t>0000</t>
        </is>
      </c>
      <c r="E623" t="inlineStr">
        <is>
          <t>000000</t>
        </is>
      </c>
      <c r="F623" t="inlineStr">
        <is>
          <t>SIN PRODUCTO</t>
        </is>
      </c>
      <c r="G623" t="inlineStr">
        <is>
          <t>00</t>
        </is>
      </c>
      <c r="H623" t="inlineStr">
        <is>
          <t>00</t>
        </is>
      </c>
      <c r="I623" t="inlineStr">
        <is>
          <t>00</t>
        </is>
      </c>
      <c r="J623" t="inlineStr">
        <is>
          <t>SIN PRODUCTO DANE</t>
        </is>
      </c>
      <c r="K623" t="inlineStr">
        <is>
          <t>00</t>
        </is>
      </c>
      <c r="L623" t="inlineStr">
        <is>
          <t>SIN ATRIBUTO</t>
        </is>
      </c>
      <c r="N623" t="inlineStr">
        <is>
          <t>2.1.1.01.01.001.07.01</t>
        </is>
      </c>
      <c r="O623" t="inlineStr">
        <is>
          <t>Bonificación por servicios prestados Admtivo</t>
        </is>
      </c>
      <c r="P623" t="inlineStr">
        <is>
          <t>292.1</t>
        </is>
      </c>
      <c r="Q623" t="inlineStr">
        <is>
          <t>Transferencia AAA ACUEDUCTO</t>
        </is>
      </c>
      <c r="R623" t="n">
        <v>1396043</v>
      </c>
      <c r="S623" t="n">
        <v>0</v>
      </c>
      <c r="T623" t="n">
        <v>0</v>
      </c>
      <c r="U623" t="n">
        <v>25382</v>
      </c>
      <c r="V623" t="n">
        <v>0</v>
      </c>
      <c r="W623" t="n">
        <v>0</v>
      </c>
      <c r="X623" t="n">
        <v>0</v>
      </c>
      <c r="Y623" t="n">
        <v>1421425</v>
      </c>
      <c r="Z623" t="n">
        <v>1421425</v>
      </c>
      <c r="AA623" t="n">
        <v>1421425</v>
      </c>
      <c r="AB623" t="n">
        <v>1421425</v>
      </c>
      <c r="AC623" t="n">
        <v>1421425</v>
      </c>
      <c r="AD623" t="n">
        <v>0</v>
      </c>
      <c r="AE623" t="n">
        <v>100</v>
      </c>
    </row>
    <row r="624">
      <c r="A624" t="inlineStr">
        <is>
          <t>6 - UNIDAD DE SERVICIOS PÚBLICOS</t>
        </is>
      </c>
      <c r="B624" t="inlineStr">
        <is>
          <t>00 - SIN SECTOR</t>
        </is>
      </c>
      <c r="C624" t="inlineStr">
        <is>
          <t>00</t>
        </is>
      </c>
      <c r="D624" t="inlineStr">
        <is>
          <t>0000</t>
        </is>
      </c>
      <c r="E624" t="inlineStr">
        <is>
          <t>000000</t>
        </is>
      </c>
      <c r="F624" t="inlineStr">
        <is>
          <t>SIN PRODUCTO</t>
        </is>
      </c>
      <c r="G624" t="inlineStr">
        <is>
          <t>00</t>
        </is>
      </c>
      <c r="H624" t="inlineStr">
        <is>
          <t>00</t>
        </is>
      </c>
      <c r="I624" t="inlineStr">
        <is>
          <t>00</t>
        </is>
      </c>
      <c r="J624" t="inlineStr">
        <is>
          <t>SIN PRODUCTO DANE</t>
        </is>
      </c>
      <c r="K624" t="inlineStr">
        <is>
          <t>00</t>
        </is>
      </c>
      <c r="L624" t="inlineStr">
        <is>
          <t>SIN ATRIBUTO</t>
        </is>
      </c>
      <c r="N624" t="inlineStr">
        <is>
          <t>2.1.1.01.01.001.07.02</t>
        </is>
      </c>
      <c r="O624" t="inlineStr">
        <is>
          <t>Bonificación por servicios prestados Aseo</t>
        </is>
      </c>
      <c r="P624" t="inlineStr">
        <is>
          <t>292.1</t>
        </is>
      </c>
      <c r="Q624" t="inlineStr">
        <is>
          <t>Transferencia AAA ACUEDUCTO</t>
        </is>
      </c>
      <c r="R624" t="n">
        <v>1328787</v>
      </c>
      <c r="S624" t="n">
        <v>0</v>
      </c>
      <c r="T624" t="n">
        <v>0</v>
      </c>
      <c r="U624" t="n">
        <v>0</v>
      </c>
      <c r="V624" t="n">
        <v>25382</v>
      </c>
      <c r="W624" t="n">
        <v>0</v>
      </c>
      <c r="X624" t="n">
        <v>0</v>
      </c>
      <c r="Y624" t="n">
        <v>1303405</v>
      </c>
      <c r="Z624" t="n">
        <v>1293858</v>
      </c>
      <c r="AA624" t="n">
        <v>1293858</v>
      </c>
      <c r="AB624" t="n">
        <v>1293858</v>
      </c>
      <c r="AC624" t="n">
        <v>1293858</v>
      </c>
      <c r="AD624" t="n">
        <v>9547</v>
      </c>
      <c r="AE624" t="n">
        <v>99.27</v>
      </c>
    </row>
    <row r="625">
      <c r="A625" t="inlineStr">
        <is>
          <t>6 - UNIDAD DE SERVICIOS PÚBLICOS</t>
        </is>
      </c>
      <c r="B625" t="inlineStr">
        <is>
          <t>00 - SIN SECTOR</t>
        </is>
      </c>
      <c r="C625" t="inlineStr">
        <is>
          <t>00</t>
        </is>
      </c>
      <c r="D625" t="inlineStr">
        <is>
          <t>0000</t>
        </is>
      </c>
      <c r="E625" t="inlineStr">
        <is>
          <t>000000</t>
        </is>
      </c>
      <c r="F625" t="inlineStr">
        <is>
          <t>SIN PRODUCTO</t>
        </is>
      </c>
      <c r="G625" t="inlineStr">
        <is>
          <t>00</t>
        </is>
      </c>
      <c r="H625" t="inlineStr">
        <is>
          <t>00</t>
        </is>
      </c>
      <c r="I625" t="inlineStr">
        <is>
          <t>00</t>
        </is>
      </c>
      <c r="J625" t="inlineStr">
        <is>
          <t>SIN PRODUCTO DANE</t>
        </is>
      </c>
      <c r="K625" t="inlineStr">
        <is>
          <t>00</t>
        </is>
      </c>
      <c r="L625" t="inlineStr">
        <is>
          <t>SIN ATRIBUTO</t>
        </is>
      </c>
      <c r="N625" t="inlineStr">
        <is>
          <t>2.1.1.01.01.001.08</t>
        </is>
      </c>
      <c r="O625" t="inlineStr">
        <is>
          <t>Prestaciones sociales</t>
        </is>
      </c>
      <c r="P625" t="inlineStr">
        <is>
          <t>00</t>
        </is>
      </c>
      <c r="Q625" t="inlineStr">
        <is>
          <t>RECURSOS</t>
        </is>
      </c>
      <c r="R625" t="n">
        <v>10466037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10466037</v>
      </c>
      <c r="Z625" t="n">
        <v>2265616</v>
      </c>
      <c r="AA625" t="n">
        <v>2265616</v>
      </c>
      <c r="AB625" t="n">
        <v>2265616</v>
      </c>
      <c r="AC625" t="n">
        <v>2265616</v>
      </c>
      <c r="AD625" t="n">
        <v>8200421</v>
      </c>
      <c r="AE625" t="n">
        <v>21.65</v>
      </c>
    </row>
    <row r="626">
      <c r="A626" t="inlineStr">
        <is>
          <t>6 - UNIDAD DE SERVICIOS PÚBLICOS</t>
        </is>
      </c>
      <c r="B626" t="inlineStr">
        <is>
          <t>00 - SIN SECTOR</t>
        </is>
      </c>
      <c r="C626" t="inlineStr">
        <is>
          <t>00</t>
        </is>
      </c>
      <c r="D626" t="inlineStr">
        <is>
          <t>0000</t>
        </is>
      </c>
      <c r="E626" t="inlineStr">
        <is>
          <t>000000</t>
        </is>
      </c>
      <c r="F626" t="inlineStr">
        <is>
          <t>SIN PRODUCTO</t>
        </is>
      </c>
      <c r="G626" t="inlineStr">
        <is>
          <t>00</t>
        </is>
      </c>
      <c r="H626" t="inlineStr">
        <is>
          <t>00</t>
        </is>
      </c>
      <c r="I626" t="inlineStr">
        <is>
          <t>00</t>
        </is>
      </c>
      <c r="J626" t="inlineStr">
        <is>
          <t>SIN PRODUCTO DANE</t>
        </is>
      </c>
      <c r="K626" t="inlineStr">
        <is>
          <t>00</t>
        </is>
      </c>
      <c r="L626" t="inlineStr">
        <is>
          <t>SIN ATRIBUTO</t>
        </is>
      </c>
      <c r="N626" t="inlineStr">
        <is>
          <t>2.1.1.01.01.001.08.01</t>
        </is>
      </c>
      <c r="O626" t="inlineStr">
        <is>
          <t>Prima de navidad</t>
        </is>
      </c>
      <c r="P626" t="inlineStr">
        <is>
          <t>00</t>
        </is>
      </c>
      <c r="Q626" t="inlineStr">
        <is>
          <t>RECURSOS</t>
        </is>
      </c>
      <c r="R626" t="n">
        <v>7045239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7045239</v>
      </c>
      <c r="Z626" t="n">
        <v>224762</v>
      </c>
      <c r="AA626" t="n">
        <v>224762</v>
      </c>
      <c r="AB626" t="n">
        <v>224762</v>
      </c>
      <c r="AC626" t="n">
        <v>224762</v>
      </c>
      <c r="AD626" t="n">
        <v>6820477</v>
      </c>
      <c r="AE626" t="n">
        <v>3.19</v>
      </c>
    </row>
    <row r="627">
      <c r="A627" t="inlineStr">
        <is>
          <t>6 - UNIDAD DE SERVICIOS PÚBLICOS</t>
        </is>
      </c>
      <c r="B627" t="inlineStr">
        <is>
          <t>00 - SIN SECTOR</t>
        </is>
      </c>
      <c r="C627" t="inlineStr">
        <is>
          <t>00</t>
        </is>
      </c>
      <c r="D627" t="inlineStr">
        <is>
          <t>0000</t>
        </is>
      </c>
      <c r="E627" t="inlineStr">
        <is>
          <t>000000</t>
        </is>
      </c>
      <c r="F627" t="inlineStr">
        <is>
          <t>SIN PRODUCTO</t>
        </is>
      </c>
      <c r="G627" t="inlineStr">
        <is>
          <t>00</t>
        </is>
      </c>
      <c r="H627" t="inlineStr">
        <is>
          <t>00</t>
        </is>
      </c>
      <c r="I627" t="inlineStr">
        <is>
          <t>00</t>
        </is>
      </c>
      <c r="J627" t="inlineStr">
        <is>
          <t>SIN PRODUCTO DANE</t>
        </is>
      </c>
      <c r="K627" t="inlineStr">
        <is>
          <t>00</t>
        </is>
      </c>
      <c r="L627" t="inlineStr">
        <is>
          <t>SIN ATRIBUTO</t>
        </is>
      </c>
      <c r="N627" t="inlineStr">
        <is>
          <t>2.1.1.01.01.001.08.01.01</t>
        </is>
      </c>
      <c r="O627" t="inlineStr">
        <is>
          <t>Prima de navidad Admtivo</t>
        </is>
      </c>
      <c r="P627" t="inlineStr">
        <is>
          <t>104</t>
        </is>
      </c>
      <c r="Q627" t="inlineStr">
        <is>
          <t>RECURSOS PROPIOS AAA</t>
        </is>
      </c>
      <c r="R627" t="n">
        <v>4196125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4196125</v>
      </c>
      <c r="Z627" t="n">
        <v>224762</v>
      </c>
      <c r="AA627" t="n">
        <v>224762</v>
      </c>
      <c r="AB627" t="n">
        <v>224762</v>
      </c>
      <c r="AC627" t="n">
        <v>224762</v>
      </c>
      <c r="AD627" t="n">
        <v>3971363</v>
      </c>
      <c r="AE627" t="n">
        <v>5.36</v>
      </c>
    </row>
    <row r="628">
      <c r="A628" t="inlineStr">
        <is>
          <t>6 - UNIDAD DE SERVICIOS PÚBLICOS</t>
        </is>
      </c>
      <c r="B628" t="inlineStr">
        <is>
          <t>00 - SIN SECTOR</t>
        </is>
      </c>
      <c r="C628" t="inlineStr">
        <is>
          <t>00</t>
        </is>
      </c>
      <c r="D628" t="inlineStr">
        <is>
          <t>0000</t>
        </is>
      </c>
      <c r="E628" t="inlineStr">
        <is>
          <t>000000</t>
        </is>
      </c>
      <c r="F628" t="inlineStr">
        <is>
          <t>SIN PRODUCTO</t>
        </is>
      </c>
      <c r="G628" t="inlineStr">
        <is>
          <t>00</t>
        </is>
      </c>
      <c r="H628" t="inlineStr">
        <is>
          <t>00</t>
        </is>
      </c>
      <c r="I628" t="inlineStr">
        <is>
          <t>00</t>
        </is>
      </c>
      <c r="J628" t="inlineStr">
        <is>
          <t>SIN PRODUCTO DANE</t>
        </is>
      </c>
      <c r="K628" t="inlineStr">
        <is>
          <t>00</t>
        </is>
      </c>
      <c r="L628" t="inlineStr">
        <is>
          <t>SIN ATRIBUTO</t>
        </is>
      </c>
      <c r="N628" t="inlineStr">
        <is>
          <t>2.1.1.01.01.001.08.01.02</t>
        </is>
      </c>
      <c r="O628" t="inlineStr">
        <is>
          <t>Prima de navidad Aseo</t>
        </is>
      </c>
      <c r="P628" t="inlineStr">
        <is>
          <t>104</t>
        </is>
      </c>
      <c r="Q628" t="inlineStr">
        <is>
          <t>RECURSOS PROPIOS AAA</t>
        </is>
      </c>
      <c r="R628" t="n">
        <v>2849114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2849114</v>
      </c>
      <c r="Z628" t="n">
        <v>0</v>
      </c>
      <c r="AA628" t="n">
        <v>0</v>
      </c>
      <c r="AB628" t="n">
        <v>0</v>
      </c>
      <c r="AC628" t="n">
        <v>0</v>
      </c>
      <c r="AD628" t="n">
        <v>2849114</v>
      </c>
      <c r="AE628" t="n">
        <v>0</v>
      </c>
    </row>
    <row r="629">
      <c r="A629" t="inlineStr">
        <is>
          <t>6 - UNIDAD DE SERVICIOS PÚBLICOS</t>
        </is>
      </c>
      <c r="B629" t="inlineStr">
        <is>
          <t>00 - SIN SECTOR</t>
        </is>
      </c>
      <c r="C629" t="inlineStr">
        <is>
          <t>00</t>
        </is>
      </c>
      <c r="D629" t="inlineStr">
        <is>
          <t>0000</t>
        </is>
      </c>
      <c r="E629" t="inlineStr">
        <is>
          <t>000000</t>
        </is>
      </c>
      <c r="F629" t="inlineStr">
        <is>
          <t>SIN PRODUCTO</t>
        </is>
      </c>
      <c r="G629" t="inlineStr">
        <is>
          <t>00</t>
        </is>
      </c>
      <c r="H629" t="inlineStr">
        <is>
          <t>00</t>
        </is>
      </c>
      <c r="I629" t="inlineStr">
        <is>
          <t>00</t>
        </is>
      </c>
      <c r="J629" t="inlineStr">
        <is>
          <t>SIN PRODUCTO DANE</t>
        </is>
      </c>
      <c r="K629" t="inlineStr">
        <is>
          <t>00</t>
        </is>
      </c>
      <c r="L629" t="inlineStr">
        <is>
          <t>SIN ATRIBUTO</t>
        </is>
      </c>
      <c r="N629" t="inlineStr">
        <is>
          <t>2.1.1.01.01.001.08.02</t>
        </is>
      </c>
      <c r="O629" t="inlineStr">
        <is>
          <t>Prima de vacaciones</t>
        </is>
      </c>
      <c r="P629" t="inlineStr">
        <is>
          <t>00</t>
        </is>
      </c>
      <c r="Q629" t="inlineStr">
        <is>
          <t>RECURSOS</t>
        </is>
      </c>
      <c r="R629" t="n">
        <v>3420798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3420798</v>
      </c>
      <c r="Z629" t="n">
        <v>2040854</v>
      </c>
      <c r="AA629" t="n">
        <v>2040854</v>
      </c>
      <c r="AB629" t="n">
        <v>2040854</v>
      </c>
      <c r="AC629" t="n">
        <v>2040854</v>
      </c>
      <c r="AD629" t="n">
        <v>1379944</v>
      </c>
      <c r="AE629" t="n">
        <v>59.66</v>
      </c>
    </row>
    <row r="630">
      <c r="A630" t="inlineStr">
        <is>
          <t>6 - UNIDAD DE SERVICIOS PÚBLICOS</t>
        </is>
      </c>
      <c r="B630" t="inlineStr">
        <is>
          <t>00 - SIN SECTOR</t>
        </is>
      </c>
      <c r="C630" t="inlineStr">
        <is>
          <t>00</t>
        </is>
      </c>
      <c r="D630" t="inlineStr">
        <is>
          <t>0000</t>
        </is>
      </c>
      <c r="E630" t="inlineStr">
        <is>
          <t>000000</t>
        </is>
      </c>
      <c r="F630" t="inlineStr">
        <is>
          <t>SIN PRODUCTO</t>
        </is>
      </c>
      <c r="G630" t="inlineStr">
        <is>
          <t>00</t>
        </is>
      </c>
      <c r="H630" t="inlineStr">
        <is>
          <t>00</t>
        </is>
      </c>
      <c r="I630" t="inlineStr">
        <is>
          <t>00</t>
        </is>
      </c>
      <c r="J630" t="inlineStr">
        <is>
          <t>SIN PRODUCTO DANE</t>
        </is>
      </c>
      <c r="K630" t="inlineStr">
        <is>
          <t>00</t>
        </is>
      </c>
      <c r="L630" t="inlineStr">
        <is>
          <t>SIN ATRIBUTO</t>
        </is>
      </c>
      <c r="N630" t="inlineStr">
        <is>
          <t>2.1.1.01.01.001.08.02.01</t>
        </is>
      </c>
      <c r="O630" t="inlineStr">
        <is>
          <t>Prima de vacaciones Admtivo</t>
        </is>
      </c>
      <c r="P630" t="inlineStr">
        <is>
          <t>292.1</t>
        </is>
      </c>
      <c r="Q630" t="inlineStr">
        <is>
          <t>Transferencia AAA ACUEDUCTO</t>
        </is>
      </c>
      <c r="R630" t="n">
        <v>2090559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2090559</v>
      </c>
      <c r="Z630" t="n">
        <v>2040854</v>
      </c>
      <c r="AA630" t="n">
        <v>2040854</v>
      </c>
      <c r="AB630" t="n">
        <v>2040854</v>
      </c>
      <c r="AC630" t="n">
        <v>2040854</v>
      </c>
      <c r="AD630" t="n">
        <v>49705</v>
      </c>
      <c r="AE630" t="n">
        <v>97.62</v>
      </c>
    </row>
    <row r="631">
      <c r="A631" t="inlineStr">
        <is>
          <t>6 - UNIDAD DE SERVICIOS PÚBLICOS</t>
        </is>
      </c>
      <c r="B631" t="inlineStr">
        <is>
          <t>00 - SIN SECTOR</t>
        </is>
      </c>
      <c r="C631" t="inlineStr">
        <is>
          <t>00</t>
        </is>
      </c>
      <c r="D631" t="inlineStr">
        <is>
          <t>0000</t>
        </is>
      </c>
      <c r="E631" t="inlineStr">
        <is>
          <t>000000</t>
        </is>
      </c>
      <c r="F631" t="inlineStr">
        <is>
          <t>SIN PRODUCTO</t>
        </is>
      </c>
      <c r="G631" t="inlineStr">
        <is>
          <t>00</t>
        </is>
      </c>
      <c r="H631" t="inlineStr">
        <is>
          <t>00</t>
        </is>
      </c>
      <c r="I631" t="inlineStr">
        <is>
          <t>00</t>
        </is>
      </c>
      <c r="J631" t="inlineStr">
        <is>
          <t>SIN PRODUCTO DANE</t>
        </is>
      </c>
      <c r="K631" t="inlineStr">
        <is>
          <t>00</t>
        </is>
      </c>
      <c r="L631" t="inlineStr">
        <is>
          <t>SIN ATRIBUTO</t>
        </is>
      </c>
      <c r="N631" t="inlineStr">
        <is>
          <t>2.1.1.01.01.001.08.02.02</t>
        </is>
      </c>
      <c r="O631" t="inlineStr">
        <is>
          <t>Prima de vacaciones Aseo</t>
        </is>
      </c>
      <c r="P631" t="inlineStr">
        <is>
          <t>292.1</t>
        </is>
      </c>
      <c r="Q631" t="inlineStr">
        <is>
          <t>Transferencia AAA ACUEDUCTO</t>
        </is>
      </c>
      <c r="R631" t="n">
        <v>1330239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1330239</v>
      </c>
      <c r="Z631" t="n">
        <v>0</v>
      </c>
      <c r="AA631" t="n">
        <v>0</v>
      </c>
      <c r="AB631" t="n">
        <v>0</v>
      </c>
      <c r="AC631" t="n">
        <v>0</v>
      </c>
      <c r="AD631" t="n">
        <v>1330239</v>
      </c>
      <c r="AE631" t="n">
        <v>0</v>
      </c>
    </row>
    <row r="632">
      <c r="A632" t="inlineStr">
        <is>
          <t>6 - UNIDAD DE SERVICIOS PÚBLICOS</t>
        </is>
      </c>
      <c r="B632" t="inlineStr">
        <is>
          <t>00 - SIN SECTOR</t>
        </is>
      </c>
      <c r="C632" t="inlineStr">
        <is>
          <t>00</t>
        </is>
      </c>
      <c r="D632" t="inlineStr">
        <is>
          <t>0000</t>
        </is>
      </c>
      <c r="E632" t="inlineStr">
        <is>
          <t>000000</t>
        </is>
      </c>
      <c r="F632" t="inlineStr">
        <is>
          <t>SIN PRODUCTO</t>
        </is>
      </c>
      <c r="G632" t="inlineStr">
        <is>
          <t>00</t>
        </is>
      </c>
      <c r="H632" t="inlineStr">
        <is>
          <t>00</t>
        </is>
      </c>
      <c r="I632" t="inlineStr">
        <is>
          <t>00</t>
        </is>
      </c>
      <c r="J632" t="inlineStr">
        <is>
          <t>SIN PRODUCTO DANE</t>
        </is>
      </c>
      <c r="K632" t="inlineStr">
        <is>
          <t>00</t>
        </is>
      </c>
      <c r="L632" t="inlineStr">
        <is>
          <t>SIN ATRIBUTO</t>
        </is>
      </c>
      <c r="N632" t="inlineStr">
        <is>
          <t>2.1.1.01.02</t>
        </is>
      </c>
      <c r="O632" t="inlineStr">
        <is>
          <t>Contribuciones inherentes a la nomina</t>
        </is>
      </c>
      <c r="P632" t="inlineStr">
        <is>
          <t>00</t>
        </is>
      </c>
      <c r="Q632" t="inlineStr">
        <is>
          <t>RECURSOS</t>
        </is>
      </c>
      <c r="R632" t="n">
        <v>33514534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33514534</v>
      </c>
      <c r="Z632" t="n">
        <v>19358324</v>
      </c>
      <c r="AA632" t="n">
        <v>19358324</v>
      </c>
      <c r="AB632" t="n">
        <v>19358324</v>
      </c>
      <c r="AC632" t="n">
        <v>19358324</v>
      </c>
      <c r="AD632" t="n">
        <v>14156210</v>
      </c>
      <c r="AE632" t="n">
        <v>57.76</v>
      </c>
    </row>
    <row r="633">
      <c r="A633" t="inlineStr">
        <is>
          <t>6 - UNIDAD DE SERVICIOS PÚBLICOS</t>
        </is>
      </c>
      <c r="B633" t="inlineStr">
        <is>
          <t>00 - SIN SECTOR</t>
        </is>
      </c>
      <c r="C633" t="inlineStr">
        <is>
          <t>00</t>
        </is>
      </c>
      <c r="D633" t="inlineStr">
        <is>
          <t>0000</t>
        </is>
      </c>
      <c r="E633" t="inlineStr">
        <is>
          <t>000000</t>
        </is>
      </c>
      <c r="F633" t="inlineStr">
        <is>
          <t>SIN PRODUCTO</t>
        </is>
      </c>
      <c r="G633" t="inlineStr">
        <is>
          <t>00</t>
        </is>
      </c>
      <c r="H633" t="inlineStr">
        <is>
          <t>00</t>
        </is>
      </c>
      <c r="I633" t="inlineStr">
        <is>
          <t>00</t>
        </is>
      </c>
      <c r="J633" t="inlineStr">
        <is>
          <t>SIN PRODUCTO DANE</t>
        </is>
      </c>
      <c r="K633" t="inlineStr">
        <is>
          <t>00</t>
        </is>
      </c>
      <c r="L633" t="inlineStr">
        <is>
          <t>SIN ATRIBUTO</t>
        </is>
      </c>
      <c r="N633" t="inlineStr">
        <is>
          <t>2.1.1.01.02.001</t>
        </is>
      </c>
      <c r="O633" t="inlineStr">
        <is>
          <t>Aportes a la seguridad social en pensiones</t>
        </is>
      </c>
      <c r="P633" t="inlineStr">
        <is>
          <t>00</t>
        </is>
      </c>
      <c r="Q633" t="inlineStr">
        <is>
          <t>RECURSOS</t>
        </is>
      </c>
      <c r="R633" t="n">
        <v>9457822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9457822</v>
      </c>
      <c r="Z633" t="n">
        <v>4223400</v>
      </c>
      <c r="AA633" t="n">
        <v>4223400</v>
      </c>
      <c r="AB633" t="n">
        <v>4223400</v>
      </c>
      <c r="AC633" t="n">
        <v>4223400</v>
      </c>
      <c r="AD633" t="n">
        <v>5234422</v>
      </c>
      <c r="AE633" t="n">
        <v>44.66</v>
      </c>
    </row>
    <row r="634">
      <c r="A634" t="inlineStr">
        <is>
          <t>6 - UNIDAD DE SERVICIOS PÚBLICOS</t>
        </is>
      </c>
      <c r="B634" t="inlineStr">
        <is>
          <t>00 - SIN SECTOR</t>
        </is>
      </c>
      <c r="C634" t="inlineStr">
        <is>
          <t>00</t>
        </is>
      </c>
      <c r="D634" t="inlineStr">
        <is>
          <t>0000</t>
        </is>
      </c>
      <c r="E634" t="inlineStr">
        <is>
          <t>000000</t>
        </is>
      </c>
      <c r="F634" t="inlineStr">
        <is>
          <t>SIN PRODUCTO</t>
        </is>
      </c>
      <c r="G634" t="inlineStr">
        <is>
          <t>00</t>
        </is>
      </c>
      <c r="H634" t="inlineStr">
        <is>
          <t>00</t>
        </is>
      </c>
      <c r="I634" t="inlineStr">
        <is>
          <t>00</t>
        </is>
      </c>
      <c r="J634" t="inlineStr">
        <is>
          <t>SIN PRODUCTO DANE</t>
        </is>
      </c>
      <c r="K634" t="inlineStr">
        <is>
          <t>00</t>
        </is>
      </c>
      <c r="L634" t="inlineStr">
        <is>
          <t>SIN ATRIBUTO</t>
        </is>
      </c>
      <c r="N634" t="inlineStr">
        <is>
          <t>2.1.1.01.02.001.01</t>
        </is>
      </c>
      <c r="O634" t="inlineStr">
        <is>
          <t>Aportes a Pension Admtivo</t>
        </is>
      </c>
      <c r="P634" t="inlineStr">
        <is>
          <t>292.1</t>
        </is>
      </c>
      <c r="Q634" t="inlineStr">
        <is>
          <t>Transferencia AAA ACUEDUCTO</t>
        </is>
      </c>
      <c r="R634" t="n">
        <v>5676750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5676750</v>
      </c>
      <c r="Z634" t="n">
        <v>2631500</v>
      </c>
      <c r="AA634" t="n">
        <v>2631500</v>
      </c>
      <c r="AB634" t="n">
        <v>2631500</v>
      </c>
      <c r="AC634" t="n">
        <v>2631500</v>
      </c>
      <c r="AD634" t="n">
        <v>3045250</v>
      </c>
      <c r="AE634" t="n">
        <v>46.36</v>
      </c>
    </row>
    <row r="635">
      <c r="A635" t="inlineStr">
        <is>
          <t>6 - UNIDAD DE SERVICIOS PÚBLICOS</t>
        </is>
      </c>
      <c r="B635" t="inlineStr">
        <is>
          <t>00 - SIN SECTOR</t>
        </is>
      </c>
      <c r="C635" t="inlineStr">
        <is>
          <t>00</t>
        </is>
      </c>
      <c r="D635" t="inlineStr">
        <is>
          <t>0000</t>
        </is>
      </c>
      <c r="E635" t="inlineStr">
        <is>
          <t>000000</t>
        </is>
      </c>
      <c r="F635" t="inlineStr">
        <is>
          <t>SIN PRODUCTO</t>
        </is>
      </c>
      <c r="G635" t="inlineStr">
        <is>
          <t>00</t>
        </is>
      </c>
      <c r="H635" t="inlineStr">
        <is>
          <t>00</t>
        </is>
      </c>
      <c r="I635" t="inlineStr">
        <is>
          <t>00</t>
        </is>
      </c>
      <c r="J635" t="inlineStr">
        <is>
          <t>SIN PRODUCTO DANE</t>
        </is>
      </c>
      <c r="K635" t="inlineStr">
        <is>
          <t>00</t>
        </is>
      </c>
      <c r="L635" t="inlineStr">
        <is>
          <t>SIN ATRIBUTO</t>
        </is>
      </c>
      <c r="N635" t="inlineStr">
        <is>
          <t>2.1.1.01.02.001.02</t>
        </is>
      </c>
      <c r="O635" t="inlineStr">
        <is>
          <t>Aportes a la seguridad social en pensiones Aseo</t>
        </is>
      </c>
      <c r="P635" t="inlineStr">
        <is>
          <t>292.1</t>
        </is>
      </c>
      <c r="Q635" t="inlineStr">
        <is>
          <t>Transferencia AAA ACUEDUCTO</t>
        </is>
      </c>
      <c r="R635" t="n">
        <v>3781072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3781072</v>
      </c>
      <c r="Z635" t="n">
        <v>1591900</v>
      </c>
      <c r="AA635" t="n">
        <v>1591900</v>
      </c>
      <c r="AB635" t="n">
        <v>1591900</v>
      </c>
      <c r="AC635" t="n">
        <v>1591900</v>
      </c>
      <c r="AD635" t="n">
        <v>2189172</v>
      </c>
      <c r="AE635" t="n">
        <v>42.1</v>
      </c>
    </row>
    <row r="636">
      <c r="A636" t="inlineStr">
        <is>
          <t>6 - UNIDAD DE SERVICIOS PÚBLICOS</t>
        </is>
      </c>
      <c r="B636" t="inlineStr">
        <is>
          <t>00 - SIN SECTOR</t>
        </is>
      </c>
      <c r="C636" t="inlineStr">
        <is>
          <t>00</t>
        </is>
      </c>
      <c r="D636" t="inlineStr">
        <is>
          <t>0000</t>
        </is>
      </c>
      <c r="E636" t="inlineStr">
        <is>
          <t>000000</t>
        </is>
      </c>
      <c r="F636" t="inlineStr">
        <is>
          <t>SIN PRODUCTO</t>
        </is>
      </c>
      <c r="G636" t="inlineStr">
        <is>
          <t>00</t>
        </is>
      </c>
      <c r="H636" t="inlineStr">
        <is>
          <t>00</t>
        </is>
      </c>
      <c r="I636" t="inlineStr">
        <is>
          <t>00</t>
        </is>
      </c>
      <c r="J636" t="inlineStr">
        <is>
          <t>SIN PRODUCTO DANE</t>
        </is>
      </c>
      <c r="K636" t="inlineStr">
        <is>
          <t>00</t>
        </is>
      </c>
      <c r="L636" t="inlineStr">
        <is>
          <t>SIN ATRIBUTO</t>
        </is>
      </c>
      <c r="N636" t="inlineStr">
        <is>
          <t>2.1.1.01.02.002</t>
        </is>
      </c>
      <c r="O636" t="inlineStr">
        <is>
          <t>Aportes a la seguridad social en salud</t>
        </is>
      </c>
      <c r="P636" t="inlineStr">
        <is>
          <t>00</t>
        </is>
      </c>
      <c r="Q636" t="inlineStr">
        <is>
          <t>RECURSOS</t>
        </is>
      </c>
      <c r="R636" t="n">
        <v>6699290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6699290</v>
      </c>
      <c r="Z636" t="n">
        <v>2991700</v>
      </c>
      <c r="AA636" t="n">
        <v>2991700</v>
      </c>
      <c r="AB636" t="n">
        <v>2991700</v>
      </c>
      <c r="AC636" t="n">
        <v>2991700</v>
      </c>
      <c r="AD636" t="n">
        <v>3707590</v>
      </c>
      <c r="AE636" t="n">
        <v>44.66</v>
      </c>
    </row>
    <row r="637">
      <c r="A637" t="inlineStr">
        <is>
          <t>6 - UNIDAD DE SERVICIOS PÚBLICOS</t>
        </is>
      </c>
      <c r="B637" t="inlineStr">
        <is>
          <t>00 - SIN SECTOR</t>
        </is>
      </c>
      <c r="C637" t="inlineStr">
        <is>
          <t>00</t>
        </is>
      </c>
      <c r="D637" t="inlineStr">
        <is>
          <t>0000</t>
        </is>
      </c>
      <c r="E637" t="inlineStr">
        <is>
          <t>000000</t>
        </is>
      </c>
      <c r="F637" t="inlineStr">
        <is>
          <t>SIN PRODUCTO</t>
        </is>
      </c>
      <c r="G637" t="inlineStr">
        <is>
          <t>00</t>
        </is>
      </c>
      <c r="H637" t="inlineStr">
        <is>
          <t>00</t>
        </is>
      </c>
      <c r="I637" t="inlineStr">
        <is>
          <t>00</t>
        </is>
      </c>
      <c r="J637" t="inlineStr">
        <is>
          <t>SIN PRODUCTO DANE</t>
        </is>
      </c>
      <c r="K637" t="inlineStr">
        <is>
          <t>00</t>
        </is>
      </c>
      <c r="L637" t="inlineStr">
        <is>
          <t>SIN ATRIBUTO</t>
        </is>
      </c>
      <c r="N637" t="inlineStr">
        <is>
          <t>2.1.1.01.02.002.01</t>
        </is>
      </c>
      <c r="O637" t="inlineStr">
        <is>
          <t>Aportes a Salud Admtivo</t>
        </is>
      </c>
      <c r="P637" t="inlineStr">
        <is>
          <t>104</t>
        </is>
      </c>
      <c r="Q637" t="inlineStr">
        <is>
          <t>RECURSOS PROPIOS AAA</t>
        </is>
      </c>
      <c r="R637" t="n">
        <v>4021031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4021031</v>
      </c>
      <c r="Z637" t="n">
        <v>1864000</v>
      </c>
      <c r="AA637" t="n">
        <v>1864000</v>
      </c>
      <c r="AB637" t="n">
        <v>1864000</v>
      </c>
      <c r="AC637" t="n">
        <v>1864000</v>
      </c>
      <c r="AD637" t="n">
        <v>2157031</v>
      </c>
      <c r="AE637" t="n">
        <v>46.36</v>
      </c>
    </row>
    <row r="638">
      <c r="A638" t="inlineStr">
        <is>
          <t>6 - UNIDAD DE SERVICIOS PÚBLICOS</t>
        </is>
      </c>
      <c r="B638" t="inlineStr">
        <is>
          <t>00 - SIN SECTOR</t>
        </is>
      </c>
      <c r="C638" t="inlineStr">
        <is>
          <t>00</t>
        </is>
      </c>
      <c r="D638" t="inlineStr">
        <is>
          <t>0000</t>
        </is>
      </c>
      <c r="E638" t="inlineStr">
        <is>
          <t>000000</t>
        </is>
      </c>
      <c r="F638" t="inlineStr">
        <is>
          <t>SIN PRODUCTO</t>
        </is>
      </c>
      <c r="G638" t="inlineStr">
        <is>
          <t>00</t>
        </is>
      </c>
      <c r="H638" t="inlineStr">
        <is>
          <t>00</t>
        </is>
      </c>
      <c r="I638" t="inlineStr">
        <is>
          <t>00</t>
        </is>
      </c>
      <c r="J638" t="inlineStr">
        <is>
          <t>SIN PRODUCTO DANE</t>
        </is>
      </c>
      <c r="K638" t="inlineStr">
        <is>
          <t>00</t>
        </is>
      </c>
      <c r="L638" t="inlineStr">
        <is>
          <t>SIN ATRIBUTO</t>
        </is>
      </c>
      <c r="N638" t="inlineStr">
        <is>
          <t>2.1.1.01.02.002.02</t>
        </is>
      </c>
      <c r="O638" t="inlineStr">
        <is>
          <t>Aportes a la seguridad social en salud Aseo</t>
        </is>
      </c>
      <c r="P638" t="inlineStr">
        <is>
          <t>292.1</t>
        </is>
      </c>
      <c r="Q638" t="inlineStr">
        <is>
          <t>Transferencia AAA ACUEDUCTO</t>
        </is>
      </c>
      <c r="R638" t="n">
        <v>2678259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2678259</v>
      </c>
      <c r="Z638" t="n">
        <v>1127700</v>
      </c>
      <c r="AA638" t="n">
        <v>1127700</v>
      </c>
      <c r="AB638" t="n">
        <v>1127700</v>
      </c>
      <c r="AC638" t="n">
        <v>1127700</v>
      </c>
      <c r="AD638" t="n">
        <v>1550559</v>
      </c>
      <c r="AE638" t="n">
        <v>42.11</v>
      </c>
    </row>
    <row r="639">
      <c r="A639" t="inlineStr">
        <is>
          <t>6 - UNIDAD DE SERVICIOS PÚBLICOS</t>
        </is>
      </c>
      <c r="B639" t="inlineStr">
        <is>
          <t>00 - SIN SECTOR</t>
        </is>
      </c>
      <c r="C639" t="inlineStr">
        <is>
          <t>00</t>
        </is>
      </c>
      <c r="D639" t="inlineStr">
        <is>
          <t>0000</t>
        </is>
      </c>
      <c r="E639" t="inlineStr">
        <is>
          <t>000000</t>
        </is>
      </c>
      <c r="F639" t="inlineStr">
        <is>
          <t>SIN PRODUCTO</t>
        </is>
      </c>
      <c r="G639" t="inlineStr">
        <is>
          <t>00</t>
        </is>
      </c>
      <c r="H639" t="inlineStr">
        <is>
          <t>00</t>
        </is>
      </c>
      <c r="I639" t="inlineStr">
        <is>
          <t>00</t>
        </is>
      </c>
      <c r="J639" t="inlineStr">
        <is>
          <t>SIN PRODUCTO DANE</t>
        </is>
      </c>
      <c r="K639" t="inlineStr">
        <is>
          <t>00</t>
        </is>
      </c>
      <c r="L639" t="inlineStr">
        <is>
          <t>SIN ATRIBUTO</t>
        </is>
      </c>
      <c r="N639" t="inlineStr">
        <is>
          <t>2.1.1.01.02.003</t>
        </is>
      </c>
      <c r="O639" t="inlineStr">
        <is>
          <t xml:space="preserve">Aportes de cesantias </t>
        </is>
      </c>
      <c r="P639" t="inlineStr">
        <is>
          <t>00</t>
        </is>
      </c>
      <c r="Q639" t="inlineStr">
        <is>
          <t>RECURSOS</t>
        </is>
      </c>
      <c r="R639" t="n">
        <v>8257024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8257024</v>
      </c>
      <c r="Z639" t="n">
        <v>8177624</v>
      </c>
      <c r="AA639" t="n">
        <v>8177624</v>
      </c>
      <c r="AB639" t="n">
        <v>8177624</v>
      </c>
      <c r="AC639" t="n">
        <v>8177624</v>
      </c>
      <c r="AD639" t="n">
        <v>79400</v>
      </c>
      <c r="AE639" t="n">
        <v>99.04000000000001</v>
      </c>
    </row>
    <row r="640">
      <c r="A640" t="inlineStr">
        <is>
          <t>6 - UNIDAD DE SERVICIOS PÚBLICOS</t>
        </is>
      </c>
      <c r="B640" t="inlineStr">
        <is>
          <t>00 - SIN SECTOR</t>
        </is>
      </c>
      <c r="C640" t="inlineStr">
        <is>
          <t>00</t>
        </is>
      </c>
      <c r="D640" t="inlineStr">
        <is>
          <t>0000</t>
        </is>
      </c>
      <c r="E640" t="inlineStr">
        <is>
          <t>000000</t>
        </is>
      </c>
      <c r="F640" t="inlineStr">
        <is>
          <t>SIN PRODUCTO</t>
        </is>
      </c>
      <c r="G640" t="inlineStr">
        <is>
          <t>00</t>
        </is>
      </c>
      <c r="H640" t="inlineStr">
        <is>
          <t>00</t>
        </is>
      </c>
      <c r="I640" t="inlineStr">
        <is>
          <t>00</t>
        </is>
      </c>
      <c r="J640" t="inlineStr">
        <is>
          <t>SIN PRODUCTO DANE</t>
        </is>
      </c>
      <c r="K640" t="inlineStr">
        <is>
          <t>00</t>
        </is>
      </c>
      <c r="L640" t="inlineStr">
        <is>
          <t>SIN ATRIBUTO</t>
        </is>
      </c>
      <c r="N640" t="inlineStr">
        <is>
          <t>2.1.1.01.02.003.01</t>
        </is>
      </c>
      <c r="O640" t="inlineStr">
        <is>
          <t xml:space="preserve">Aportes de cesantias </t>
        </is>
      </c>
      <c r="P640" t="inlineStr">
        <is>
          <t>00</t>
        </is>
      </c>
      <c r="Q640" t="inlineStr">
        <is>
          <t>RECURSOS</t>
        </is>
      </c>
      <c r="R640" t="n">
        <v>7330558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7330558</v>
      </c>
      <c r="Z640" t="n">
        <v>7329517</v>
      </c>
      <c r="AA640" t="n">
        <v>7329517</v>
      </c>
      <c r="AB640" t="n">
        <v>7329517</v>
      </c>
      <c r="AC640" t="n">
        <v>7329517</v>
      </c>
      <c r="AD640" t="n">
        <v>1041</v>
      </c>
      <c r="AE640" t="n">
        <v>99.98999999999999</v>
      </c>
    </row>
    <row r="641">
      <c r="A641" t="inlineStr">
        <is>
          <t>6 - UNIDAD DE SERVICIOS PÚBLICOS</t>
        </is>
      </c>
      <c r="B641" t="inlineStr">
        <is>
          <t>00 - SIN SECTOR</t>
        </is>
      </c>
      <c r="C641" t="inlineStr">
        <is>
          <t>00</t>
        </is>
      </c>
      <c r="D641" t="inlineStr">
        <is>
          <t>0000</t>
        </is>
      </c>
      <c r="E641" t="inlineStr">
        <is>
          <t>000000</t>
        </is>
      </c>
      <c r="F641" t="inlineStr">
        <is>
          <t>SIN PRODUCTO</t>
        </is>
      </c>
      <c r="G641" t="inlineStr">
        <is>
          <t>00</t>
        </is>
      </c>
      <c r="H641" t="inlineStr">
        <is>
          <t>00</t>
        </is>
      </c>
      <c r="I641" t="inlineStr">
        <is>
          <t>00</t>
        </is>
      </c>
      <c r="J641" t="inlineStr">
        <is>
          <t>SIN PRODUCTO DANE</t>
        </is>
      </c>
      <c r="K641" t="inlineStr">
        <is>
          <t>00</t>
        </is>
      </c>
      <c r="L641" t="inlineStr">
        <is>
          <t>SIN ATRIBUTO</t>
        </is>
      </c>
      <c r="N641" t="inlineStr">
        <is>
          <t>2.1.1.01.02.003.01.01</t>
        </is>
      </c>
      <c r="O641" t="inlineStr">
        <is>
          <t>Cesantias Admtivo Admtivo</t>
        </is>
      </c>
      <c r="P641" t="inlineStr">
        <is>
          <t>292.3</t>
        </is>
      </c>
      <c r="Q641" t="inlineStr">
        <is>
          <t>Transferencia AAA ASEO</t>
        </is>
      </c>
      <c r="R641" t="n">
        <v>7329517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7329517</v>
      </c>
      <c r="Z641" t="n">
        <v>7329517</v>
      </c>
      <c r="AA641" t="n">
        <v>7329517</v>
      </c>
      <c r="AB641" t="n">
        <v>7329517</v>
      </c>
      <c r="AC641" t="n">
        <v>7329517</v>
      </c>
      <c r="AD641" t="n">
        <v>0</v>
      </c>
      <c r="AE641" t="n">
        <v>100</v>
      </c>
    </row>
    <row r="642">
      <c r="A642" t="inlineStr">
        <is>
          <t>6 - UNIDAD DE SERVICIOS PÚBLICOS</t>
        </is>
      </c>
      <c r="B642" t="inlineStr">
        <is>
          <t>00 - SIN SECTOR</t>
        </is>
      </c>
      <c r="C642" t="inlineStr">
        <is>
          <t>00</t>
        </is>
      </c>
      <c r="D642" t="inlineStr">
        <is>
          <t>0000</t>
        </is>
      </c>
      <c r="E642" t="inlineStr">
        <is>
          <t>000000</t>
        </is>
      </c>
      <c r="F642" t="inlineStr">
        <is>
          <t>SIN PRODUCTO</t>
        </is>
      </c>
      <c r="G642" t="inlineStr">
        <is>
          <t>00</t>
        </is>
      </c>
      <c r="H642" t="inlineStr">
        <is>
          <t>00</t>
        </is>
      </c>
      <c r="I642" t="inlineStr">
        <is>
          <t>00</t>
        </is>
      </c>
      <c r="J642" t="inlineStr">
        <is>
          <t>SIN PRODUCTO DANE</t>
        </is>
      </c>
      <c r="K642" t="inlineStr">
        <is>
          <t>00</t>
        </is>
      </c>
      <c r="L642" t="inlineStr">
        <is>
          <t>SIN ATRIBUTO</t>
        </is>
      </c>
      <c r="N642" t="inlineStr">
        <is>
          <t>2.1.1.01.02.003.01.02</t>
        </is>
      </c>
      <c r="O642" t="inlineStr">
        <is>
          <t>Aportes de cesantías Aseo</t>
        </is>
      </c>
      <c r="P642" t="inlineStr">
        <is>
          <t>104</t>
        </is>
      </c>
      <c r="Q642" t="inlineStr">
        <is>
          <t>RECURSOS PROPIOS AAA</t>
        </is>
      </c>
      <c r="R642" t="n">
        <v>1041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1041</v>
      </c>
      <c r="Z642" t="n">
        <v>0</v>
      </c>
      <c r="AA642" t="n">
        <v>0</v>
      </c>
      <c r="AB642" t="n">
        <v>0</v>
      </c>
      <c r="AC642" t="n">
        <v>0</v>
      </c>
      <c r="AD642" t="n">
        <v>1041</v>
      </c>
      <c r="AE642" t="n">
        <v>0</v>
      </c>
    </row>
    <row r="643">
      <c r="A643" t="inlineStr">
        <is>
          <t>6 - UNIDAD DE SERVICIOS PÚBLICOS</t>
        </is>
      </c>
      <c r="B643" t="inlineStr">
        <is>
          <t>00 - SIN SECTOR</t>
        </is>
      </c>
      <c r="C643" t="inlineStr">
        <is>
          <t>00</t>
        </is>
      </c>
      <c r="D643" t="inlineStr">
        <is>
          <t>0000</t>
        </is>
      </c>
      <c r="E643" t="inlineStr">
        <is>
          <t>000000</t>
        </is>
      </c>
      <c r="F643" t="inlineStr">
        <is>
          <t>SIN PRODUCTO</t>
        </is>
      </c>
      <c r="G643" t="inlineStr">
        <is>
          <t>00</t>
        </is>
      </c>
      <c r="H643" t="inlineStr">
        <is>
          <t>00</t>
        </is>
      </c>
      <c r="I643" t="inlineStr">
        <is>
          <t>00</t>
        </is>
      </c>
      <c r="J643" t="inlineStr">
        <is>
          <t>SIN PRODUCTO DANE</t>
        </is>
      </c>
      <c r="K643" t="inlineStr">
        <is>
          <t>00</t>
        </is>
      </c>
      <c r="L643" t="inlineStr">
        <is>
          <t>SIN ATRIBUTO</t>
        </is>
      </c>
      <c r="N643" t="inlineStr">
        <is>
          <t>2.1.1.01.02.003.02</t>
        </is>
      </c>
      <c r="O643" t="inlineStr">
        <is>
          <t>Aportes de cesantias - Intereses</t>
        </is>
      </c>
      <c r="P643" t="inlineStr">
        <is>
          <t>00</t>
        </is>
      </c>
      <c r="Q643" t="inlineStr">
        <is>
          <t>RECURSOS</t>
        </is>
      </c>
      <c r="R643" t="n">
        <v>926466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926466</v>
      </c>
      <c r="Z643" t="n">
        <v>848107</v>
      </c>
      <c r="AA643" t="n">
        <v>848107</v>
      </c>
      <c r="AB643" t="n">
        <v>848107</v>
      </c>
      <c r="AC643" t="n">
        <v>848107</v>
      </c>
      <c r="AD643" t="n">
        <v>78359</v>
      </c>
      <c r="AE643" t="n">
        <v>91.54000000000001</v>
      </c>
    </row>
    <row r="644">
      <c r="A644" t="inlineStr">
        <is>
          <t>6 - UNIDAD DE SERVICIOS PÚBLICOS</t>
        </is>
      </c>
      <c r="B644" t="inlineStr">
        <is>
          <t>00 - SIN SECTOR</t>
        </is>
      </c>
      <c r="C644" t="inlineStr">
        <is>
          <t>00</t>
        </is>
      </c>
      <c r="D644" t="inlineStr">
        <is>
          <t>0000</t>
        </is>
      </c>
      <c r="E644" t="inlineStr">
        <is>
          <t>000000</t>
        </is>
      </c>
      <c r="F644" t="inlineStr">
        <is>
          <t>SIN PRODUCTO</t>
        </is>
      </c>
      <c r="G644" t="inlineStr">
        <is>
          <t>00</t>
        </is>
      </c>
      <c r="H644" t="inlineStr">
        <is>
          <t>00</t>
        </is>
      </c>
      <c r="I644" t="inlineStr">
        <is>
          <t>00</t>
        </is>
      </c>
      <c r="J644" t="inlineStr">
        <is>
          <t>SIN PRODUCTO DANE</t>
        </is>
      </c>
      <c r="K644" t="inlineStr">
        <is>
          <t>00</t>
        </is>
      </c>
      <c r="L644" t="inlineStr">
        <is>
          <t>SIN ATRIBUTO</t>
        </is>
      </c>
      <c r="N644" t="inlineStr">
        <is>
          <t>2.1.1.01.02.003.02.01</t>
        </is>
      </c>
      <c r="O644" t="inlineStr">
        <is>
          <t>Intereses de las Cesantias Admtivo</t>
        </is>
      </c>
      <c r="P644" t="inlineStr">
        <is>
          <t>104</t>
        </is>
      </c>
      <c r="Q644" t="inlineStr">
        <is>
          <t>RECURSOS PROPIOS AAA</t>
        </is>
      </c>
      <c r="R644" t="n">
        <v>556081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556081</v>
      </c>
      <c r="Z644" t="n">
        <v>527566</v>
      </c>
      <c r="AA644" t="n">
        <v>527566</v>
      </c>
      <c r="AB644" t="n">
        <v>527566</v>
      </c>
      <c r="AC644" t="n">
        <v>527566</v>
      </c>
      <c r="AD644" t="n">
        <v>28515</v>
      </c>
      <c r="AE644" t="n">
        <v>94.87</v>
      </c>
    </row>
    <row r="645">
      <c r="A645" t="inlineStr">
        <is>
          <t>6 - UNIDAD DE SERVICIOS PÚBLICOS</t>
        </is>
      </c>
      <c r="B645" t="inlineStr">
        <is>
          <t>00 - SIN SECTOR</t>
        </is>
      </c>
      <c r="C645" t="inlineStr">
        <is>
          <t>00</t>
        </is>
      </c>
      <c r="D645" t="inlineStr">
        <is>
          <t>0000</t>
        </is>
      </c>
      <c r="E645" t="inlineStr">
        <is>
          <t>000000</t>
        </is>
      </c>
      <c r="F645" t="inlineStr">
        <is>
          <t>SIN PRODUCTO</t>
        </is>
      </c>
      <c r="G645" t="inlineStr">
        <is>
          <t>00</t>
        </is>
      </c>
      <c r="H645" t="inlineStr">
        <is>
          <t>00</t>
        </is>
      </c>
      <c r="I645" t="inlineStr">
        <is>
          <t>00</t>
        </is>
      </c>
      <c r="J645" t="inlineStr">
        <is>
          <t>SIN PRODUCTO DANE</t>
        </is>
      </c>
      <c r="K645" t="inlineStr">
        <is>
          <t>00</t>
        </is>
      </c>
      <c r="L645" t="inlineStr">
        <is>
          <t>SIN ATRIBUTO</t>
        </is>
      </c>
      <c r="N645" t="inlineStr">
        <is>
          <t>2.1.1.01.02.003.02.02</t>
        </is>
      </c>
      <c r="O645" t="inlineStr">
        <is>
          <t>Intereses sobre las cesantias Aseo</t>
        </is>
      </c>
      <c r="P645" t="inlineStr">
        <is>
          <t>104</t>
        </is>
      </c>
      <c r="Q645" t="inlineStr">
        <is>
          <t>RECURSOS PROPIOS AAA</t>
        </is>
      </c>
      <c r="R645" t="n">
        <v>370385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370385</v>
      </c>
      <c r="Z645" t="n">
        <v>320541</v>
      </c>
      <c r="AA645" t="n">
        <v>320541</v>
      </c>
      <c r="AB645" t="n">
        <v>320541</v>
      </c>
      <c r="AC645" t="n">
        <v>320541</v>
      </c>
      <c r="AD645" t="n">
        <v>49844</v>
      </c>
      <c r="AE645" t="n">
        <v>86.54000000000001</v>
      </c>
    </row>
    <row r="646">
      <c r="A646" t="inlineStr">
        <is>
          <t>6 - UNIDAD DE SERVICIOS PÚBLICOS</t>
        </is>
      </c>
      <c r="B646" t="inlineStr">
        <is>
          <t>00 - SIN SECTOR</t>
        </is>
      </c>
      <c r="C646" t="inlineStr">
        <is>
          <t>00</t>
        </is>
      </c>
      <c r="D646" t="inlineStr">
        <is>
          <t>0000</t>
        </is>
      </c>
      <c r="E646" t="inlineStr">
        <is>
          <t>000000</t>
        </is>
      </c>
      <c r="F646" t="inlineStr">
        <is>
          <t>SIN PRODUCTO</t>
        </is>
      </c>
      <c r="G646" t="inlineStr">
        <is>
          <t>00</t>
        </is>
      </c>
      <c r="H646" t="inlineStr">
        <is>
          <t>00</t>
        </is>
      </c>
      <c r="I646" t="inlineStr">
        <is>
          <t>00</t>
        </is>
      </c>
      <c r="J646" t="inlineStr">
        <is>
          <t>SIN PRODUCTO DANE</t>
        </is>
      </c>
      <c r="K646" t="inlineStr">
        <is>
          <t>00</t>
        </is>
      </c>
      <c r="L646" t="inlineStr">
        <is>
          <t>SIN ATRIBUTO</t>
        </is>
      </c>
      <c r="N646" t="inlineStr">
        <is>
          <t>2.1.1.01.02.004</t>
        </is>
      </c>
      <c r="O646" t="inlineStr">
        <is>
          <t>Aportes a cajas de compensacion familiar</t>
        </is>
      </c>
      <c r="P646" t="inlineStr">
        <is>
          <t>00</t>
        </is>
      </c>
      <c r="Q646" t="inlineStr">
        <is>
          <t>RECURSOS</t>
        </is>
      </c>
      <c r="R646" t="n">
        <v>3851260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3851260</v>
      </c>
      <c r="Z646" t="n">
        <v>1679800</v>
      </c>
      <c r="AA646" t="n">
        <v>1679800</v>
      </c>
      <c r="AB646" t="n">
        <v>1679800</v>
      </c>
      <c r="AC646" t="n">
        <v>1679800</v>
      </c>
      <c r="AD646" t="n">
        <v>2171460</v>
      </c>
      <c r="AE646" t="n">
        <v>43.62</v>
      </c>
    </row>
    <row r="647">
      <c r="A647" t="inlineStr">
        <is>
          <t>6 - UNIDAD DE SERVICIOS PÚBLICOS</t>
        </is>
      </c>
      <c r="B647" t="inlineStr">
        <is>
          <t>00 - SIN SECTOR</t>
        </is>
      </c>
      <c r="C647" t="inlineStr">
        <is>
          <t>00</t>
        </is>
      </c>
      <c r="D647" t="inlineStr">
        <is>
          <t>0000</t>
        </is>
      </c>
      <c r="E647" t="inlineStr">
        <is>
          <t>000000</t>
        </is>
      </c>
      <c r="F647" t="inlineStr">
        <is>
          <t>SIN PRODUCTO</t>
        </is>
      </c>
      <c r="G647" t="inlineStr">
        <is>
          <t>00</t>
        </is>
      </c>
      <c r="H647" t="inlineStr">
        <is>
          <t>00</t>
        </is>
      </c>
      <c r="I647" t="inlineStr">
        <is>
          <t>00</t>
        </is>
      </c>
      <c r="J647" t="inlineStr">
        <is>
          <t>SIN PRODUCTO DANE</t>
        </is>
      </c>
      <c r="K647" t="inlineStr">
        <is>
          <t>00</t>
        </is>
      </c>
      <c r="L647" t="inlineStr">
        <is>
          <t>SIN ATRIBUTO</t>
        </is>
      </c>
      <c r="N647" t="inlineStr">
        <is>
          <t>2.1.1.01.02.004.01</t>
        </is>
      </c>
      <c r="O647" t="inlineStr">
        <is>
          <t>Aportes a Caja de Compensacion Familiar Admtivo</t>
        </is>
      </c>
      <c r="P647" t="inlineStr">
        <is>
          <t>104</t>
        </is>
      </c>
      <c r="Q647" t="inlineStr">
        <is>
          <t>RECURSOS PROPIOS AAA</t>
        </is>
      </c>
      <c r="R647" t="n">
        <v>2344781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2344781</v>
      </c>
      <c r="Z647" t="n">
        <v>1128700</v>
      </c>
      <c r="AA647" t="n">
        <v>1128700</v>
      </c>
      <c r="AB647" t="n">
        <v>1128700</v>
      </c>
      <c r="AC647" t="n">
        <v>1128700</v>
      </c>
      <c r="AD647" t="n">
        <v>1216081</v>
      </c>
      <c r="AE647" t="n">
        <v>48.14</v>
      </c>
    </row>
    <row r="648">
      <c r="A648" t="inlineStr">
        <is>
          <t>6 - UNIDAD DE SERVICIOS PÚBLICOS</t>
        </is>
      </c>
      <c r="B648" t="inlineStr">
        <is>
          <t>00 - SIN SECTOR</t>
        </is>
      </c>
      <c r="C648" t="inlineStr">
        <is>
          <t>00</t>
        </is>
      </c>
      <c r="D648" t="inlineStr">
        <is>
          <t>0000</t>
        </is>
      </c>
      <c r="E648" t="inlineStr">
        <is>
          <t>000000</t>
        </is>
      </c>
      <c r="F648" t="inlineStr">
        <is>
          <t>SIN PRODUCTO</t>
        </is>
      </c>
      <c r="G648" t="inlineStr">
        <is>
          <t>00</t>
        </is>
      </c>
      <c r="H648" t="inlineStr">
        <is>
          <t>00</t>
        </is>
      </c>
      <c r="I648" t="inlineStr">
        <is>
          <t>00</t>
        </is>
      </c>
      <c r="J648" t="inlineStr">
        <is>
          <t>SIN PRODUCTO DANE</t>
        </is>
      </c>
      <c r="K648" t="inlineStr">
        <is>
          <t>00</t>
        </is>
      </c>
      <c r="L648" t="inlineStr">
        <is>
          <t>SIN ATRIBUTO</t>
        </is>
      </c>
      <c r="N648" t="inlineStr">
        <is>
          <t>2.1.1.01.02.004.02</t>
        </is>
      </c>
      <c r="O648" t="inlineStr">
        <is>
          <t>Aportes a cajas de compensación familiar Aseo</t>
        </is>
      </c>
      <c r="P648" t="inlineStr">
        <is>
          <t>292.3</t>
        </is>
      </c>
      <c r="Q648" t="inlineStr">
        <is>
          <t>Transferencia AAA ASEO</t>
        </is>
      </c>
      <c r="R648" t="n">
        <v>1506479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1506479</v>
      </c>
      <c r="Z648" t="n">
        <v>551100</v>
      </c>
      <c r="AA648" t="n">
        <v>551100</v>
      </c>
      <c r="AB648" t="n">
        <v>551100</v>
      </c>
      <c r="AC648" t="n">
        <v>551100</v>
      </c>
      <c r="AD648" t="n">
        <v>955379</v>
      </c>
      <c r="AE648" t="n">
        <v>36.58</v>
      </c>
    </row>
    <row r="649">
      <c r="A649" t="inlineStr">
        <is>
          <t>6 - UNIDAD DE SERVICIOS PÚBLICOS</t>
        </is>
      </c>
      <c r="B649" t="inlineStr">
        <is>
          <t>00 - SIN SECTOR</t>
        </is>
      </c>
      <c r="C649" t="inlineStr">
        <is>
          <t>00</t>
        </is>
      </c>
      <c r="D649" t="inlineStr">
        <is>
          <t>0000</t>
        </is>
      </c>
      <c r="E649" t="inlineStr">
        <is>
          <t>000000</t>
        </is>
      </c>
      <c r="F649" t="inlineStr">
        <is>
          <t>SIN PRODUCTO</t>
        </is>
      </c>
      <c r="G649" t="inlineStr">
        <is>
          <t>00</t>
        </is>
      </c>
      <c r="H649" t="inlineStr">
        <is>
          <t>00</t>
        </is>
      </c>
      <c r="I649" t="inlineStr">
        <is>
          <t>00</t>
        </is>
      </c>
      <c r="J649" t="inlineStr">
        <is>
          <t>SIN PRODUCTO DANE</t>
        </is>
      </c>
      <c r="K649" t="inlineStr">
        <is>
          <t>00</t>
        </is>
      </c>
      <c r="L649" t="inlineStr">
        <is>
          <t>SIN ATRIBUTO</t>
        </is>
      </c>
      <c r="N649" t="inlineStr">
        <is>
          <t>2.1.1.01.02.005</t>
        </is>
      </c>
      <c r="O649" t="inlineStr">
        <is>
          <t>Aportes generales al sistema de riesgos laborales</t>
        </is>
      </c>
      <c r="P649" t="inlineStr">
        <is>
          <t>00</t>
        </is>
      </c>
      <c r="Q649" t="inlineStr">
        <is>
          <t>RECURSOS</t>
        </is>
      </c>
      <c r="R649" t="n">
        <v>435061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435061</v>
      </c>
      <c r="Z649" t="n">
        <v>184400</v>
      </c>
      <c r="AA649" t="n">
        <v>184400</v>
      </c>
      <c r="AB649" t="n">
        <v>184400</v>
      </c>
      <c r="AC649" t="n">
        <v>184400</v>
      </c>
      <c r="AD649" t="n">
        <v>250661</v>
      </c>
      <c r="AE649" t="n">
        <v>42.38</v>
      </c>
    </row>
    <row r="650">
      <c r="A650" t="inlineStr">
        <is>
          <t>6 - UNIDAD DE SERVICIOS PÚBLICOS</t>
        </is>
      </c>
      <c r="B650" t="inlineStr">
        <is>
          <t>00 - SIN SECTOR</t>
        </is>
      </c>
      <c r="C650" t="inlineStr">
        <is>
          <t>00</t>
        </is>
      </c>
      <c r="D650" t="inlineStr">
        <is>
          <t>0000</t>
        </is>
      </c>
      <c r="E650" t="inlineStr">
        <is>
          <t>000000</t>
        </is>
      </c>
      <c r="F650" t="inlineStr">
        <is>
          <t>SIN PRODUCTO</t>
        </is>
      </c>
      <c r="G650" t="inlineStr">
        <is>
          <t>00</t>
        </is>
      </c>
      <c r="H650" t="inlineStr">
        <is>
          <t>00</t>
        </is>
      </c>
      <c r="I650" t="inlineStr">
        <is>
          <t>00</t>
        </is>
      </c>
      <c r="J650" t="inlineStr">
        <is>
          <t>SIN PRODUCTO DANE</t>
        </is>
      </c>
      <c r="K650" t="inlineStr">
        <is>
          <t>00</t>
        </is>
      </c>
      <c r="L650" t="inlineStr">
        <is>
          <t>SIN ATRIBUTO</t>
        </is>
      </c>
      <c r="N650" t="inlineStr">
        <is>
          <t>2.1.1.01.02.005.01</t>
        </is>
      </c>
      <c r="O650" t="inlineStr">
        <is>
          <t>Aportes ARL Admtivo</t>
        </is>
      </c>
      <c r="P650" t="inlineStr">
        <is>
          <t>104</t>
        </is>
      </c>
      <c r="Q650" t="inlineStr">
        <is>
          <t>RECURSOS PROPIOS AAA</t>
        </is>
      </c>
      <c r="R650" t="n">
        <v>261131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261131</v>
      </c>
      <c r="Z650" t="n">
        <v>114800</v>
      </c>
      <c r="AA650" t="n">
        <v>114800</v>
      </c>
      <c r="AB650" t="n">
        <v>114800</v>
      </c>
      <c r="AC650" t="n">
        <v>114800</v>
      </c>
      <c r="AD650" t="n">
        <v>146331</v>
      </c>
      <c r="AE650" t="n">
        <v>43.96</v>
      </c>
    </row>
    <row r="651">
      <c r="A651" t="inlineStr">
        <is>
          <t>6 - UNIDAD DE SERVICIOS PÚBLICOS</t>
        </is>
      </c>
      <c r="B651" t="inlineStr">
        <is>
          <t>00 - SIN SECTOR</t>
        </is>
      </c>
      <c r="C651" t="inlineStr">
        <is>
          <t>00</t>
        </is>
      </c>
      <c r="D651" t="inlineStr">
        <is>
          <t>0000</t>
        </is>
      </c>
      <c r="E651" t="inlineStr">
        <is>
          <t>000000</t>
        </is>
      </c>
      <c r="F651" t="inlineStr">
        <is>
          <t>SIN PRODUCTO</t>
        </is>
      </c>
      <c r="G651" t="inlineStr">
        <is>
          <t>00</t>
        </is>
      </c>
      <c r="H651" t="inlineStr">
        <is>
          <t>00</t>
        </is>
      </c>
      <c r="I651" t="inlineStr">
        <is>
          <t>00</t>
        </is>
      </c>
      <c r="J651" t="inlineStr">
        <is>
          <t>SIN PRODUCTO DANE</t>
        </is>
      </c>
      <c r="K651" t="inlineStr">
        <is>
          <t>00</t>
        </is>
      </c>
      <c r="L651" t="inlineStr">
        <is>
          <t>SIN ATRIBUTO</t>
        </is>
      </c>
      <c r="N651" t="inlineStr">
        <is>
          <t>2.1.1.01.02.005.02</t>
        </is>
      </c>
      <c r="O651" t="inlineStr">
        <is>
          <t>Aportes generales al sistema de riesgos laborales Aseo</t>
        </is>
      </c>
      <c r="P651" t="inlineStr">
        <is>
          <t>292.1</t>
        </is>
      </c>
      <c r="Q651" t="inlineStr">
        <is>
          <t>Transferencia AAA ACUEDUCTO</t>
        </is>
      </c>
      <c r="R651" t="n">
        <v>173930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173930</v>
      </c>
      <c r="Z651" t="n">
        <v>69600</v>
      </c>
      <c r="AA651" t="n">
        <v>69600</v>
      </c>
      <c r="AB651" t="n">
        <v>69600</v>
      </c>
      <c r="AC651" t="n">
        <v>69600</v>
      </c>
      <c r="AD651" t="n">
        <v>104330</v>
      </c>
      <c r="AE651" t="n">
        <v>40.02</v>
      </c>
    </row>
    <row r="652">
      <c r="A652" t="inlineStr">
        <is>
          <t>6 - UNIDAD DE SERVICIOS PÚBLICOS</t>
        </is>
      </c>
      <c r="B652" t="inlineStr">
        <is>
          <t>00 - SIN SECTOR</t>
        </is>
      </c>
      <c r="C652" t="inlineStr">
        <is>
          <t>00</t>
        </is>
      </c>
      <c r="D652" t="inlineStr">
        <is>
          <t>0000</t>
        </is>
      </c>
      <c r="E652" t="inlineStr">
        <is>
          <t>000000</t>
        </is>
      </c>
      <c r="F652" t="inlineStr">
        <is>
          <t>SIN PRODUCTO</t>
        </is>
      </c>
      <c r="G652" t="inlineStr">
        <is>
          <t>00</t>
        </is>
      </c>
      <c r="H652" t="inlineStr">
        <is>
          <t>00</t>
        </is>
      </c>
      <c r="I652" t="inlineStr">
        <is>
          <t>00</t>
        </is>
      </c>
      <c r="J652" t="inlineStr">
        <is>
          <t>SIN PRODUCTO DANE</t>
        </is>
      </c>
      <c r="K652" t="inlineStr">
        <is>
          <t>00</t>
        </is>
      </c>
      <c r="L652" t="inlineStr">
        <is>
          <t>SIN ATRIBUTO</t>
        </is>
      </c>
      <c r="N652" t="inlineStr">
        <is>
          <t>2.1.1.01.02.006</t>
        </is>
      </c>
      <c r="O652" t="inlineStr">
        <is>
          <t>Aportes al icbf</t>
        </is>
      </c>
      <c r="P652" t="inlineStr">
        <is>
          <t>00</t>
        </is>
      </c>
      <c r="Q652" t="inlineStr">
        <is>
          <t>RECURSOS</t>
        </is>
      </c>
      <c r="R652" t="n">
        <v>2888445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2888445</v>
      </c>
      <c r="Z652" t="n">
        <v>1260000</v>
      </c>
      <c r="AA652" t="n">
        <v>1260000</v>
      </c>
      <c r="AB652" t="n">
        <v>1260000</v>
      </c>
      <c r="AC652" t="n">
        <v>1260000</v>
      </c>
      <c r="AD652" t="n">
        <v>1628445</v>
      </c>
      <c r="AE652" t="n">
        <v>43.62</v>
      </c>
    </row>
    <row r="653">
      <c r="A653" t="inlineStr">
        <is>
          <t>6 - UNIDAD DE SERVICIOS PÚBLICOS</t>
        </is>
      </c>
      <c r="B653" t="inlineStr">
        <is>
          <t>00 - SIN SECTOR</t>
        </is>
      </c>
      <c r="C653" t="inlineStr">
        <is>
          <t>00</t>
        </is>
      </c>
      <c r="D653" t="inlineStr">
        <is>
          <t>0000</t>
        </is>
      </c>
      <c r="E653" t="inlineStr">
        <is>
          <t>000000</t>
        </is>
      </c>
      <c r="F653" t="inlineStr">
        <is>
          <t>SIN PRODUCTO</t>
        </is>
      </c>
      <c r="G653" t="inlineStr">
        <is>
          <t>00</t>
        </is>
      </c>
      <c r="H653" t="inlineStr">
        <is>
          <t>00</t>
        </is>
      </c>
      <c r="I653" t="inlineStr">
        <is>
          <t>00</t>
        </is>
      </c>
      <c r="J653" t="inlineStr">
        <is>
          <t>SIN PRODUCTO DANE</t>
        </is>
      </c>
      <c r="K653" t="inlineStr">
        <is>
          <t>00</t>
        </is>
      </c>
      <c r="L653" t="inlineStr">
        <is>
          <t>SIN ATRIBUTO</t>
        </is>
      </c>
      <c r="N653" t="inlineStr">
        <is>
          <t>2.1.1.01.02.006.01</t>
        </is>
      </c>
      <c r="O653" t="inlineStr">
        <is>
          <t>Aportes al ICBF Admtivo</t>
        </is>
      </c>
      <c r="P653" t="inlineStr">
        <is>
          <t>104</t>
        </is>
      </c>
      <c r="Q653" t="inlineStr">
        <is>
          <t>RECURSOS PROPIOS AAA</t>
        </is>
      </c>
      <c r="R653" t="n">
        <v>1758585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1758585</v>
      </c>
      <c r="Z653" t="n">
        <v>846500</v>
      </c>
      <c r="AA653" t="n">
        <v>846500</v>
      </c>
      <c r="AB653" t="n">
        <v>846500</v>
      </c>
      <c r="AC653" t="n">
        <v>846500</v>
      </c>
      <c r="AD653" t="n">
        <v>912085</v>
      </c>
      <c r="AE653" t="n">
        <v>48.14</v>
      </c>
    </row>
    <row r="654">
      <c r="A654" t="inlineStr">
        <is>
          <t>6 - UNIDAD DE SERVICIOS PÚBLICOS</t>
        </is>
      </c>
      <c r="B654" t="inlineStr">
        <is>
          <t>00 - SIN SECTOR</t>
        </is>
      </c>
      <c r="C654" t="inlineStr">
        <is>
          <t>00</t>
        </is>
      </c>
      <c r="D654" t="inlineStr">
        <is>
          <t>0000</t>
        </is>
      </c>
      <c r="E654" t="inlineStr">
        <is>
          <t>000000</t>
        </is>
      </c>
      <c r="F654" t="inlineStr">
        <is>
          <t>SIN PRODUCTO</t>
        </is>
      </c>
      <c r="G654" t="inlineStr">
        <is>
          <t>00</t>
        </is>
      </c>
      <c r="H654" t="inlineStr">
        <is>
          <t>00</t>
        </is>
      </c>
      <c r="I654" t="inlineStr">
        <is>
          <t>00</t>
        </is>
      </c>
      <c r="J654" t="inlineStr">
        <is>
          <t>SIN PRODUCTO DANE</t>
        </is>
      </c>
      <c r="K654" t="inlineStr">
        <is>
          <t>00</t>
        </is>
      </c>
      <c r="L654" t="inlineStr">
        <is>
          <t>SIN ATRIBUTO</t>
        </is>
      </c>
      <c r="N654" t="inlineStr">
        <is>
          <t>2.1.1.01.02.006.02</t>
        </is>
      </c>
      <c r="O654" t="inlineStr">
        <is>
          <t>Aportes al ICBF Aseo</t>
        </is>
      </c>
      <c r="P654" t="inlineStr">
        <is>
          <t>292.2</t>
        </is>
      </c>
      <c r="Q654" t="inlineStr">
        <is>
          <t>Transferencia AAA ALCANTARILLADO</t>
        </is>
      </c>
      <c r="R654" t="n">
        <v>1129860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1129860</v>
      </c>
      <c r="Z654" t="n">
        <v>413500</v>
      </c>
      <c r="AA654" t="n">
        <v>413500</v>
      </c>
      <c r="AB654" t="n">
        <v>413500</v>
      </c>
      <c r="AC654" t="n">
        <v>413500</v>
      </c>
      <c r="AD654" t="n">
        <v>716360</v>
      </c>
      <c r="AE654" t="n">
        <v>36.6</v>
      </c>
    </row>
    <row r="655">
      <c r="A655" t="inlineStr">
        <is>
          <t>6 - UNIDAD DE SERVICIOS PÚBLICOS</t>
        </is>
      </c>
      <c r="B655" t="inlineStr">
        <is>
          <t>00 - SIN SECTOR</t>
        </is>
      </c>
      <c r="C655" t="inlineStr">
        <is>
          <t>00</t>
        </is>
      </c>
      <c r="D655" t="inlineStr">
        <is>
          <t>0000</t>
        </is>
      </c>
      <c r="E655" t="inlineStr">
        <is>
          <t>000000</t>
        </is>
      </c>
      <c r="F655" t="inlineStr">
        <is>
          <t>SIN PRODUCTO</t>
        </is>
      </c>
      <c r="G655" t="inlineStr">
        <is>
          <t>00</t>
        </is>
      </c>
      <c r="H655" t="inlineStr">
        <is>
          <t>00</t>
        </is>
      </c>
      <c r="I655" t="inlineStr">
        <is>
          <t>00</t>
        </is>
      </c>
      <c r="J655" t="inlineStr">
        <is>
          <t>SIN PRODUCTO DANE</t>
        </is>
      </c>
      <c r="K655" t="inlineStr">
        <is>
          <t>00</t>
        </is>
      </c>
      <c r="L655" t="inlineStr">
        <is>
          <t>SIN ATRIBUTO</t>
        </is>
      </c>
      <c r="N655" t="inlineStr">
        <is>
          <t>2.1.1.01.02.007</t>
        </is>
      </c>
      <c r="O655" t="inlineStr">
        <is>
          <t>Aportes al sena</t>
        </is>
      </c>
      <c r="P655" t="inlineStr">
        <is>
          <t>00</t>
        </is>
      </c>
      <c r="Q655" t="inlineStr">
        <is>
          <t>RECURSOS</t>
        </is>
      </c>
      <c r="R655" t="n">
        <v>481408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481408</v>
      </c>
      <c r="Z655" t="n">
        <v>210500</v>
      </c>
      <c r="AA655" t="n">
        <v>210500</v>
      </c>
      <c r="AB655" t="n">
        <v>210500</v>
      </c>
      <c r="AC655" t="n">
        <v>210500</v>
      </c>
      <c r="AD655" t="n">
        <v>270908</v>
      </c>
      <c r="AE655" t="n">
        <v>43.73</v>
      </c>
    </row>
    <row r="656">
      <c r="A656" t="inlineStr">
        <is>
          <t>6 - UNIDAD DE SERVICIOS PÚBLICOS</t>
        </is>
      </c>
      <c r="B656" t="inlineStr">
        <is>
          <t>00 - SIN SECTOR</t>
        </is>
      </c>
      <c r="C656" t="inlineStr">
        <is>
          <t>00</t>
        </is>
      </c>
      <c r="D656" t="inlineStr">
        <is>
          <t>0000</t>
        </is>
      </c>
      <c r="E656" t="inlineStr">
        <is>
          <t>000000</t>
        </is>
      </c>
      <c r="F656" t="inlineStr">
        <is>
          <t>SIN PRODUCTO</t>
        </is>
      </c>
      <c r="G656" t="inlineStr">
        <is>
          <t>00</t>
        </is>
      </c>
      <c r="H656" t="inlineStr">
        <is>
          <t>00</t>
        </is>
      </c>
      <c r="I656" t="inlineStr">
        <is>
          <t>00</t>
        </is>
      </c>
      <c r="J656" t="inlineStr">
        <is>
          <t>SIN PRODUCTO DANE</t>
        </is>
      </c>
      <c r="K656" t="inlineStr">
        <is>
          <t>00</t>
        </is>
      </c>
      <c r="L656" t="inlineStr">
        <is>
          <t>SIN ATRIBUTO</t>
        </is>
      </c>
      <c r="N656" t="inlineStr">
        <is>
          <t>2.1.1.01.02.007.01</t>
        </is>
      </c>
      <c r="O656" t="inlineStr">
        <is>
          <t>Aportes al SENA Admtivo</t>
        </is>
      </c>
      <c r="P656" t="inlineStr">
        <is>
          <t>104</t>
        </is>
      </c>
      <c r="Q656" t="inlineStr">
        <is>
          <t>RECURSOS PROPIOS AAA</t>
        </is>
      </c>
      <c r="R656" t="n">
        <v>293098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293098</v>
      </c>
      <c r="Z656" t="n">
        <v>141200</v>
      </c>
      <c r="AA656" t="n">
        <v>141200</v>
      </c>
      <c r="AB656" t="n">
        <v>141200</v>
      </c>
      <c r="AC656" t="n">
        <v>141200</v>
      </c>
      <c r="AD656" t="n">
        <v>151898</v>
      </c>
      <c r="AE656" t="n">
        <v>48.18</v>
      </c>
    </row>
    <row r="657">
      <c r="A657" t="inlineStr">
        <is>
          <t>6 - UNIDAD DE SERVICIOS PÚBLICOS</t>
        </is>
      </c>
      <c r="B657" t="inlineStr">
        <is>
          <t>00 - SIN SECTOR</t>
        </is>
      </c>
      <c r="C657" t="inlineStr">
        <is>
          <t>00</t>
        </is>
      </c>
      <c r="D657" t="inlineStr">
        <is>
          <t>0000</t>
        </is>
      </c>
      <c r="E657" t="inlineStr">
        <is>
          <t>000000</t>
        </is>
      </c>
      <c r="F657" t="inlineStr">
        <is>
          <t>SIN PRODUCTO</t>
        </is>
      </c>
      <c r="G657" t="inlineStr">
        <is>
          <t>00</t>
        </is>
      </c>
      <c r="H657" t="inlineStr">
        <is>
          <t>00</t>
        </is>
      </c>
      <c r="I657" t="inlineStr">
        <is>
          <t>00</t>
        </is>
      </c>
      <c r="J657" t="inlineStr">
        <is>
          <t>SIN PRODUCTO DANE</t>
        </is>
      </c>
      <c r="K657" t="inlineStr">
        <is>
          <t>00</t>
        </is>
      </c>
      <c r="L657" t="inlineStr">
        <is>
          <t>SIN ATRIBUTO</t>
        </is>
      </c>
      <c r="N657" t="inlineStr">
        <is>
          <t>2.1.1.01.02.007.02</t>
        </is>
      </c>
      <c r="O657" t="inlineStr">
        <is>
          <t>Aportes al SENA Aseo</t>
        </is>
      </c>
      <c r="P657" t="inlineStr">
        <is>
          <t>292.2</t>
        </is>
      </c>
      <c r="Q657" t="inlineStr">
        <is>
          <t>Transferencia AAA ALCANTARILLADO</t>
        </is>
      </c>
      <c r="R657" t="n">
        <v>188310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188310</v>
      </c>
      <c r="Z657" t="n">
        <v>69300</v>
      </c>
      <c r="AA657" t="n">
        <v>69300</v>
      </c>
      <c r="AB657" t="n">
        <v>69300</v>
      </c>
      <c r="AC657" t="n">
        <v>69300</v>
      </c>
      <c r="AD657" t="n">
        <v>119010</v>
      </c>
      <c r="AE657" t="n">
        <v>36.8</v>
      </c>
    </row>
    <row r="658">
      <c r="A658" t="inlineStr">
        <is>
          <t>6 - UNIDAD DE SERVICIOS PÚBLICOS</t>
        </is>
      </c>
      <c r="B658" t="inlineStr">
        <is>
          <t>00 - SIN SECTOR</t>
        </is>
      </c>
      <c r="C658" t="inlineStr">
        <is>
          <t>00</t>
        </is>
      </c>
      <c r="D658" t="inlineStr">
        <is>
          <t>0000</t>
        </is>
      </c>
      <c r="E658" t="inlineStr">
        <is>
          <t>000000</t>
        </is>
      </c>
      <c r="F658" t="inlineStr">
        <is>
          <t>SIN PRODUCTO</t>
        </is>
      </c>
      <c r="G658" t="inlineStr">
        <is>
          <t>00</t>
        </is>
      </c>
      <c r="H658" t="inlineStr">
        <is>
          <t>00</t>
        </is>
      </c>
      <c r="I658" t="inlineStr">
        <is>
          <t>00</t>
        </is>
      </c>
      <c r="J658" t="inlineStr">
        <is>
          <t>SIN PRODUCTO DANE</t>
        </is>
      </c>
      <c r="K658" t="inlineStr">
        <is>
          <t>00</t>
        </is>
      </c>
      <c r="L658" t="inlineStr">
        <is>
          <t>SIN ATRIBUTO</t>
        </is>
      </c>
      <c r="N658" t="inlineStr">
        <is>
          <t>2.1.1.01.02.008</t>
        </is>
      </c>
      <c r="O658" t="inlineStr">
        <is>
          <t>Aportes a la esap</t>
        </is>
      </c>
      <c r="P658" t="inlineStr">
        <is>
          <t>00</t>
        </is>
      </c>
      <c r="Q658" t="inlineStr">
        <is>
          <t>RECURSOS</t>
        </is>
      </c>
      <c r="R658" t="n">
        <v>481408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481408</v>
      </c>
      <c r="Z658" t="n">
        <v>210500</v>
      </c>
      <c r="AA658" t="n">
        <v>210500</v>
      </c>
      <c r="AB658" t="n">
        <v>210500</v>
      </c>
      <c r="AC658" t="n">
        <v>210500</v>
      </c>
      <c r="AD658" t="n">
        <v>270908</v>
      </c>
      <c r="AE658" t="n">
        <v>43.73</v>
      </c>
    </row>
    <row r="659">
      <c r="A659" t="inlineStr">
        <is>
          <t>6 - UNIDAD DE SERVICIOS PÚBLICOS</t>
        </is>
      </c>
      <c r="B659" t="inlineStr">
        <is>
          <t>00 - SIN SECTOR</t>
        </is>
      </c>
      <c r="C659" t="inlineStr">
        <is>
          <t>00</t>
        </is>
      </c>
      <c r="D659" t="inlineStr">
        <is>
          <t>0000</t>
        </is>
      </c>
      <c r="E659" t="inlineStr">
        <is>
          <t>000000</t>
        </is>
      </c>
      <c r="F659" t="inlineStr">
        <is>
          <t>SIN PRODUCTO</t>
        </is>
      </c>
      <c r="G659" t="inlineStr">
        <is>
          <t>00</t>
        </is>
      </c>
      <c r="H659" t="inlineStr">
        <is>
          <t>00</t>
        </is>
      </c>
      <c r="I659" t="inlineStr">
        <is>
          <t>00</t>
        </is>
      </c>
      <c r="J659" t="inlineStr">
        <is>
          <t>SIN PRODUCTO DANE</t>
        </is>
      </c>
      <c r="K659" t="inlineStr">
        <is>
          <t>00</t>
        </is>
      </c>
      <c r="L659" t="inlineStr">
        <is>
          <t>SIN ATRIBUTO</t>
        </is>
      </c>
      <c r="N659" t="inlineStr">
        <is>
          <t>2.1.1.01.02.008.01</t>
        </is>
      </c>
      <c r="O659" t="inlineStr">
        <is>
          <t>Aportes a la ESAP Admtivo</t>
        </is>
      </c>
      <c r="P659" t="inlineStr">
        <is>
          <t>104</t>
        </is>
      </c>
      <c r="Q659" t="inlineStr">
        <is>
          <t>RECURSOS PROPIOS AAA</t>
        </is>
      </c>
      <c r="R659" t="n">
        <v>293098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293098</v>
      </c>
      <c r="Z659" t="n">
        <v>141200</v>
      </c>
      <c r="AA659" t="n">
        <v>141200</v>
      </c>
      <c r="AB659" t="n">
        <v>141200</v>
      </c>
      <c r="AC659" t="n">
        <v>141200</v>
      </c>
      <c r="AD659" t="n">
        <v>151898</v>
      </c>
      <c r="AE659" t="n">
        <v>48.18</v>
      </c>
    </row>
    <row r="660">
      <c r="A660" t="inlineStr">
        <is>
          <t>6 - UNIDAD DE SERVICIOS PÚBLICOS</t>
        </is>
      </c>
      <c r="B660" t="inlineStr">
        <is>
          <t>00 - SIN SECTOR</t>
        </is>
      </c>
      <c r="C660" t="inlineStr">
        <is>
          <t>00</t>
        </is>
      </c>
      <c r="D660" t="inlineStr">
        <is>
          <t>0000</t>
        </is>
      </c>
      <c r="E660" t="inlineStr">
        <is>
          <t>000000</t>
        </is>
      </c>
      <c r="F660" t="inlineStr">
        <is>
          <t>SIN PRODUCTO</t>
        </is>
      </c>
      <c r="G660" t="inlineStr">
        <is>
          <t>00</t>
        </is>
      </c>
      <c r="H660" t="inlineStr">
        <is>
          <t>00</t>
        </is>
      </c>
      <c r="I660" t="inlineStr">
        <is>
          <t>00</t>
        </is>
      </c>
      <c r="J660" t="inlineStr">
        <is>
          <t>SIN PRODUCTO DANE</t>
        </is>
      </c>
      <c r="K660" t="inlineStr">
        <is>
          <t>00</t>
        </is>
      </c>
      <c r="L660" t="inlineStr">
        <is>
          <t>SIN ATRIBUTO</t>
        </is>
      </c>
      <c r="N660" t="inlineStr">
        <is>
          <t>2.1.1.01.02.008.02</t>
        </is>
      </c>
      <c r="O660" t="inlineStr">
        <is>
          <t>Aportes a la ESAP Aseo</t>
        </is>
      </c>
      <c r="P660" t="inlineStr">
        <is>
          <t>292.2</t>
        </is>
      </c>
      <c r="Q660" t="inlineStr">
        <is>
          <t>Transferencia AAA ALCANTARILLADO</t>
        </is>
      </c>
      <c r="R660" t="n">
        <v>188310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188310</v>
      </c>
      <c r="Z660" t="n">
        <v>69300</v>
      </c>
      <c r="AA660" t="n">
        <v>69300</v>
      </c>
      <c r="AB660" t="n">
        <v>69300</v>
      </c>
      <c r="AC660" t="n">
        <v>69300</v>
      </c>
      <c r="AD660" t="n">
        <v>119010</v>
      </c>
      <c r="AE660" t="n">
        <v>36.8</v>
      </c>
    </row>
    <row r="661">
      <c r="A661" t="inlineStr">
        <is>
          <t>6 - UNIDAD DE SERVICIOS PÚBLICOS</t>
        </is>
      </c>
      <c r="B661" t="inlineStr">
        <is>
          <t>00 - SIN SECTOR</t>
        </is>
      </c>
      <c r="C661" t="inlineStr">
        <is>
          <t>00</t>
        </is>
      </c>
      <c r="D661" t="inlineStr">
        <is>
          <t>0000</t>
        </is>
      </c>
      <c r="E661" t="inlineStr">
        <is>
          <t>000000</t>
        </is>
      </c>
      <c r="F661" t="inlineStr">
        <is>
          <t>SIN PRODUCTO</t>
        </is>
      </c>
      <c r="G661" t="inlineStr">
        <is>
          <t>00</t>
        </is>
      </c>
      <c r="H661" t="inlineStr">
        <is>
          <t>00</t>
        </is>
      </c>
      <c r="I661" t="inlineStr">
        <is>
          <t>00</t>
        </is>
      </c>
      <c r="J661" t="inlineStr">
        <is>
          <t>SIN PRODUCTO DANE</t>
        </is>
      </c>
      <c r="K661" t="inlineStr">
        <is>
          <t>00</t>
        </is>
      </c>
      <c r="L661" t="inlineStr">
        <is>
          <t>SIN ATRIBUTO</t>
        </is>
      </c>
      <c r="N661" t="inlineStr">
        <is>
          <t>2.1.1.01.02.009</t>
        </is>
      </c>
      <c r="O661" t="inlineStr">
        <is>
          <t>Aportes a escuelas industriales e institutos tecnicos</t>
        </is>
      </c>
      <c r="P661" t="inlineStr">
        <is>
          <t>00</t>
        </is>
      </c>
      <c r="Q661" t="inlineStr">
        <is>
          <t>RECURSOS</t>
        </is>
      </c>
      <c r="R661" t="n">
        <v>962816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962816</v>
      </c>
      <c r="Z661" t="n">
        <v>420400</v>
      </c>
      <c r="AA661" t="n">
        <v>420400</v>
      </c>
      <c r="AB661" t="n">
        <v>420400</v>
      </c>
      <c r="AC661" t="n">
        <v>420400</v>
      </c>
      <c r="AD661" t="n">
        <v>542416</v>
      </c>
      <c r="AE661" t="n">
        <v>43.66</v>
      </c>
    </row>
    <row r="662">
      <c r="A662" t="inlineStr">
        <is>
          <t>6 - UNIDAD DE SERVICIOS PÚBLICOS</t>
        </is>
      </c>
      <c r="B662" t="inlineStr">
        <is>
          <t>00 - SIN SECTOR</t>
        </is>
      </c>
      <c r="C662" t="inlineStr">
        <is>
          <t>00</t>
        </is>
      </c>
      <c r="D662" t="inlineStr">
        <is>
          <t>0000</t>
        </is>
      </c>
      <c r="E662" t="inlineStr">
        <is>
          <t>000000</t>
        </is>
      </c>
      <c r="F662" t="inlineStr">
        <is>
          <t>SIN PRODUCTO</t>
        </is>
      </c>
      <c r="G662" t="inlineStr">
        <is>
          <t>00</t>
        </is>
      </c>
      <c r="H662" t="inlineStr">
        <is>
          <t>00</t>
        </is>
      </c>
      <c r="I662" t="inlineStr">
        <is>
          <t>00</t>
        </is>
      </c>
      <c r="J662" t="inlineStr">
        <is>
          <t>SIN PRODUCTO DANE</t>
        </is>
      </c>
      <c r="K662" t="inlineStr">
        <is>
          <t>00</t>
        </is>
      </c>
      <c r="L662" t="inlineStr">
        <is>
          <t>SIN ATRIBUTO</t>
        </is>
      </c>
      <c r="N662" t="inlineStr">
        <is>
          <t>2.1.1.01.02.009.01</t>
        </is>
      </c>
      <c r="O662" t="inlineStr">
        <is>
          <t>Aportes a escuelas industriales e institutos técnicos Admtivo</t>
        </is>
      </c>
      <c r="P662" t="inlineStr">
        <is>
          <t>104</t>
        </is>
      </c>
      <c r="Q662" t="inlineStr">
        <is>
          <t>RECURSOS PROPIOS AAA</t>
        </is>
      </c>
      <c r="R662" t="n">
        <v>586196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586196</v>
      </c>
      <c r="Z662" t="n">
        <v>282300</v>
      </c>
      <c r="AA662" t="n">
        <v>282300</v>
      </c>
      <c r="AB662" t="n">
        <v>282300</v>
      </c>
      <c r="AC662" t="n">
        <v>282300</v>
      </c>
      <c r="AD662" t="n">
        <v>303896</v>
      </c>
      <c r="AE662" t="n">
        <v>48.16</v>
      </c>
    </row>
    <row r="663">
      <c r="A663" t="inlineStr">
        <is>
          <t>6 - UNIDAD DE SERVICIOS PÚBLICOS</t>
        </is>
      </c>
      <c r="B663" t="inlineStr">
        <is>
          <t>00 - SIN SECTOR</t>
        </is>
      </c>
      <c r="C663" t="inlineStr">
        <is>
          <t>00</t>
        </is>
      </c>
      <c r="D663" t="inlineStr">
        <is>
          <t>0000</t>
        </is>
      </c>
      <c r="E663" t="inlineStr">
        <is>
          <t>000000</t>
        </is>
      </c>
      <c r="F663" t="inlineStr">
        <is>
          <t>SIN PRODUCTO</t>
        </is>
      </c>
      <c r="G663" t="inlineStr">
        <is>
          <t>00</t>
        </is>
      </c>
      <c r="H663" t="inlineStr">
        <is>
          <t>00</t>
        </is>
      </c>
      <c r="I663" t="inlineStr">
        <is>
          <t>00</t>
        </is>
      </c>
      <c r="J663" t="inlineStr">
        <is>
          <t>SIN PRODUCTO DANE</t>
        </is>
      </c>
      <c r="K663" t="inlineStr">
        <is>
          <t>00</t>
        </is>
      </c>
      <c r="L663" t="inlineStr">
        <is>
          <t>SIN ATRIBUTO</t>
        </is>
      </c>
      <c r="N663" t="inlineStr">
        <is>
          <t>2.1.1.01.02.009.02</t>
        </is>
      </c>
      <c r="O663" t="inlineStr">
        <is>
          <t>Aportes a escuelas industriales e institutos técnicos Aseo</t>
        </is>
      </c>
      <c r="P663" t="inlineStr">
        <is>
          <t>292.2</t>
        </is>
      </c>
      <c r="Q663" t="inlineStr">
        <is>
          <t>Transferencia AAA ALCANTARILLADO</t>
        </is>
      </c>
      <c r="R663" t="n">
        <v>376620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376620</v>
      </c>
      <c r="Z663" t="n">
        <v>138100</v>
      </c>
      <c r="AA663" t="n">
        <v>138100</v>
      </c>
      <c r="AB663" t="n">
        <v>138100</v>
      </c>
      <c r="AC663" t="n">
        <v>138100</v>
      </c>
      <c r="AD663" t="n">
        <v>238520</v>
      </c>
      <c r="AE663" t="n">
        <v>36.67</v>
      </c>
    </row>
    <row r="664">
      <c r="A664" t="inlineStr">
        <is>
          <t>6 - UNIDAD DE SERVICIOS PÚBLICOS</t>
        </is>
      </c>
      <c r="B664" t="inlineStr">
        <is>
          <t>00 - SIN SECTOR</t>
        </is>
      </c>
      <c r="C664" t="inlineStr">
        <is>
          <t>00</t>
        </is>
      </c>
      <c r="D664" t="inlineStr">
        <is>
          <t>0000</t>
        </is>
      </c>
      <c r="E664" t="inlineStr">
        <is>
          <t>000000</t>
        </is>
      </c>
      <c r="F664" t="inlineStr">
        <is>
          <t>SIN PRODUCTO</t>
        </is>
      </c>
      <c r="G664" t="inlineStr">
        <is>
          <t>00</t>
        </is>
      </c>
      <c r="H664" t="inlineStr">
        <is>
          <t>00</t>
        </is>
      </c>
      <c r="I664" t="inlineStr">
        <is>
          <t>00</t>
        </is>
      </c>
      <c r="J664" t="inlineStr">
        <is>
          <t>SIN PRODUCTO DANE</t>
        </is>
      </c>
      <c r="K664" t="inlineStr">
        <is>
          <t>00</t>
        </is>
      </c>
      <c r="L664" t="inlineStr">
        <is>
          <t>SIN ATRIBUTO</t>
        </is>
      </c>
      <c r="N664" t="inlineStr">
        <is>
          <t>2.1.1.01.03</t>
        </is>
      </c>
      <c r="O664" t="inlineStr">
        <is>
          <t>Remuneraciones no constitutivas de factor salarial</t>
        </is>
      </c>
      <c r="P664" t="inlineStr">
        <is>
          <t>00</t>
        </is>
      </c>
      <c r="Q664" t="inlineStr">
        <is>
          <t>RECURSOS</t>
        </is>
      </c>
      <c r="R664" t="n">
        <v>4963707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4963707</v>
      </c>
      <c r="Z664" t="n">
        <v>3072147</v>
      </c>
      <c r="AA664" t="n">
        <v>3072147</v>
      </c>
      <c r="AB664" t="n">
        <v>3072147</v>
      </c>
      <c r="AC664" t="n">
        <v>3072147</v>
      </c>
      <c r="AD664" t="n">
        <v>1891560</v>
      </c>
      <c r="AE664" t="n">
        <v>61.89</v>
      </c>
    </row>
    <row r="665">
      <c r="A665" t="inlineStr">
        <is>
          <t>6 - UNIDAD DE SERVICIOS PÚBLICOS</t>
        </is>
      </c>
      <c r="B665" t="inlineStr">
        <is>
          <t>00 - SIN SECTOR</t>
        </is>
      </c>
      <c r="C665" t="inlineStr">
        <is>
          <t>00</t>
        </is>
      </c>
      <c r="D665" t="inlineStr">
        <is>
          <t>0000</t>
        </is>
      </c>
      <c r="E665" t="inlineStr">
        <is>
          <t>000000</t>
        </is>
      </c>
      <c r="F665" t="inlineStr">
        <is>
          <t>SIN PRODUCTO</t>
        </is>
      </c>
      <c r="G665" t="inlineStr">
        <is>
          <t>00</t>
        </is>
      </c>
      <c r="H665" t="inlineStr">
        <is>
          <t>00</t>
        </is>
      </c>
      <c r="I665" t="inlineStr">
        <is>
          <t>00</t>
        </is>
      </c>
      <c r="J665" t="inlineStr">
        <is>
          <t>SIN PRODUCTO DANE</t>
        </is>
      </c>
      <c r="K665" t="inlineStr">
        <is>
          <t>00</t>
        </is>
      </c>
      <c r="L665" t="inlineStr">
        <is>
          <t>SIN ATRIBUTO</t>
        </is>
      </c>
      <c r="N665" t="inlineStr">
        <is>
          <t>2.1.1.01.03.001</t>
        </is>
      </c>
      <c r="O665" t="inlineStr">
        <is>
          <t>Prestaciones sociales</t>
        </is>
      </c>
      <c r="P665" t="inlineStr">
        <is>
          <t>00</t>
        </is>
      </c>
      <c r="Q665" t="inlineStr">
        <is>
          <t>RECURSOS</t>
        </is>
      </c>
      <c r="R665" t="n">
        <v>4963707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4963707</v>
      </c>
      <c r="Z665" t="n">
        <v>3072147</v>
      </c>
      <c r="AA665" t="n">
        <v>3072147</v>
      </c>
      <c r="AB665" t="n">
        <v>3072147</v>
      </c>
      <c r="AC665" t="n">
        <v>3072147</v>
      </c>
      <c r="AD665" t="n">
        <v>1891560</v>
      </c>
      <c r="AE665" t="n">
        <v>61.89</v>
      </c>
    </row>
    <row r="666">
      <c r="A666" t="inlineStr">
        <is>
          <t>6 - UNIDAD DE SERVICIOS PÚBLICOS</t>
        </is>
      </c>
      <c r="B666" t="inlineStr">
        <is>
          <t>00 - SIN SECTOR</t>
        </is>
      </c>
      <c r="C666" t="inlineStr">
        <is>
          <t>00</t>
        </is>
      </c>
      <c r="D666" t="inlineStr">
        <is>
          <t>0000</t>
        </is>
      </c>
      <c r="E666" t="inlineStr">
        <is>
          <t>000000</t>
        </is>
      </c>
      <c r="F666" t="inlineStr">
        <is>
          <t>SIN PRODUCTO</t>
        </is>
      </c>
      <c r="G666" t="inlineStr">
        <is>
          <t>00</t>
        </is>
      </c>
      <c r="H666" t="inlineStr">
        <is>
          <t>00</t>
        </is>
      </c>
      <c r="I666" t="inlineStr">
        <is>
          <t>00</t>
        </is>
      </c>
      <c r="J666" t="inlineStr">
        <is>
          <t>SIN PRODUCTO DANE</t>
        </is>
      </c>
      <c r="K666" t="inlineStr">
        <is>
          <t>00</t>
        </is>
      </c>
      <c r="L666" t="inlineStr">
        <is>
          <t>SIN ATRIBUTO</t>
        </is>
      </c>
      <c r="N666" t="inlineStr">
        <is>
          <t>2.1.1.01.03.001.01</t>
        </is>
      </c>
      <c r="O666" t="inlineStr">
        <is>
          <t>Vacaciones</t>
        </is>
      </c>
      <c r="P666" t="inlineStr">
        <is>
          <t>00</t>
        </is>
      </c>
      <c r="Q666" t="inlineStr">
        <is>
          <t>RECURSOS</t>
        </is>
      </c>
      <c r="R666" t="n">
        <v>4451250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4451250</v>
      </c>
      <c r="Z666" t="n">
        <v>2818321</v>
      </c>
      <c r="AA666" t="n">
        <v>2818321</v>
      </c>
      <c r="AB666" t="n">
        <v>2818321</v>
      </c>
      <c r="AC666" t="n">
        <v>2818321</v>
      </c>
      <c r="AD666" t="n">
        <v>1632929</v>
      </c>
      <c r="AE666" t="n">
        <v>63.32</v>
      </c>
    </row>
    <row r="667">
      <c r="A667" t="inlineStr">
        <is>
          <t>6 - UNIDAD DE SERVICIOS PÚBLICOS</t>
        </is>
      </c>
      <c r="B667" t="inlineStr">
        <is>
          <t>00 - SIN SECTOR</t>
        </is>
      </c>
      <c r="C667" t="inlineStr">
        <is>
          <t>00</t>
        </is>
      </c>
      <c r="D667" t="inlineStr">
        <is>
          <t>0000</t>
        </is>
      </c>
      <c r="E667" t="inlineStr">
        <is>
          <t>000000</t>
        </is>
      </c>
      <c r="F667" t="inlineStr">
        <is>
          <t>SIN PRODUCTO</t>
        </is>
      </c>
      <c r="G667" t="inlineStr">
        <is>
          <t>00</t>
        </is>
      </c>
      <c r="H667" t="inlineStr">
        <is>
          <t>00</t>
        </is>
      </c>
      <c r="I667" t="inlineStr">
        <is>
          <t>00</t>
        </is>
      </c>
      <c r="J667" t="inlineStr">
        <is>
          <t>SIN PRODUCTO DANE</t>
        </is>
      </c>
      <c r="K667" t="inlineStr">
        <is>
          <t>00</t>
        </is>
      </c>
      <c r="L667" t="inlineStr">
        <is>
          <t>SIN ATRIBUTO</t>
        </is>
      </c>
      <c r="N667" t="inlineStr">
        <is>
          <t>2.1.1.01.03.001.01.01</t>
        </is>
      </c>
      <c r="O667" t="inlineStr">
        <is>
          <t>Vacaciones Admtivo</t>
        </is>
      </c>
      <c r="P667" t="inlineStr">
        <is>
          <t>104</t>
        </is>
      </c>
      <c r="Q667" t="inlineStr">
        <is>
          <t>RECURSOS PROPIOS AAA</t>
        </is>
      </c>
      <c r="R667" t="n">
        <v>3000000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3000000</v>
      </c>
      <c r="Z667" t="n">
        <v>2818321</v>
      </c>
      <c r="AA667" t="n">
        <v>2818321</v>
      </c>
      <c r="AB667" t="n">
        <v>2818321</v>
      </c>
      <c r="AC667" t="n">
        <v>2818321</v>
      </c>
      <c r="AD667" t="n">
        <v>181679</v>
      </c>
      <c r="AE667" t="n">
        <v>93.94</v>
      </c>
    </row>
    <row r="668">
      <c r="A668" t="inlineStr">
        <is>
          <t>6 - UNIDAD DE SERVICIOS PÚBLICOS</t>
        </is>
      </c>
      <c r="B668" t="inlineStr">
        <is>
          <t>00 - SIN SECTOR</t>
        </is>
      </c>
      <c r="C668" t="inlineStr">
        <is>
          <t>00</t>
        </is>
      </c>
      <c r="D668" t="inlineStr">
        <is>
          <t>0000</t>
        </is>
      </c>
      <c r="E668" t="inlineStr">
        <is>
          <t>000000</t>
        </is>
      </c>
      <c r="F668" t="inlineStr">
        <is>
          <t>SIN PRODUCTO</t>
        </is>
      </c>
      <c r="G668" t="inlineStr">
        <is>
          <t>00</t>
        </is>
      </c>
      <c r="H668" t="inlineStr">
        <is>
          <t>00</t>
        </is>
      </c>
      <c r="I668" t="inlineStr">
        <is>
          <t>00</t>
        </is>
      </c>
      <c r="J668" t="inlineStr">
        <is>
          <t>SIN PRODUCTO DANE</t>
        </is>
      </c>
      <c r="K668" t="inlineStr">
        <is>
          <t>00</t>
        </is>
      </c>
      <c r="L668" t="inlineStr">
        <is>
          <t>SIN ATRIBUTO</t>
        </is>
      </c>
      <c r="N668" t="inlineStr">
        <is>
          <t>2.1.1.01.03.001.01.02</t>
        </is>
      </c>
      <c r="O668" t="inlineStr">
        <is>
          <t>Vacaciones Aseo</t>
        </is>
      </c>
      <c r="P668" t="inlineStr">
        <is>
          <t>104</t>
        </is>
      </c>
      <c r="Q668" t="inlineStr">
        <is>
          <t>RECURSOS PROPIOS AAA</t>
        </is>
      </c>
      <c r="R668" t="n">
        <v>1451250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1451250</v>
      </c>
      <c r="Z668" t="n">
        <v>0</v>
      </c>
      <c r="AA668" t="n">
        <v>0</v>
      </c>
      <c r="AB668" t="n">
        <v>0</v>
      </c>
      <c r="AC668" t="n">
        <v>0</v>
      </c>
      <c r="AD668" t="n">
        <v>1451250</v>
      </c>
      <c r="AE668" t="n">
        <v>0</v>
      </c>
    </row>
    <row r="669">
      <c r="A669" t="inlineStr">
        <is>
          <t>6 - UNIDAD DE SERVICIOS PÚBLICOS</t>
        </is>
      </c>
      <c r="B669" t="inlineStr">
        <is>
          <t>00 - SIN SECTOR</t>
        </is>
      </c>
      <c r="C669" t="inlineStr">
        <is>
          <t>00</t>
        </is>
      </c>
      <c r="D669" t="inlineStr">
        <is>
          <t>0000</t>
        </is>
      </c>
      <c r="E669" t="inlineStr">
        <is>
          <t>000000</t>
        </is>
      </c>
      <c r="F669" t="inlineStr">
        <is>
          <t>SIN PRODUCTO</t>
        </is>
      </c>
      <c r="G669" t="inlineStr">
        <is>
          <t>00</t>
        </is>
      </c>
      <c r="H669" t="inlineStr">
        <is>
          <t>00</t>
        </is>
      </c>
      <c r="I669" t="inlineStr">
        <is>
          <t>00</t>
        </is>
      </c>
      <c r="J669" t="inlineStr">
        <is>
          <t>SIN PRODUCTO DANE</t>
        </is>
      </c>
      <c r="K669" t="inlineStr">
        <is>
          <t>00</t>
        </is>
      </c>
      <c r="L669" t="inlineStr">
        <is>
          <t>SIN ATRIBUTO</t>
        </is>
      </c>
      <c r="N669" t="inlineStr">
        <is>
          <t>2.1.1.01.03.001.02</t>
        </is>
      </c>
      <c r="O669" t="inlineStr">
        <is>
          <t>Indemnizacion por vacaciones</t>
        </is>
      </c>
      <c r="P669" t="inlineStr">
        <is>
          <t>00</t>
        </is>
      </c>
      <c r="Q669" t="inlineStr">
        <is>
          <t>RECURSOS</t>
        </is>
      </c>
      <c r="R669" t="n">
        <v>116153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116153</v>
      </c>
      <c r="Z669" t="n">
        <v>0</v>
      </c>
      <c r="AA669" t="n">
        <v>0</v>
      </c>
      <c r="AB669" t="n">
        <v>0</v>
      </c>
      <c r="AC669" t="n">
        <v>0</v>
      </c>
      <c r="AD669" t="n">
        <v>116153</v>
      </c>
      <c r="AE669" t="n">
        <v>0</v>
      </c>
    </row>
    <row r="670">
      <c r="A670" t="inlineStr">
        <is>
          <t>6 - UNIDAD DE SERVICIOS PÚBLICOS</t>
        </is>
      </c>
      <c r="B670" t="inlineStr">
        <is>
          <t>00 - SIN SECTOR</t>
        </is>
      </c>
      <c r="C670" t="inlineStr">
        <is>
          <t>00</t>
        </is>
      </c>
      <c r="D670" t="inlineStr">
        <is>
          <t>0000</t>
        </is>
      </c>
      <c r="E670" t="inlineStr">
        <is>
          <t>000000</t>
        </is>
      </c>
      <c r="F670" t="inlineStr">
        <is>
          <t>SIN PRODUCTO</t>
        </is>
      </c>
      <c r="G670" t="inlineStr">
        <is>
          <t>00</t>
        </is>
      </c>
      <c r="H670" t="inlineStr">
        <is>
          <t>00</t>
        </is>
      </c>
      <c r="I670" t="inlineStr">
        <is>
          <t>00</t>
        </is>
      </c>
      <c r="J670" t="inlineStr">
        <is>
          <t>SIN PRODUCTO DANE</t>
        </is>
      </c>
      <c r="K670" t="inlineStr">
        <is>
          <t>00</t>
        </is>
      </c>
      <c r="L670" t="inlineStr">
        <is>
          <t>SIN ATRIBUTO</t>
        </is>
      </c>
      <c r="N670" t="inlineStr">
        <is>
          <t>2.1.1.01.03.001.02.01</t>
        </is>
      </c>
      <c r="O670" t="inlineStr">
        <is>
          <t>Indeminizacion por vacaciones Admin</t>
        </is>
      </c>
      <c r="P670" t="inlineStr">
        <is>
          <t>104</t>
        </is>
      </c>
      <c r="Q670" t="inlineStr">
        <is>
          <t>RECURSOS PROPIOS AAA</t>
        </is>
      </c>
      <c r="R670" t="n">
        <v>66153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66153</v>
      </c>
      <c r="Z670" t="n">
        <v>0</v>
      </c>
      <c r="AA670" t="n">
        <v>0</v>
      </c>
      <c r="AB670" t="n">
        <v>0</v>
      </c>
      <c r="AC670" t="n">
        <v>0</v>
      </c>
      <c r="AD670" t="n">
        <v>66153</v>
      </c>
      <c r="AE670" t="n">
        <v>0</v>
      </c>
    </row>
    <row r="671">
      <c r="A671" t="inlineStr">
        <is>
          <t>6 - UNIDAD DE SERVICIOS PÚBLICOS</t>
        </is>
      </c>
      <c r="B671" t="inlineStr">
        <is>
          <t>00 - SIN SECTOR</t>
        </is>
      </c>
      <c r="C671" t="inlineStr">
        <is>
          <t>00</t>
        </is>
      </c>
      <c r="D671" t="inlineStr">
        <is>
          <t>0000</t>
        </is>
      </c>
      <c r="E671" t="inlineStr">
        <is>
          <t>000000</t>
        </is>
      </c>
      <c r="F671" t="inlineStr">
        <is>
          <t>SIN PRODUCTO</t>
        </is>
      </c>
      <c r="G671" t="inlineStr">
        <is>
          <t>00</t>
        </is>
      </c>
      <c r="H671" t="inlineStr">
        <is>
          <t>00</t>
        </is>
      </c>
      <c r="I671" t="inlineStr">
        <is>
          <t>00</t>
        </is>
      </c>
      <c r="J671" t="inlineStr">
        <is>
          <t>SIN PRODUCTO DANE</t>
        </is>
      </c>
      <c r="K671" t="inlineStr">
        <is>
          <t>00</t>
        </is>
      </c>
      <c r="L671" t="inlineStr">
        <is>
          <t>SIN ATRIBUTO</t>
        </is>
      </c>
      <c r="N671" t="inlineStr">
        <is>
          <t>2.1.1.01.03.001.02.02</t>
        </is>
      </c>
      <c r="O671" t="inlineStr">
        <is>
          <t>Indeminizacion por vacaciones ASEO</t>
        </is>
      </c>
      <c r="P671" t="inlineStr">
        <is>
          <t>292.1</t>
        </is>
      </c>
      <c r="Q671" t="inlineStr">
        <is>
          <t>Transferencia AAA ACUEDUCTO</t>
        </is>
      </c>
      <c r="R671" t="n">
        <v>50000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50000</v>
      </c>
      <c r="Z671" t="n">
        <v>0</v>
      </c>
      <c r="AA671" t="n">
        <v>0</v>
      </c>
      <c r="AB671" t="n">
        <v>0</v>
      </c>
      <c r="AC671" t="n">
        <v>0</v>
      </c>
      <c r="AD671" t="n">
        <v>50000</v>
      </c>
      <c r="AE671" t="n">
        <v>0</v>
      </c>
    </row>
    <row r="672">
      <c r="A672" t="inlineStr">
        <is>
          <t>6 - UNIDAD DE SERVICIOS PÚBLICOS</t>
        </is>
      </c>
      <c r="B672" t="inlineStr">
        <is>
          <t>00 - SIN SECTOR</t>
        </is>
      </c>
      <c r="C672" t="inlineStr">
        <is>
          <t>00</t>
        </is>
      </c>
      <c r="D672" t="inlineStr">
        <is>
          <t>0000</t>
        </is>
      </c>
      <c r="E672" t="inlineStr">
        <is>
          <t>000000</t>
        </is>
      </c>
      <c r="F672" t="inlineStr">
        <is>
          <t>SIN PRODUCTO</t>
        </is>
      </c>
      <c r="G672" t="inlineStr">
        <is>
          <t>00</t>
        </is>
      </c>
      <c r="H672" t="inlineStr">
        <is>
          <t>00</t>
        </is>
      </c>
      <c r="I672" t="inlineStr">
        <is>
          <t>00</t>
        </is>
      </c>
      <c r="J672" t="inlineStr">
        <is>
          <t>SIN PRODUCTO DANE</t>
        </is>
      </c>
      <c r="K672" t="inlineStr">
        <is>
          <t>00</t>
        </is>
      </c>
      <c r="L672" t="inlineStr">
        <is>
          <t>SIN ATRIBUTO</t>
        </is>
      </c>
      <c r="N672" t="inlineStr">
        <is>
          <t>2.1.1.01.03.001.03</t>
        </is>
      </c>
      <c r="O672" t="inlineStr">
        <is>
          <t>Bonificacion especial de recreacion</t>
        </is>
      </c>
      <c r="P672" t="inlineStr">
        <is>
          <t>00</t>
        </is>
      </c>
      <c r="Q672" t="inlineStr">
        <is>
          <t>RECURSOS</t>
        </is>
      </c>
      <c r="R672" t="n">
        <v>396304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396304</v>
      </c>
      <c r="Z672" t="n">
        <v>253826</v>
      </c>
      <c r="AA672" t="n">
        <v>253826</v>
      </c>
      <c r="AB672" t="n">
        <v>253826</v>
      </c>
      <c r="AC672" t="n">
        <v>253826</v>
      </c>
      <c r="AD672" t="n">
        <v>142478</v>
      </c>
      <c r="AE672" t="n">
        <v>64.05</v>
      </c>
    </row>
    <row r="673">
      <c r="A673" t="inlineStr">
        <is>
          <t>6 - UNIDAD DE SERVICIOS PÚBLICOS</t>
        </is>
      </c>
      <c r="B673" t="inlineStr">
        <is>
          <t>00 - SIN SECTOR</t>
        </is>
      </c>
      <c r="C673" t="inlineStr">
        <is>
          <t>00</t>
        </is>
      </c>
      <c r="D673" t="inlineStr">
        <is>
          <t>0000</t>
        </is>
      </c>
      <c r="E673" t="inlineStr">
        <is>
          <t>000000</t>
        </is>
      </c>
      <c r="F673" t="inlineStr">
        <is>
          <t>SIN PRODUCTO</t>
        </is>
      </c>
      <c r="G673" t="inlineStr">
        <is>
          <t>00</t>
        </is>
      </c>
      <c r="H673" t="inlineStr">
        <is>
          <t>00</t>
        </is>
      </c>
      <c r="I673" t="inlineStr">
        <is>
          <t>00</t>
        </is>
      </c>
      <c r="J673" t="inlineStr">
        <is>
          <t>SIN PRODUCTO DANE</t>
        </is>
      </c>
      <c r="K673" t="inlineStr">
        <is>
          <t>00</t>
        </is>
      </c>
      <c r="L673" t="inlineStr">
        <is>
          <t>SIN ATRIBUTO</t>
        </is>
      </c>
      <c r="N673" t="inlineStr">
        <is>
          <t>2.1.1.01.03.001.03.01</t>
        </is>
      </c>
      <c r="O673" t="inlineStr">
        <is>
          <t>Bonificación especial de recreación Admtivo</t>
        </is>
      </c>
      <c r="P673" t="inlineStr">
        <is>
          <t>104</t>
        </is>
      </c>
      <c r="Q673" t="inlineStr">
        <is>
          <t>RECURSOS PROPIOS AAA</t>
        </is>
      </c>
      <c r="R673" t="n">
        <v>265913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265913</v>
      </c>
      <c r="Z673" t="n">
        <v>253826</v>
      </c>
      <c r="AA673" t="n">
        <v>253826</v>
      </c>
      <c r="AB673" t="n">
        <v>253826</v>
      </c>
      <c r="AC673" t="n">
        <v>253826</v>
      </c>
      <c r="AD673" t="n">
        <v>12087</v>
      </c>
      <c r="AE673" t="n">
        <v>95.45</v>
      </c>
    </row>
    <row r="674">
      <c r="A674" t="inlineStr">
        <is>
          <t>6 - UNIDAD DE SERVICIOS PÚBLICOS</t>
        </is>
      </c>
      <c r="B674" t="inlineStr">
        <is>
          <t>00 - SIN SECTOR</t>
        </is>
      </c>
      <c r="C674" t="inlineStr">
        <is>
          <t>00</t>
        </is>
      </c>
      <c r="D674" t="inlineStr">
        <is>
          <t>0000</t>
        </is>
      </c>
      <c r="E674" t="inlineStr">
        <is>
          <t>000000</t>
        </is>
      </c>
      <c r="F674" t="inlineStr">
        <is>
          <t>SIN PRODUCTO</t>
        </is>
      </c>
      <c r="G674" t="inlineStr">
        <is>
          <t>00</t>
        </is>
      </c>
      <c r="H674" t="inlineStr">
        <is>
          <t>00</t>
        </is>
      </c>
      <c r="I674" t="inlineStr">
        <is>
          <t>00</t>
        </is>
      </c>
      <c r="J674" t="inlineStr">
        <is>
          <t>SIN PRODUCTO DANE</t>
        </is>
      </c>
      <c r="K674" t="inlineStr">
        <is>
          <t>00</t>
        </is>
      </c>
      <c r="L674" t="inlineStr">
        <is>
          <t>SIN ATRIBUTO</t>
        </is>
      </c>
      <c r="N674" t="inlineStr">
        <is>
          <t>2.1.1.01.03.001.03.02</t>
        </is>
      </c>
      <c r="O674" t="inlineStr">
        <is>
          <t>Bonificación especial de recreación Aseo</t>
        </is>
      </c>
      <c r="P674" t="inlineStr">
        <is>
          <t>292.2</t>
        </is>
      </c>
      <c r="Q674" t="inlineStr">
        <is>
          <t>Transferencia AAA ALCANTARILLADO</t>
        </is>
      </c>
      <c r="R674" t="n">
        <v>130391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130391</v>
      </c>
      <c r="Z674" t="n">
        <v>0</v>
      </c>
      <c r="AA674" t="n">
        <v>0</v>
      </c>
      <c r="AB674" t="n">
        <v>0</v>
      </c>
      <c r="AC674" t="n">
        <v>0</v>
      </c>
      <c r="AD674" t="n">
        <v>130391</v>
      </c>
      <c r="AE674" t="n">
        <v>0</v>
      </c>
    </row>
    <row r="675">
      <c r="A675" t="inlineStr">
        <is>
          <t>6 - UNIDAD DE SERVICIOS PÚBLICOS</t>
        </is>
      </c>
      <c r="B675" t="inlineStr">
        <is>
          <t>00 - SIN SECTOR</t>
        </is>
      </c>
      <c r="C675" t="inlineStr">
        <is>
          <t>00</t>
        </is>
      </c>
      <c r="D675" t="inlineStr">
        <is>
          <t>0000</t>
        </is>
      </c>
      <c r="E675" t="inlineStr">
        <is>
          <t>000000</t>
        </is>
      </c>
      <c r="F675" t="inlineStr">
        <is>
          <t>SIN PRODUCTO</t>
        </is>
      </c>
      <c r="G675" t="inlineStr">
        <is>
          <t>00</t>
        </is>
      </c>
      <c r="H675" t="inlineStr">
        <is>
          <t>00</t>
        </is>
      </c>
      <c r="I675" t="inlineStr">
        <is>
          <t>00</t>
        </is>
      </c>
      <c r="J675" t="inlineStr">
        <is>
          <t>SIN PRODUCTO DANE</t>
        </is>
      </c>
      <c r="K675" t="inlineStr">
        <is>
          <t>00</t>
        </is>
      </c>
      <c r="L675" t="inlineStr">
        <is>
          <t>SIN ATRIBUTO</t>
        </is>
      </c>
      <c r="N675" t="inlineStr">
        <is>
          <t>2.1.2</t>
        </is>
      </c>
      <c r="O675" t="inlineStr">
        <is>
          <t>Adquisicion de bienes y servicios</t>
        </is>
      </c>
      <c r="P675" t="inlineStr">
        <is>
          <t>00</t>
        </is>
      </c>
      <c r="Q675" t="inlineStr">
        <is>
          <t>RECURSOS</t>
        </is>
      </c>
      <c r="R675" t="n">
        <v>62277292</v>
      </c>
      <c r="S675" t="n">
        <v>0</v>
      </c>
      <c r="T675" t="n">
        <v>0</v>
      </c>
      <c r="U675" t="n">
        <v>0</v>
      </c>
      <c r="V675" t="n">
        <v>700000</v>
      </c>
      <c r="W675" t="n">
        <v>0</v>
      </c>
      <c r="X675" t="n">
        <v>0</v>
      </c>
      <c r="Y675" t="n">
        <v>61577292</v>
      </c>
      <c r="Z675" t="n">
        <v>12833333</v>
      </c>
      <c r="AA675" t="n">
        <v>12833333</v>
      </c>
      <c r="AB675" t="n">
        <v>10633333</v>
      </c>
      <c r="AC675" t="n">
        <v>10633333</v>
      </c>
      <c r="AD675" t="n">
        <v>48743959</v>
      </c>
      <c r="AE675" t="n">
        <v>20.84</v>
      </c>
    </row>
    <row r="676">
      <c r="A676" t="inlineStr">
        <is>
          <t>6 - UNIDAD DE SERVICIOS PÚBLICOS</t>
        </is>
      </c>
      <c r="B676" t="inlineStr">
        <is>
          <t>00 - SIN SECTOR</t>
        </is>
      </c>
      <c r="C676" t="inlineStr">
        <is>
          <t>00</t>
        </is>
      </c>
      <c r="D676" t="inlineStr">
        <is>
          <t>0000</t>
        </is>
      </c>
      <c r="E676" t="inlineStr">
        <is>
          <t>000000</t>
        </is>
      </c>
      <c r="F676" t="inlineStr">
        <is>
          <t>SIN PRODUCTO</t>
        </is>
      </c>
      <c r="G676" t="inlineStr">
        <is>
          <t>00</t>
        </is>
      </c>
      <c r="H676" t="inlineStr">
        <is>
          <t>00</t>
        </is>
      </c>
      <c r="I676" t="inlineStr">
        <is>
          <t>00</t>
        </is>
      </c>
      <c r="J676" t="inlineStr">
        <is>
          <t>SIN PRODUCTO DANE</t>
        </is>
      </c>
      <c r="K676" t="inlineStr">
        <is>
          <t>00</t>
        </is>
      </c>
      <c r="L676" t="inlineStr">
        <is>
          <t>SIN ATRIBUTO</t>
        </is>
      </c>
      <c r="N676" t="inlineStr">
        <is>
          <t>2.1.2.02</t>
        </is>
      </c>
      <c r="O676" t="inlineStr">
        <is>
          <t>Adquisiciones diferentes de activos</t>
        </is>
      </c>
      <c r="P676" t="inlineStr">
        <is>
          <t>00</t>
        </is>
      </c>
      <c r="Q676" t="inlineStr">
        <is>
          <t>RECURSOS</t>
        </is>
      </c>
      <c r="R676" t="n">
        <v>62277292</v>
      </c>
      <c r="S676" t="n">
        <v>0</v>
      </c>
      <c r="T676" t="n">
        <v>0</v>
      </c>
      <c r="U676" t="n">
        <v>0</v>
      </c>
      <c r="V676" t="n">
        <v>700000</v>
      </c>
      <c r="W676" t="n">
        <v>0</v>
      </c>
      <c r="X676" t="n">
        <v>0</v>
      </c>
      <c r="Y676" t="n">
        <v>61577292</v>
      </c>
      <c r="Z676" t="n">
        <v>12833333</v>
      </c>
      <c r="AA676" t="n">
        <v>12833333</v>
      </c>
      <c r="AB676" t="n">
        <v>10633333</v>
      </c>
      <c r="AC676" t="n">
        <v>10633333</v>
      </c>
      <c r="AD676" t="n">
        <v>48743959</v>
      </c>
      <c r="AE676" t="n">
        <v>20.84</v>
      </c>
    </row>
    <row r="677">
      <c r="A677" t="inlineStr">
        <is>
          <t>6 - UNIDAD DE SERVICIOS PÚBLICOS</t>
        </is>
      </c>
      <c r="B677" t="inlineStr">
        <is>
          <t>00 - SIN SECTOR</t>
        </is>
      </c>
      <c r="C677" t="inlineStr">
        <is>
          <t>00</t>
        </is>
      </c>
      <c r="D677" t="inlineStr">
        <is>
          <t>0000</t>
        </is>
      </c>
      <c r="E677" t="inlineStr">
        <is>
          <t>000000</t>
        </is>
      </c>
      <c r="F677" t="inlineStr">
        <is>
          <t>SIN PRODUCTO</t>
        </is>
      </c>
      <c r="G677" t="inlineStr">
        <is>
          <t>00</t>
        </is>
      </c>
      <c r="H677" t="inlineStr">
        <is>
          <t>00</t>
        </is>
      </c>
      <c r="I677" t="inlineStr">
        <is>
          <t>00</t>
        </is>
      </c>
      <c r="J677" t="inlineStr">
        <is>
          <t>SIN PRODUCTO DANE</t>
        </is>
      </c>
      <c r="K677" t="inlineStr">
        <is>
          <t>00</t>
        </is>
      </c>
      <c r="L677" t="inlineStr">
        <is>
          <t>SIN ATRIBUTO</t>
        </is>
      </c>
      <c r="N677" t="inlineStr">
        <is>
          <t>2.1.2.02.01</t>
        </is>
      </c>
      <c r="O677" t="inlineStr">
        <is>
          <t>Materiales y suministros</t>
        </is>
      </c>
      <c r="P677" t="inlineStr">
        <is>
          <t>00</t>
        </is>
      </c>
      <c r="Q677" t="inlineStr">
        <is>
          <t>RECURSOS</t>
        </is>
      </c>
      <c r="R677" t="n">
        <v>3638917</v>
      </c>
      <c r="S677" t="n">
        <v>0</v>
      </c>
      <c r="T677" t="n">
        <v>0</v>
      </c>
      <c r="U677" t="n">
        <v>0</v>
      </c>
      <c r="V677" t="n">
        <v>700000</v>
      </c>
      <c r="W677" t="n">
        <v>0</v>
      </c>
      <c r="X677" t="n">
        <v>0</v>
      </c>
      <c r="Y677" t="n">
        <v>2938917</v>
      </c>
      <c r="Z677" t="n">
        <v>0</v>
      </c>
      <c r="AA677" t="n">
        <v>0</v>
      </c>
      <c r="AB677" t="n">
        <v>0</v>
      </c>
      <c r="AC677" t="n">
        <v>0</v>
      </c>
      <c r="AD677" t="n">
        <v>2938917</v>
      </c>
      <c r="AE677" t="n">
        <v>0</v>
      </c>
    </row>
    <row r="678">
      <c r="A678" t="inlineStr">
        <is>
          <t>6 - UNIDAD DE SERVICIOS PÚBLICOS</t>
        </is>
      </c>
      <c r="B678" t="inlineStr">
        <is>
          <t>00 - SIN SECTOR</t>
        </is>
      </c>
      <c r="C678" t="inlineStr">
        <is>
          <t>00</t>
        </is>
      </c>
      <c r="D678" t="inlineStr">
        <is>
          <t>0000</t>
        </is>
      </c>
      <c r="E678" t="inlineStr">
        <is>
          <t>000000</t>
        </is>
      </c>
      <c r="F678" t="inlineStr">
        <is>
          <t>SIN PRODUCTO</t>
        </is>
      </c>
      <c r="G678" t="inlineStr">
        <is>
          <t>00</t>
        </is>
      </c>
      <c r="H678" t="inlineStr">
        <is>
          <t>00</t>
        </is>
      </c>
      <c r="I678" t="inlineStr">
        <is>
          <t>00</t>
        </is>
      </c>
      <c r="J678" t="inlineStr">
        <is>
          <t>SIN PRODUCTO DANE</t>
        </is>
      </c>
      <c r="K678" t="inlineStr">
        <is>
          <t>00</t>
        </is>
      </c>
      <c r="L678" t="inlineStr">
        <is>
          <t>SIN ATRIBUTO</t>
        </is>
      </c>
      <c r="N678" t="inlineStr">
        <is>
          <t>2.1.2.02.01.003</t>
        </is>
      </c>
      <c r="O678" t="inlineStr">
        <is>
          <t>Otros bienes transportables excepto productos metalicos, maquinaria y equipo</t>
        </is>
      </c>
      <c r="P678" t="inlineStr">
        <is>
          <t>00</t>
        </is>
      </c>
      <c r="Q678" t="inlineStr">
        <is>
          <t>RECURSOS</t>
        </is>
      </c>
      <c r="R678" t="n">
        <v>3638917</v>
      </c>
      <c r="S678" t="n">
        <v>0</v>
      </c>
      <c r="T678" t="n">
        <v>0</v>
      </c>
      <c r="U678" t="n">
        <v>0</v>
      </c>
      <c r="V678" t="n">
        <v>700000</v>
      </c>
      <c r="W678" t="n">
        <v>0</v>
      </c>
      <c r="X678" t="n">
        <v>0</v>
      </c>
      <c r="Y678" t="n">
        <v>2938917</v>
      </c>
      <c r="Z678" t="n">
        <v>0</v>
      </c>
      <c r="AA678" t="n">
        <v>0</v>
      </c>
      <c r="AB678" t="n">
        <v>0</v>
      </c>
      <c r="AC678" t="n">
        <v>0</v>
      </c>
      <c r="AD678" t="n">
        <v>2938917</v>
      </c>
      <c r="AE678" t="n">
        <v>0</v>
      </c>
    </row>
    <row r="679">
      <c r="A679" t="inlineStr">
        <is>
          <t>6 - UNIDAD DE SERVICIOS PÚBLICOS</t>
        </is>
      </c>
      <c r="B679" t="inlineStr">
        <is>
          <t>00 - SIN SECTOR</t>
        </is>
      </c>
      <c r="C679" t="inlineStr">
        <is>
          <t>00</t>
        </is>
      </c>
      <c r="D679" t="inlineStr">
        <is>
          <t>0000</t>
        </is>
      </c>
      <c r="E679" t="inlineStr">
        <is>
          <t>000000</t>
        </is>
      </c>
      <c r="F679" t="inlineStr">
        <is>
          <t>SIN PRODUCTO</t>
        </is>
      </c>
      <c r="G679" t="inlineStr">
        <is>
          <t>00</t>
        </is>
      </c>
      <c r="H679" t="inlineStr">
        <is>
          <t>00</t>
        </is>
      </c>
      <c r="I679" t="inlineStr">
        <is>
          <t>00</t>
        </is>
      </c>
      <c r="J679" t="inlineStr">
        <is>
          <t>SIN PRODUCTO DANE</t>
        </is>
      </c>
      <c r="K679" t="inlineStr">
        <is>
          <t>00</t>
        </is>
      </c>
      <c r="L679" t="inlineStr">
        <is>
          <t>SIN ATRIBUTO</t>
        </is>
      </c>
      <c r="N679" t="inlineStr">
        <is>
          <t>2.1.2.02.01.003.01</t>
        </is>
      </c>
      <c r="O679" t="inlineStr">
        <is>
          <t>Insumos de papeleria y archivo</t>
        </is>
      </c>
      <c r="P679" t="inlineStr">
        <is>
          <t>104</t>
        </is>
      </c>
      <c r="Q679" t="inlineStr">
        <is>
          <t>RECURSOS PROPIOS AAA</t>
        </is>
      </c>
      <c r="R679" t="n">
        <v>3638917</v>
      </c>
      <c r="S679" t="n">
        <v>0</v>
      </c>
      <c r="T679" t="n">
        <v>0</v>
      </c>
      <c r="U679" t="n">
        <v>0</v>
      </c>
      <c r="V679" t="n">
        <v>700000</v>
      </c>
      <c r="W679" t="n">
        <v>0</v>
      </c>
      <c r="X679" t="n">
        <v>0</v>
      </c>
      <c r="Y679" t="n">
        <v>2938917</v>
      </c>
      <c r="Z679" t="n">
        <v>0</v>
      </c>
      <c r="AA679" t="n">
        <v>0</v>
      </c>
      <c r="AB679" t="n">
        <v>0</v>
      </c>
      <c r="AC679" t="n">
        <v>0</v>
      </c>
      <c r="AD679" t="n">
        <v>2938917</v>
      </c>
      <c r="AE679" t="n">
        <v>0</v>
      </c>
    </row>
    <row r="680">
      <c r="A680" t="inlineStr">
        <is>
          <t>6 - UNIDAD DE SERVICIOS PÚBLICOS</t>
        </is>
      </c>
      <c r="B680" t="inlineStr">
        <is>
          <t>00 - SIN SECTOR</t>
        </is>
      </c>
      <c r="C680" t="inlineStr">
        <is>
          <t>00</t>
        </is>
      </c>
      <c r="D680" t="inlineStr">
        <is>
          <t>0000</t>
        </is>
      </c>
      <c r="E680" t="inlineStr">
        <is>
          <t>000000</t>
        </is>
      </c>
      <c r="F680" t="inlineStr">
        <is>
          <t>SIN PRODUCTO</t>
        </is>
      </c>
      <c r="G680" t="inlineStr">
        <is>
          <t>00</t>
        </is>
      </c>
      <c r="H680" t="inlineStr">
        <is>
          <t>00</t>
        </is>
      </c>
      <c r="I680" t="inlineStr">
        <is>
          <t>00</t>
        </is>
      </c>
      <c r="J680" t="inlineStr">
        <is>
          <t>SIN PRODUCTO DANE</t>
        </is>
      </c>
      <c r="K680" t="inlineStr">
        <is>
          <t>00</t>
        </is>
      </c>
      <c r="L680" t="inlineStr">
        <is>
          <t>SIN ATRIBUTO</t>
        </is>
      </c>
      <c r="N680" t="inlineStr">
        <is>
          <t>2.1.2.02.02</t>
        </is>
      </c>
      <c r="O680" t="inlineStr">
        <is>
          <t>Adquisicion de servicios</t>
        </is>
      </c>
      <c r="P680" t="inlineStr">
        <is>
          <t>00</t>
        </is>
      </c>
      <c r="Q680" t="inlineStr">
        <is>
          <t>RECURSOS</t>
        </is>
      </c>
      <c r="R680" t="n">
        <v>58638375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58638375</v>
      </c>
      <c r="Z680" t="n">
        <v>12833333</v>
      </c>
      <c r="AA680" t="n">
        <v>12833333</v>
      </c>
      <c r="AB680" t="n">
        <v>10633333</v>
      </c>
      <c r="AC680" t="n">
        <v>10633333</v>
      </c>
      <c r="AD680" t="n">
        <v>45805042</v>
      </c>
      <c r="AE680" t="n">
        <v>21.89</v>
      </c>
    </row>
    <row r="681">
      <c r="A681" t="inlineStr">
        <is>
          <t>6 - UNIDAD DE SERVICIOS PÚBLICOS</t>
        </is>
      </c>
      <c r="B681" t="inlineStr">
        <is>
          <t>00 - SIN SECTOR</t>
        </is>
      </c>
      <c r="C681" t="inlineStr">
        <is>
          <t>00</t>
        </is>
      </c>
      <c r="D681" t="inlineStr">
        <is>
          <t>0000</t>
        </is>
      </c>
      <c r="E681" t="inlineStr">
        <is>
          <t>000000</t>
        </is>
      </c>
      <c r="F681" t="inlineStr">
        <is>
          <t>SIN PRODUCTO</t>
        </is>
      </c>
      <c r="G681" t="inlineStr">
        <is>
          <t>00</t>
        </is>
      </c>
      <c r="H681" t="inlineStr">
        <is>
          <t>00</t>
        </is>
      </c>
      <c r="I681" t="inlineStr">
        <is>
          <t>00</t>
        </is>
      </c>
      <c r="J681" t="inlineStr">
        <is>
          <t>SIN PRODUCTO DANE</t>
        </is>
      </c>
      <c r="K681" t="inlineStr">
        <is>
          <t>00</t>
        </is>
      </c>
      <c r="L681" t="inlineStr">
        <is>
          <t>SIN ATRIBUTO</t>
        </is>
      </c>
      <c r="N681" t="inlineStr">
        <is>
          <t>2.1.2.02.02.008</t>
        </is>
      </c>
      <c r="O681" t="inlineStr">
        <is>
          <t xml:space="preserve">Servicios prestados a las empresas y servicios de produccion </t>
        </is>
      </c>
      <c r="P681" t="inlineStr">
        <is>
          <t>00</t>
        </is>
      </c>
      <c r="Q681" t="inlineStr">
        <is>
          <t>RECURSOS</t>
        </is>
      </c>
      <c r="R681" t="n">
        <v>58638375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58638375</v>
      </c>
      <c r="Z681" t="n">
        <v>12833333</v>
      </c>
      <c r="AA681" t="n">
        <v>12833333</v>
      </c>
      <c r="AB681" t="n">
        <v>10633333</v>
      </c>
      <c r="AC681" t="n">
        <v>10633333</v>
      </c>
      <c r="AD681" t="n">
        <v>45805042</v>
      </c>
      <c r="AE681" t="n">
        <v>21.89</v>
      </c>
    </row>
    <row r="682">
      <c r="A682" t="inlineStr">
        <is>
          <t>6 - UNIDAD DE SERVICIOS PÚBLICOS</t>
        </is>
      </c>
      <c r="B682" t="inlineStr">
        <is>
          <t>00 - SIN SECTOR</t>
        </is>
      </c>
      <c r="C682" t="inlineStr">
        <is>
          <t>00</t>
        </is>
      </c>
      <c r="D682" t="inlineStr">
        <is>
          <t>0000</t>
        </is>
      </c>
      <c r="E682" t="inlineStr">
        <is>
          <t>000000</t>
        </is>
      </c>
      <c r="F682" t="inlineStr">
        <is>
          <t>SIN PRODUCTO</t>
        </is>
      </c>
      <c r="G682" t="inlineStr">
        <is>
          <t>00</t>
        </is>
      </c>
      <c r="H682" t="inlineStr">
        <is>
          <t>00</t>
        </is>
      </c>
      <c r="I682" t="inlineStr">
        <is>
          <t>83990</t>
        </is>
      </c>
      <c r="J682" t="inlineStr">
        <is>
          <t>Otros servicios profesionales, técnicos y empresariales n.c.p.</t>
        </is>
      </c>
      <c r="K682" t="inlineStr">
        <is>
          <t>00</t>
        </is>
      </c>
      <c r="L682" t="inlineStr">
        <is>
          <t>SIN ATRIBUTO</t>
        </is>
      </c>
      <c r="N682" t="inlineStr">
        <is>
          <t>2.1.2.02.02.008.01</t>
        </is>
      </c>
      <c r="O682" t="inlineStr">
        <is>
          <t>Remuneracion por servicios tecnicos</t>
        </is>
      </c>
      <c r="P682" t="inlineStr">
        <is>
          <t>292.2</t>
        </is>
      </c>
      <c r="Q682" t="inlineStr">
        <is>
          <t>Transferencia AAA ALCANTARILLADO</t>
        </is>
      </c>
      <c r="R682" t="n">
        <v>213826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213826</v>
      </c>
      <c r="Z682" t="n">
        <v>0</v>
      </c>
      <c r="AA682" t="n">
        <v>0</v>
      </c>
      <c r="AB682" t="n">
        <v>0</v>
      </c>
      <c r="AC682" t="n">
        <v>0</v>
      </c>
      <c r="AD682" t="n">
        <v>213826</v>
      </c>
      <c r="AE682" t="n">
        <v>0</v>
      </c>
    </row>
    <row r="683">
      <c r="A683" t="inlineStr">
        <is>
          <t>6 - UNIDAD DE SERVICIOS PÚBLICOS</t>
        </is>
      </c>
      <c r="B683" t="inlineStr">
        <is>
          <t>00 - SIN SECTOR</t>
        </is>
      </c>
      <c r="C683" t="inlineStr">
        <is>
          <t>00</t>
        </is>
      </c>
      <c r="D683" t="inlineStr">
        <is>
          <t>0000</t>
        </is>
      </c>
      <c r="E683" t="inlineStr">
        <is>
          <t>000000</t>
        </is>
      </c>
      <c r="F683" t="inlineStr">
        <is>
          <t>SIN PRODUCTO</t>
        </is>
      </c>
      <c r="G683" t="inlineStr">
        <is>
          <t>00</t>
        </is>
      </c>
      <c r="H683" t="inlineStr">
        <is>
          <t>00</t>
        </is>
      </c>
      <c r="I683" t="inlineStr">
        <is>
          <t>83990</t>
        </is>
      </c>
      <c r="J683" t="inlineStr">
        <is>
          <t>Otros servicios profesionales, técnicos y empresariales n.c.p.</t>
        </is>
      </c>
      <c r="K683" t="inlineStr">
        <is>
          <t>00</t>
        </is>
      </c>
      <c r="L683" t="inlineStr">
        <is>
          <t>SIN ATRIBUTO</t>
        </is>
      </c>
      <c r="N683" t="inlineStr">
        <is>
          <t>2.1.2.02.02.008.02</t>
        </is>
      </c>
      <c r="O683" t="inlineStr">
        <is>
          <t>Remuneracion por servicios tecnicos</t>
        </is>
      </c>
      <c r="P683" t="inlineStr">
        <is>
          <t>104</t>
        </is>
      </c>
      <c r="Q683" t="inlineStr">
        <is>
          <t>RECURSOS PROPIOS AAA</t>
        </is>
      </c>
      <c r="R683" t="n">
        <v>40295816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40295816</v>
      </c>
      <c r="Z683" t="n">
        <v>12833333</v>
      </c>
      <c r="AA683" t="n">
        <v>12833333</v>
      </c>
      <c r="AB683" t="n">
        <v>10633333</v>
      </c>
      <c r="AC683" t="n">
        <v>10633333</v>
      </c>
      <c r="AD683" t="n">
        <v>27462483</v>
      </c>
      <c r="AE683" t="n">
        <v>31.85</v>
      </c>
    </row>
    <row r="684">
      <c r="A684" t="inlineStr">
        <is>
          <t>6 - UNIDAD DE SERVICIOS PÚBLICOS</t>
        </is>
      </c>
      <c r="B684" t="inlineStr">
        <is>
          <t>00 - SIN SECTOR</t>
        </is>
      </c>
      <c r="C684" t="inlineStr">
        <is>
          <t>00</t>
        </is>
      </c>
      <c r="D684" t="inlineStr">
        <is>
          <t>0000</t>
        </is>
      </c>
      <c r="E684" t="inlineStr">
        <is>
          <t>000000</t>
        </is>
      </c>
      <c r="F684" t="inlineStr">
        <is>
          <t>SIN PRODUCTO</t>
        </is>
      </c>
      <c r="G684" t="inlineStr">
        <is>
          <t>00</t>
        </is>
      </c>
      <c r="H684" t="inlineStr">
        <is>
          <t>00</t>
        </is>
      </c>
      <c r="I684" t="inlineStr">
        <is>
          <t>83990</t>
        </is>
      </c>
      <c r="J684" t="inlineStr">
        <is>
          <t>Otros servicios profesionales, técnicos y empresariales n.c.p.</t>
        </is>
      </c>
      <c r="K684" t="inlineStr">
        <is>
          <t>00</t>
        </is>
      </c>
      <c r="L684" t="inlineStr">
        <is>
          <t>SIN ATRIBUTO</t>
        </is>
      </c>
      <c r="N684" t="inlineStr">
        <is>
          <t>2.1.2.02.02.008.03</t>
        </is>
      </c>
      <c r="O684" t="inlineStr">
        <is>
          <t>Remuneracion por servicios tecnicos</t>
        </is>
      </c>
      <c r="P684" t="inlineStr">
        <is>
          <t>292.1</t>
        </is>
      </c>
      <c r="Q684" t="inlineStr">
        <is>
          <t>Transferencia AAA ACUEDUCTO</t>
        </is>
      </c>
      <c r="R684" t="n">
        <v>17585333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17585333</v>
      </c>
      <c r="Z684" t="n">
        <v>0</v>
      </c>
      <c r="AA684" t="n">
        <v>0</v>
      </c>
      <c r="AB684" t="n">
        <v>0</v>
      </c>
      <c r="AC684" t="n">
        <v>0</v>
      </c>
      <c r="AD684" t="n">
        <v>17585333</v>
      </c>
      <c r="AE684" t="n">
        <v>0</v>
      </c>
    </row>
    <row r="685">
      <c r="A685" t="inlineStr">
        <is>
          <t>6 - UNIDAD DE SERVICIOS PÚBLICOS</t>
        </is>
      </c>
      <c r="B685" t="inlineStr">
        <is>
          <t>00 - SIN SECTOR</t>
        </is>
      </c>
      <c r="C685" t="inlineStr">
        <is>
          <t>00</t>
        </is>
      </c>
      <c r="D685" t="inlineStr">
        <is>
          <t>0000</t>
        </is>
      </c>
      <c r="E685" t="inlineStr">
        <is>
          <t>000000</t>
        </is>
      </c>
      <c r="F685" t="inlineStr">
        <is>
          <t>SIN PRODUCTO</t>
        </is>
      </c>
      <c r="G685" t="inlineStr">
        <is>
          <t>00</t>
        </is>
      </c>
      <c r="H685" t="inlineStr">
        <is>
          <t>00</t>
        </is>
      </c>
      <c r="I685" t="inlineStr">
        <is>
          <t>83990</t>
        </is>
      </c>
      <c r="J685" t="inlineStr">
        <is>
          <t>Otros servicios profesionales, técnicos y empresariales n.c.p.</t>
        </is>
      </c>
      <c r="K685" t="inlineStr">
        <is>
          <t>00</t>
        </is>
      </c>
      <c r="L685" t="inlineStr">
        <is>
          <t>SIN ATRIBUTO</t>
        </is>
      </c>
      <c r="N685" t="inlineStr">
        <is>
          <t>2.1.2.02.02.008.04</t>
        </is>
      </c>
      <c r="O685" t="inlineStr">
        <is>
          <t>Servicio de inspeccion tecnica de vehiculos de transporte terrestre</t>
        </is>
      </c>
      <c r="P685" t="inlineStr">
        <is>
          <t>292.3</t>
        </is>
      </c>
      <c r="Q685" t="inlineStr">
        <is>
          <t>Transferencia AAA ASEO</t>
        </is>
      </c>
      <c r="R685" t="n">
        <v>543400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543400</v>
      </c>
      <c r="Z685" t="n">
        <v>0</v>
      </c>
      <c r="AA685" t="n">
        <v>0</v>
      </c>
      <c r="AB685" t="n">
        <v>0</v>
      </c>
      <c r="AC685" t="n">
        <v>0</v>
      </c>
      <c r="AD685" t="n">
        <v>543400</v>
      </c>
      <c r="AE685" t="n">
        <v>0</v>
      </c>
    </row>
    <row r="686">
      <c r="A686" t="inlineStr">
        <is>
          <t>6 - UNIDAD DE SERVICIOS PÚBLICOS</t>
        </is>
      </c>
      <c r="B686" t="inlineStr">
        <is>
          <t>00 - SIN SECTOR</t>
        </is>
      </c>
      <c r="C686" t="inlineStr">
        <is>
          <t>00</t>
        </is>
      </c>
      <c r="D686" t="inlineStr">
        <is>
          <t>0000</t>
        </is>
      </c>
      <c r="E686" t="inlineStr">
        <is>
          <t>000000</t>
        </is>
      </c>
      <c r="F686" t="inlineStr">
        <is>
          <t>SIN PRODUCTO</t>
        </is>
      </c>
      <c r="G686" t="inlineStr">
        <is>
          <t>00</t>
        </is>
      </c>
      <c r="H686" t="inlineStr">
        <is>
          <t>00</t>
        </is>
      </c>
      <c r="I686" t="inlineStr">
        <is>
          <t>00</t>
        </is>
      </c>
      <c r="J686" t="inlineStr">
        <is>
          <t>SIN PRODUCTO DANE</t>
        </is>
      </c>
      <c r="K686" t="inlineStr">
        <is>
          <t>00</t>
        </is>
      </c>
      <c r="L686" t="inlineStr">
        <is>
          <t>SIN ATRIBUTO</t>
        </is>
      </c>
      <c r="N686" t="inlineStr">
        <is>
          <t>2.1.5</t>
        </is>
      </c>
      <c r="O686" t="inlineStr">
        <is>
          <t>Gastos de comercializacion y produccion</t>
        </is>
      </c>
      <c r="P686" t="inlineStr">
        <is>
          <t>00</t>
        </is>
      </c>
      <c r="Q686" t="inlineStr">
        <is>
          <t>RECURSOS</t>
        </is>
      </c>
      <c r="R686" t="n">
        <v>333088031</v>
      </c>
      <c r="S686" t="n">
        <v>5185550</v>
      </c>
      <c r="T686" t="n">
        <v>0</v>
      </c>
      <c r="U686" t="n">
        <v>15909800</v>
      </c>
      <c r="V686" t="n">
        <v>15209800</v>
      </c>
      <c r="W686" t="n">
        <v>0</v>
      </c>
      <c r="X686" t="n">
        <v>0</v>
      </c>
      <c r="Y686" t="n">
        <v>338973581</v>
      </c>
      <c r="Z686" t="n">
        <v>208575752.42</v>
      </c>
      <c r="AA686" t="n">
        <v>208574881.42</v>
      </c>
      <c r="AB686" t="n">
        <v>118654869.42</v>
      </c>
      <c r="AC686" t="n">
        <v>118654869.42</v>
      </c>
      <c r="AD686" t="n">
        <v>130397828.58</v>
      </c>
      <c r="AE686" t="n">
        <v>61.53</v>
      </c>
    </row>
    <row r="687">
      <c r="A687" t="inlineStr">
        <is>
          <t>6 - UNIDAD DE SERVICIOS PÚBLICOS</t>
        </is>
      </c>
      <c r="B687" t="inlineStr">
        <is>
          <t>00 - SIN SECTOR</t>
        </is>
      </c>
      <c r="C687" t="inlineStr">
        <is>
          <t>00</t>
        </is>
      </c>
      <c r="D687" t="inlineStr">
        <is>
          <t>0000</t>
        </is>
      </c>
      <c r="E687" t="inlineStr">
        <is>
          <t>000000</t>
        </is>
      </c>
      <c r="F687" t="inlineStr">
        <is>
          <t>SIN PRODUCTO</t>
        </is>
      </c>
      <c r="G687" t="inlineStr">
        <is>
          <t>00</t>
        </is>
      </c>
      <c r="H687" t="inlineStr">
        <is>
          <t>00</t>
        </is>
      </c>
      <c r="I687" t="inlineStr">
        <is>
          <t>00</t>
        </is>
      </c>
      <c r="J687" t="inlineStr">
        <is>
          <t>SIN PRODUCTO DANE</t>
        </is>
      </c>
      <c r="K687" t="inlineStr">
        <is>
          <t>00</t>
        </is>
      </c>
      <c r="L687" t="inlineStr">
        <is>
          <t>SIN ATRIBUTO</t>
        </is>
      </c>
      <c r="N687" t="inlineStr">
        <is>
          <t>2.1.5.01</t>
        </is>
      </c>
      <c r="O687" t="inlineStr">
        <is>
          <t>Materiales y suministros</t>
        </is>
      </c>
      <c r="P687" t="inlineStr">
        <is>
          <t>00</t>
        </is>
      </c>
      <c r="Q687" t="inlineStr">
        <is>
          <t>RECURSOS</t>
        </is>
      </c>
      <c r="R687" t="n">
        <v>92476484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92476484</v>
      </c>
      <c r="Z687" t="n">
        <v>39850000</v>
      </c>
      <c r="AA687" t="n">
        <v>39850000</v>
      </c>
      <c r="AB687" t="n">
        <v>9920193</v>
      </c>
      <c r="AC687" t="n">
        <v>9920193</v>
      </c>
      <c r="AD687" t="n">
        <v>52626484</v>
      </c>
      <c r="AE687" t="n">
        <v>43.09</v>
      </c>
    </row>
    <row r="688">
      <c r="A688" t="inlineStr">
        <is>
          <t>6 - UNIDAD DE SERVICIOS PÚBLICOS</t>
        </is>
      </c>
      <c r="B688" t="inlineStr">
        <is>
          <t>00 - SIN SECTOR</t>
        </is>
      </c>
      <c r="C688" t="inlineStr">
        <is>
          <t>00</t>
        </is>
      </c>
      <c r="D688" t="inlineStr">
        <is>
          <t>0000</t>
        </is>
      </c>
      <c r="E688" t="inlineStr">
        <is>
          <t>000000</t>
        </is>
      </c>
      <c r="F688" t="inlineStr">
        <is>
          <t>SIN PRODUCTO</t>
        </is>
      </c>
      <c r="G688" t="inlineStr">
        <is>
          <t>00</t>
        </is>
      </c>
      <c r="H688" t="inlineStr">
        <is>
          <t>00</t>
        </is>
      </c>
      <c r="I688" t="inlineStr">
        <is>
          <t>00</t>
        </is>
      </c>
      <c r="J688" t="inlineStr">
        <is>
          <t>SIN PRODUCTO DANE</t>
        </is>
      </c>
      <c r="K688" t="inlineStr">
        <is>
          <t>00</t>
        </is>
      </c>
      <c r="L688" t="inlineStr">
        <is>
          <t>SIN ATRIBUTO</t>
        </is>
      </c>
      <c r="N688" t="inlineStr">
        <is>
          <t>2.1.5.01.03</t>
        </is>
      </c>
      <c r="O688" t="inlineStr">
        <is>
          <t>Otros bienes transportables excepto productos metalicos, maquinaria y equipo</t>
        </is>
      </c>
      <c r="P688" t="inlineStr">
        <is>
          <t>00</t>
        </is>
      </c>
      <c r="Q688" t="inlineStr">
        <is>
          <t>RECURSOS</t>
        </is>
      </c>
      <c r="R688" t="n">
        <v>92476484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92476484</v>
      </c>
      <c r="Z688" t="n">
        <v>39850000</v>
      </c>
      <c r="AA688" t="n">
        <v>39850000</v>
      </c>
      <c r="AB688" t="n">
        <v>9920193</v>
      </c>
      <c r="AC688" t="n">
        <v>9920193</v>
      </c>
      <c r="AD688" t="n">
        <v>52626484</v>
      </c>
      <c r="AE688" t="n">
        <v>43.09</v>
      </c>
    </row>
    <row r="689">
      <c r="A689" t="inlineStr">
        <is>
          <t>6 - UNIDAD DE SERVICIOS PÚBLICOS</t>
        </is>
      </c>
      <c r="B689" t="inlineStr">
        <is>
          <t>00 - SIN SECTOR</t>
        </is>
      </c>
      <c r="C689" t="inlineStr">
        <is>
          <t>00</t>
        </is>
      </c>
      <c r="D689" t="inlineStr">
        <is>
          <t>0000</t>
        </is>
      </c>
      <c r="E689" t="inlineStr">
        <is>
          <t>000000</t>
        </is>
      </c>
      <c r="F689" t="inlineStr">
        <is>
          <t>SIN PRODUCTO</t>
        </is>
      </c>
      <c r="G689" t="inlineStr">
        <is>
          <t>00</t>
        </is>
      </c>
      <c r="H689" t="inlineStr">
        <is>
          <t>00</t>
        </is>
      </c>
      <c r="I689" t="inlineStr">
        <is>
          <t>00</t>
        </is>
      </c>
      <c r="J689" t="inlineStr">
        <is>
          <t>SIN PRODUCTO DANE</t>
        </is>
      </c>
      <c r="K689" t="inlineStr">
        <is>
          <t>00</t>
        </is>
      </c>
      <c r="L689" t="inlineStr">
        <is>
          <t>SIN ATRIBUTO</t>
        </is>
      </c>
      <c r="N689" t="inlineStr">
        <is>
          <t>2.1.5.01.03.01</t>
        </is>
      </c>
      <c r="O689" t="inlineStr">
        <is>
          <t>Materiales y suministros Aseo</t>
        </is>
      </c>
      <c r="P689" t="inlineStr">
        <is>
          <t>104</t>
        </is>
      </c>
      <c r="Q689" t="inlineStr">
        <is>
          <t>RECURSOS PROPIOS AAA</t>
        </is>
      </c>
      <c r="R689" t="n">
        <v>1033747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1033747</v>
      </c>
      <c r="Z689" t="n">
        <v>0</v>
      </c>
      <c r="AA689" t="n">
        <v>0</v>
      </c>
      <c r="AB689" t="n">
        <v>0</v>
      </c>
      <c r="AC689" t="n">
        <v>0</v>
      </c>
      <c r="AD689" t="n">
        <v>1033747</v>
      </c>
      <c r="AE689" t="n">
        <v>0</v>
      </c>
    </row>
    <row r="690">
      <c r="A690" t="inlineStr">
        <is>
          <t>6 - UNIDAD DE SERVICIOS PÚBLICOS</t>
        </is>
      </c>
      <c r="B690" t="inlineStr">
        <is>
          <t>00 - SIN SECTOR</t>
        </is>
      </c>
      <c r="C690" t="inlineStr">
        <is>
          <t>00</t>
        </is>
      </c>
      <c r="D690" t="inlineStr">
        <is>
          <t>0000</t>
        </is>
      </c>
      <c r="E690" t="inlineStr">
        <is>
          <t>000000</t>
        </is>
      </c>
      <c r="F690" t="inlineStr">
        <is>
          <t>SIN PRODUCTO</t>
        </is>
      </c>
      <c r="G690" t="inlineStr">
        <is>
          <t>00</t>
        </is>
      </c>
      <c r="H690" t="inlineStr">
        <is>
          <t>00</t>
        </is>
      </c>
      <c r="I690" t="inlineStr">
        <is>
          <t>00</t>
        </is>
      </c>
      <c r="J690" t="inlineStr">
        <is>
          <t>SIN PRODUCTO DANE</t>
        </is>
      </c>
      <c r="K690" t="inlineStr">
        <is>
          <t>00</t>
        </is>
      </c>
      <c r="L690" t="inlineStr">
        <is>
          <t>SIN ATRIBUTO</t>
        </is>
      </c>
      <c r="N690" t="inlineStr">
        <is>
          <t>2.1.5.01.03.02</t>
        </is>
      </c>
      <c r="O690" t="inlineStr">
        <is>
          <t>Materiales y suministros Acueducto</t>
        </is>
      </c>
      <c r="P690" t="inlineStr">
        <is>
          <t>104</t>
        </is>
      </c>
      <c r="Q690" t="inlineStr">
        <is>
          <t>RECURSOS PROPIOS AAA</t>
        </is>
      </c>
      <c r="R690" t="n">
        <v>49566253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49566253</v>
      </c>
      <c r="Z690" t="n">
        <v>0</v>
      </c>
      <c r="AA690" t="n">
        <v>0</v>
      </c>
      <c r="AB690" t="n">
        <v>0</v>
      </c>
      <c r="AC690" t="n">
        <v>0</v>
      </c>
      <c r="AD690" t="n">
        <v>49566253</v>
      </c>
      <c r="AE690" t="n">
        <v>0</v>
      </c>
    </row>
    <row r="691">
      <c r="A691" t="inlineStr">
        <is>
          <t>6 - UNIDAD DE SERVICIOS PÚBLICOS</t>
        </is>
      </c>
      <c r="B691" t="inlineStr">
        <is>
          <t>00 - SIN SECTOR</t>
        </is>
      </c>
      <c r="C691" t="inlineStr">
        <is>
          <t>00</t>
        </is>
      </c>
      <c r="D691" t="inlineStr">
        <is>
          <t>0000</t>
        </is>
      </c>
      <c r="E691" t="inlineStr">
        <is>
          <t>000000</t>
        </is>
      </c>
      <c r="F691" t="inlineStr">
        <is>
          <t>SIN PRODUCTO</t>
        </is>
      </c>
      <c r="G691" t="inlineStr">
        <is>
          <t>00</t>
        </is>
      </c>
      <c r="H691" t="inlineStr">
        <is>
          <t>00</t>
        </is>
      </c>
      <c r="I691" t="inlineStr">
        <is>
          <t>00</t>
        </is>
      </c>
      <c r="J691" t="inlineStr">
        <is>
          <t>SIN PRODUCTO DANE</t>
        </is>
      </c>
      <c r="K691" t="inlineStr">
        <is>
          <t>00</t>
        </is>
      </c>
      <c r="L691" t="inlineStr">
        <is>
          <t>SIN ATRIBUTO</t>
        </is>
      </c>
      <c r="N691" t="inlineStr">
        <is>
          <t>2.1.5.01.03.03</t>
        </is>
      </c>
      <c r="O691" t="inlineStr">
        <is>
          <t>Materiales y suministros Alcantarillado</t>
        </is>
      </c>
      <c r="P691" t="inlineStr">
        <is>
          <t>104</t>
        </is>
      </c>
      <c r="Q691" t="inlineStr">
        <is>
          <t>RECURSOS PROPIOS AAA</t>
        </is>
      </c>
      <c r="R691" t="n">
        <v>1000000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1000000</v>
      </c>
      <c r="Z691" t="n">
        <v>0</v>
      </c>
      <c r="AA691" t="n">
        <v>0</v>
      </c>
      <c r="AB691" t="n">
        <v>0</v>
      </c>
      <c r="AC691" t="n">
        <v>0</v>
      </c>
      <c r="AD691" t="n">
        <v>1000000</v>
      </c>
      <c r="AE691" t="n">
        <v>0</v>
      </c>
    </row>
    <row r="692">
      <c r="A692" t="inlineStr">
        <is>
          <t>6 - UNIDAD DE SERVICIOS PÚBLICOS</t>
        </is>
      </c>
      <c r="B692" t="inlineStr">
        <is>
          <t>00 - SIN SECTOR</t>
        </is>
      </c>
      <c r="C692" t="inlineStr">
        <is>
          <t>00</t>
        </is>
      </c>
      <c r="D692" t="inlineStr">
        <is>
          <t>0000</t>
        </is>
      </c>
      <c r="E692" t="inlineStr">
        <is>
          <t>000000</t>
        </is>
      </c>
      <c r="F692" t="inlineStr">
        <is>
          <t>SIN PRODUCTO</t>
        </is>
      </c>
      <c r="G692" t="inlineStr">
        <is>
          <t>00</t>
        </is>
      </c>
      <c r="H692" t="inlineStr">
        <is>
          <t>00</t>
        </is>
      </c>
      <c r="I692" t="inlineStr">
        <is>
          <t>00</t>
        </is>
      </c>
      <c r="J692" t="inlineStr">
        <is>
          <t>SIN PRODUCTO DANE</t>
        </is>
      </c>
      <c r="K692" t="inlineStr">
        <is>
          <t>00</t>
        </is>
      </c>
      <c r="L692" t="inlineStr">
        <is>
          <t>SIN ATRIBUTO</t>
        </is>
      </c>
      <c r="N692" t="inlineStr">
        <is>
          <t>2.1.5.01.03.04</t>
        </is>
      </c>
      <c r="O692" t="inlineStr">
        <is>
          <t>Combustibles y lubracantes Aseo</t>
        </is>
      </c>
      <c r="P692" t="inlineStr">
        <is>
          <t>104</t>
        </is>
      </c>
      <c r="Q692" t="inlineStr">
        <is>
          <t>RECURSOS PROPIOS AAA</t>
        </is>
      </c>
      <c r="R692" t="n">
        <v>16500000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16500000</v>
      </c>
      <c r="Z692" t="n">
        <v>16500000</v>
      </c>
      <c r="AA692" t="n">
        <v>16500000</v>
      </c>
      <c r="AB692" t="n">
        <v>9920193</v>
      </c>
      <c r="AC692" t="n">
        <v>9920193</v>
      </c>
      <c r="AD692" t="n">
        <v>0</v>
      </c>
      <c r="AE692" t="n">
        <v>100</v>
      </c>
    </row>
    <row r="693">
      <c r="A693" t="inlineStr">
        <is>
          <t>6 - UNIDAD DE SERVICIOS PÚBLICOS</t>
        </is>
      </c>
      <c r="B693" t="inlineStr">
        <is>
          <t>00 - SIN SECTOR</t>
        </is>
      </c>
      <c r="C693" t="inlineStr">
        <is>
          <t>00</t>
        </is>
      </c>
      <c r="D693" t="inlineStr">
        <is>
          <t>0000</t>
        </is>
      </c>
      <c r="E693" t="inlineStr">
        <is>
          <t>000000</t>
        </is>
      </c>
      <c r="F693" t="inlineStr">
        <is>
          <t>SIN PRODUCTO</t>
        </is>
      </c>
      <c r="G693" t="inlineStr">
        <is>
          <t>00</t>
        </is>
      </c>
      <c r="H693" t="inlineStr">
        <is>
          <t>00</t>
        </is>
      </c>
      <c r="I693" t="inlineStr">
        <is>
          <t>00</t>
        </is>
      </c>
      <c r="J693" t="inlineStr">
        <is>
          <t>SIN PRODUCTO DANE</t>
        </is>
      </c>
      <c r="K693" t="inlineStr">
        <is>
          <t>00</t>
        </is>
      </c>
      <c r="L693" t="inlineStr">
        <is>
          <t>SIN ATRIBUTO</t>
        </is>
      </c>
      <c r="N693" t="inlineStr">
        <is>
          <t>2.1.5.01.03.05</t>
        </is>
      </c>
      <c r="O693" t="inlineStr">
        <is>
          <t>Combustibles y lubracantes Acueducto</t>
        </is>
      </c>
      <c r="P693" t="inlineStr">
        <is>
          <t>104</t>
        </is>
      </c>
      <c r="Q693" t="inlineStr">
        <is>
          <t>RECURSOS PROPIOS AAA</t>
        </is>
      </c>
      <c r="R693" t="n">
        <v>24376484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24376484</v>
      </c>
      <c r="Z693" t="n">
        <v>23350000</v>
      </c>
      <c r="AA693" t="n">
        <v>23350000</v>
      </c>
      <c r="AB693" t="n">
        <v>0</v>
      </c>
      <c r="AC693" t="n">
        <v>0</v>
      </c>
      <c r="AD693" t="n">
        <v>1026484</v>
      </c>
      <c r="AE693" t="n">
        <v>95.79000000000001</v>
      </c>
    </row>
    <row r="694">
      <c r="A694" t="inlineStr">
        <is>
          <t>6 - UNIDAD DE SERVICIOS PÚBLICOS</t>
        </is>
      </c>
      <c r="B694" t="inlineStr">
        <is>
          <t>00 - SIN SECTOR</t>
        </is>
      </c>
      <c r="C694" t="inlineStr">
        <is>
          <t>00</t>
        </is>
      </c>
      <c r="D694" t="inlineStr">
        <is>
          <t>0000</t>
        </is>
      </c>
      <c r="E694" t="inlineStr">
        <is>
          <t>000000</t>
        </is>
      </c>
      <c r="F694" t="inlineStr">
        <is>
          <t>SIN PRODUCTO</t>
        </is>
      </c>
      <c r="G694" t="inlineStr">
        <is>
          <t>00</t>
        </is>
      </c>
      <c r="H694" t="inlineStr">
        <is>
          <t>00</t>
        </is>
      </c>
      <c r="I694" t="inlineStr">
        <is>
          <t>00</t>
        </is>
      </c>
      <c r="J694" t="inlineStr">
        <is>
          <t>SIN PRODUCTO DANE</t>
        </is>
      </c>
      <c r="K694" t="inlineStr">
        <is>
          <t>00</t>
        </is>
      </c>
      <c r="L694" t="inlineStr">
        <is>
          <t>SIN ATRIBUTO</t>
        </is>
      </c>
      <c r="N694" t="inlineStr">
        <is>
          <t>2.1.5.02</t>
        </is>
      </c>
      <c r="O694" t="inlineStr">
        <is>
          <t>Adquisicion de servicios</t>
        </is>
      </c>
      <c r="P694" t="inlineStr">
        <is>
          <t>00</t>
        </is>
      </c>
      <c r="Q694" t="inlineStr">
        <is>
          <t>RECURSOS</t>
        </is>
      </c>
      <c r="R694" t="n">
        <v>240611547</v>
      </c>
      <c r="S694" t="n">
        <v>5185550</v>
      </c>
      <c r="T694" t="n">
        <v>0</v>
      </c>
      <c r="U694" t="n">
        <v>15909800</v>
      </c>
      <c r="V694" t="n">
        <v>15209800</v>
      </c>
      <c r="W694" t="n">
        <v>0</v>
      </c>
      <c r="X694" t="n">
        <v>0</v>
      </c>
      <c r="Y694" t="n">
        <v>246497097</v>
      </c>
      <c r="Z694" t="n">
        <v>168725752.42</v>
      </c>
      <c r="AA694" t="n">
        <v>168724881.42</v>
      </c>
      <c r="AB694" t="n">
        <v>108734676.42</v>
      </c>
      <c r="AC694" t="n">
        <v>108734676.42</v>
      </c>
      <c r="AD694" t="n">
        <v>77771344.58</v>
      </c>
      <c r="AE694" t="n">
        <v>68.45</v>
      </c>
    </row>
    <row r="695">
      <c r="A695" t="inlineStr">
        <is>
          <t>6 - UNIDAD DE SERVICIOS PÚBLICOS</t>
        </is>
      </c>
      <c r="B695" t="inlineStr">
        <is>
          <t>00 - SIN SECTOR</t>
        </is>
      </c>
      <c r="C695" t="inlineStr">
        <is>
          <t>00</t>
        </is>
      </c>
      <c r="D695" t="inlineStr">
        <is>
          <t>0000</t>
        </is>
      </c>
      <c r="E695" t="inlineStr">
        <is>
          <t>000000</t>
        </is>
      </c>
      <c r="F695" t="inlineStr">
        <is>
          <t>SIN PRODUCTO</t>
        </is>
      </c>
      <c r="G695" t="inlineStr">
        <is>
          <t>00</t>
        </is>
      </c>
      <c r="H695" t="inlineStr">
        <is>
          <t>00</t>
        </is>
      </c>
      <c r="I695" t="inlineStr">
        <is>
          <t>00</t>
        </is>
      </c>
      <c r="J695" t="inlineStr">
        <is>
          <t>SIN PRODUCTO DANE</t>
        </is>
      </c>
      <c r="K695" t="inlineStr">
        <is>
          <t>00</t>
        </is>
      </c>
      <c r="L695" t="inlineStr">
        <is>
          <t>SIN ATRIBUTO</t>
        </is>
      </c>
      <c r="N695" t="inlineStr">
        <is>
          <t>2.1.5.02.07</t>
        </is>
      </c>
      <c r="O695" t="inlineStr">
        <is>
          <t>Servicios financieros y serv conexos; serv inmobiliarios; y serv de arrendamiento y leasing</t>
        </is>
      </c>
      <c r="P695" t="inlineStr">
        <is>
          <t>00</t>
        </is>
      </c>
      <c r="Q695" t="inlineStr">
        <is>
          <t>RECURSOS</t>
        </is>
      </c>
      <c r="R695" t="n">
        <v>15100883</v>
      </c>
      <c r="S695" t="n">
        <v>0</v>
      </c>
      <c r="T695" t="n">
        <v>0</v>
      </c>
      <c r="U695" t="n">
        <v>5709800</v>
      </c>
      <c r="V695" t="n">
        <v>0</v>
      </c>
      <c r="W695" t="n">
        <v>0</v>
      </c>
      <c r="X695" t="n">
        <v>0</v>
      </c>
      <c r="Y695" t="n">
        <v>20810683</v>
      </c>
      <c r="Z695" t="n">
        <v>20809800</v>
      </c>
      <c r="AA695" t="n">
        <v>20809800</v>
      </c>
      <c r="AB695" t="n">
        <v>5675400</v>
      </c>
      <c r="AC695" t="n">
        <v>5675400</v>
      </c>
      <c r="AD695" t="n">
        <v>883</v>
      </c>
      <c r="AE695" t="n">
        <v>100</v>
      </c>
    </row>
    <row r="696">
      <c r="A696" t="inlineStr">
        <is>
          <t>6 - UNIDAD DE SERVICIOS PÚBLICOS</t>
        </is>
      </c>
      <c r="B696" t="inlineStr">
        <is>
          <t>00 - SIN SECTOR</t>
        </is>
      </c>
      <c r="C696" t="inlineStr">
        <is>
          <t>00</t>
        </is>
      </c>
      <c r="D696" t="inlineStr">
        <is>
          <t>0000</t>
        </is>
      </c>
      <c r="E696" t="inlineStr">
        <is>
          <t>000000</t>
        </is>
      </c>
      <c r="F696" t="inlineStr">
        <is>
          <t>SIN PRODUCTO</t>
        </is>
      </c>
      <c r="G696" t="inlineStr">
        <is>
          <t>00</t>
        </is>
      </c>
      <c r="H696" t="inlineStr">
        <is>
          <t>00</t>
        </is>
      </c>
      <c r="I696" t="inlineStr">
        <is>
          <t>72112</t>
        </is>
      </c>
      <c r="J696" t="inlineStr">
        <is>
          <t>Servicios de alquiler o arrendamiento con o sin opción de compra, relativos a bienes inmuebles no residenciales (diferentes a vivienda), propios o arrendados</t>
        </is>
      </c>
      <c r="K696" t="inlineStr">
        <is>
          <t>00</t>
        </is>
      </c>
      <c r="L696" t="inlineStr">
        <is>
          <t>SIN ATRIBUTO</t>
        </is>
      </c>
      <c r="N696" t="inlineStr">
        <is>
          <t>2.1.5.02.07.01</t>
        </is>
      </c>
      <c r="O696" t="inlineStr">
        <is>
          <t>Arrendamientos servicio de Aseo</t>
        </is>
      </c>
      <c r="P696" t="inlineStr">
        <is>
          <t>292.3</t>
        </is>
      </c>
      <c r="Q696" t="inlineStr">
        <is>
          <t>Transferencia AAA ASEO</t>
        </is>
      </c>
      <c r="R696" t="n">
        <v>15100883</v>
      </c>
      <c r="S696" t="n">
        <v>0</v>
      </c>
      <c r="T696" t="n">
        <v>0</v>
      </c>
      <c r="U696" t="n">
        <v>5709800</v>
      </c>
      <c r="V696" t="n">
        <v>0</v>
      </c>
      <c r="W696" t="n">
        <v>0</v>
      </c>
      <c r="X696" t="n">
        <v>0</v>
      </c>
      <c r="Y696" t="n">
        <v>20810683</v>
      </c>
      <c r="Z696" t="n">
        <v>20809800</v>
      </c>
      <c r="AA696" t="n">
        <v>20809800</v>
      </c>
      <c r="AB696" t="n">
        <v>5675400</v>
      </c>
      <c r="AC696" t="n">
        <v>5675400</v>
      </c>
      <c r="AD696" t="n">
        <v>883</v>
      </c>
      <c r="AE696" t="n">
        <v>100</v>
      </c>
    </row>
    <row r="697">
      <c r="A697" t="inlineStr">
        <is>
          <t>6 - UNIDAD DE SERVICIOS PÚBLICOS</t>
        </is>
      </c>
      <c r="B697" t="inlineStr">
        <is>
          <t>00 - SIN SECTOR</t>
        </is>
      </c>
      <c r="C697" t="inlineStr">
        <is>
          <t>00</t>
        </is>
      </c>
      <c r="D697" t="inlineStr">
        <is>
          <t>0000</t>
        </is>
      </c>
      <c r="E697" t="inlineStr">
        <is>
          <t>000000</t>
        </is>
      </c>
      <c r="F697" t="inlineStr">
        <is>
          <t>SIN PRODUCTO</t>
        </is>
      </c>
      <c r="G697" t="inlineStr">
        <is>
          <t>00</t>
        </is>
      </c>
      <c r="H697" t="inlineStr">
        <is>
          <t>00</t>
        </is>
      </c>
      <c r="I697" t="inlineStr">
        <is>
          <t>00</t>
        </is>
      </c>
      <c r="J697" t="inlineStr">
        <is>
          <t>SIN PRODUCTO DANE</t>
        </is>
      </c>
      <c r="K697" t="inlineStr">
        <is>
          <t>00</t>
        </is>
      </c>
      <c r="L697" t="inlineStr">
        <is>
          <t>SIN ATRIBUTO</t>
        </is>
      </c>
      <c r="N697" t="inlineStr">
        <is>
          <t>2.1.5.02.08</t>
        </is>
      </c>
      <c r="O697" t="inlineStr">
        <is>
          <t xml:space="preserve">Servicios prestados a las empresas y servicios de produccion </t>
        </is>
      </c>
      <c r="P697" t="inlineStr">
        <is>
          <t>00</t>
        </is>
      </c>
      <c r="Q697" t="inlineStr">
        <is>
          <t>RECURSOS</t>
        </is>
      </c>
      <c r="R697" t="n">
        <v>175944448</v>
      </c>
      <c r="S697" t="n">
        <v>5185550</v>
      </c>
      <c r="T697" t="n">
        <v>0</v>
      </c>
      <c r="U697" t="n">
        <v>10200000</v>
      </c>
      <c r="V697" t="n">
        <v>9500000</v>
      </c>
      <c r="W697" t="n">
        <v>0</v>
      </c>
      <c r="X697" t="n">
        <v>0</v>
      </c>
      <c r="Y697" t="n">
        <v>181829998</v>
      </c>
      <c r="Z697" t="n">
        <v>125184064</v>
      </c>
      <c r="AA697" t="n">
        <v>125183193</v>
      </c>
      <c r="AB697" t="n">
        <v>80327388</v>
      </c>
      <c r="AC697" t="n">
        <v>80327388</v>
      </c>
      <c r="AD697" t="n">
        <v>56645934</v>
      </c>
      <c r="AE697" t="n">
        <v>68.84999999999999</v>
      </c>
    </row>
    <row r="698">
      <c r="A698" t="inlineStr">
        <is>
          <t>6 - UNIDAD DE SERVICIOS PÚBLICOS</t>
        </is>
      </c>
      <c r="B698" t="inlineStr">
        <is>
          <t>00 - SIN SECTOR</t>
        </is>
      </c>
      <c r="C698" t="inlineStr">
        <is>
          <t>00</t>
        </is>
      </c>
      <c r="D698" t="inlineStr">
        <is>
          <t>0000</t>
        </is>
      </c>
      <c r="E698" t="inlineStr">
        <is>
          <t>000000</t>
        </is>
      </c>
      <c r="F698" t="inlineStr">
        <is>
          <t>SIN PRODUCTO</t>
        </is>
      </c>
      <c r="G698" t="inlineStr">
        <is>
          <t>00</t>
        </is>
      </c>
      <c r="H698" t="inlineStr">
        <is>
          <t>00</t>
        </is>
      </c>
      <c r="I698" t="inlineStr">
        <is>
          <t>83990</t>
        </is>
      </c>
      <c r="J698" t="inlineStr">
        <is>
          <t>Otros servicios profesionales, técnicos y empresariales n.c.p.</t>
        </is>
      </c>
      <c r="K698" t="inlineStr">
        <is>
          <t>00</t>
        </is>
      </c>
      <c r="L698" t="inlineStr">
        <is>
          <t>SIN ATRIBUTO</t>
        </is>
      </c>
      <c r="N698" t="inlineStr">
        <is>
          <t>2.1.5.02.08.01</t>
        </is>
      </c>
      <c r="O698" t="inlineStr">
        <is>
          <t>Remuneracion por servicios tecnicos Acueducto</t>
        </is>
      </c>
      <c r="P698" t="inlineStr">
        <is>
          <t>104</t>
        </is>
      </c>
      <c r="Q698" t="inlineStr">
        <is>
          <t>RECURSOS PROPIOS AAA</t>
        </is>
      </c>
      <c r="R698" t="n">
        <v>31209330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31209330</v>
      </c>
      <c r="Z698" t="n">
        <v>8691221</v>
      </c>
      <c r="AA698" t="n">
        <v>8691221</v>
      </c>
      <c r="AB698" t="n">
        <v>7906554.32</v>
      </c>
      <c r="AC698" t="n">
        <v>7906554.32</v>
      </c>
      <c r="AD698" t="n">
        <v>22518109</v>
      </c>
      <c r="AE698" t="n">
        <v>27.85</v>
      </c>
    </row>
    <row r="699">
      <c r="A699" t="inlineStr">
        <is>
          <t>6 - UNIDAD DE SERVICIOS PÚBLICOS</t>
        </is>
      </c>
      <c r="B699" t="inlineStr">
        <is>
          <t>00 - SIN SECTOR</t>
        </is>
      </c>
      <c r="C699" t="inlineStr">
        <is>
          <t>00</t>
        </is>
      </c>
      <c r="D699" t="inlineStr">
        <is>
          <t>0000</t>
        </is>
      </c>
      <c r="E699" t="inlineStr">
        <is>
          <t>000000</t>
        </is>
      </c>
      <c r="F699" t="inlineStr">
        <is>
          <t>SIN PRODUCTO</t>
        </is>
      </c>
      <c r="G699" t="inlineStr">
        <is>
          <t>00</t>
        </is>
      </c>
      <c r="H699" t="inlineStr">
        <is>
          <t>00</t>
        </is>
      </c>
      <c r="I699" t="inlineStr">
        <is>
          <t>83990</t>
        </is>
      </c>
      <c r="J699" t="inlineStr">
        <is>
          <t>Otros servicios profesionales, técnicos y empresariales n.c.p.</t>
        </is>
      </c>
      <c r="K699" t="inlineStr">
        <is>
          <t>00</t>
        </is>
      </c>
      <c r="L699" t="inlineStr">
        <is>
          <t>SIN ATRIBUTO</t>
        </is>
      </c>
      <c r="N699" t="inlineStr">
        <is>
          <t>2.1.5.02.08.02</t>
        </is>
      </c>
      <c r="O699" t="inlineStr">
        <is>
          <t>Remuneracion por servicios tecnicos Acueducto</t>
        </is>
      </c>
      <c r="P699" t="inlineStr">
        <is>
          <t>292.2</t>
        </is>
      </c>
      <c r="Q699" t="inlineStr">
        <is>
          <t>Transferencia AAA ALCANTARILLADO</t>
        </is>
      </c>
      <c r="R699" t="n">
        <v>32072848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32072848</v>
      </c>
      <c r="Z699" t="n">
        <v>16817776</v>
      </c>
      <c r="AA699" t="n">
        <v>16817776</v>
      </c>
      <c r="AB699" t="n">
        <v>13884441.97</v>
      </c>
      <c r="AC699" t="n">
        <v>13884441.97</v>
      </c>
      <c r="AD699" t="n">
        <v>15255072</v>
      </c>
      <c r="AE699" t="n">
        <v>52.44</v>
      </c>
    </row>
    <row r="700">
      <c r="A700" t="inlineStr">
        <is>
          <t>6 - UNIDAD DE SERVICIOS PÚBLICOS</t>
        </is>
      </c>
      <c r="B700" t="inlineStr">
        <is>
          <t>00 - SIN SECTOR</t>
        </is>
      </c>
      <c r="C700" t="inlineStr">
        <is>
          <t>00</t>
        </is>
      </c>
      <c r="D700" t="inlineStr">
        <is>
          <t>0000</t>
        </is>
      </c>
      <c r="E700" t="inlineStr">
        <is>
          <t>000000</t>
        </is>
      </c>
      <c r="F700" t="inlineStr">
        <is>
          <t>SIN PRODUCTO</t>
        </is>
      </c>
      <c r="G700" t="inlineStr">
        <is>
          <t>00</t>
        </is>
      </c>
      <c r="H700" t="inlineStr">
        <is>
          <t>00</t>
        </is>
      </c>
      <c r="I700" t="inlineStr">
        <is>
          <t>83990</t>
        </is>
      </c>
      <c r="J700" t="inlineStr">
        <is>
          <t>Otros servicios profesionales, técnicos y empresariales n.c.p.</t>
        </is>
      </c>
      <c r="K700" t="inlineStr">
        <is>
          <t>00</t>
        </is>
      </c>
      <c r="L700" t="inlineStr">
        <is>
          <t>SIN ATRIBUTO</t>
        </is>
      </c>
      <c r="N700" t="inlineStr">
        <is>
          <t>2.1.5.02.08.03</t>
        </is>
      </c>
      <c r="O700" t="inlineStr">
        <is>
          <t>Remuneracion por servicios tecnicos Acueducto</t>
        </is>
      </c>
      <c r="P700" t="inlineStr">
        <is>
          <t>292.1</t>
        </is>
      </c>
      <c r="Q700" t="inlineStr">
        <is>
          <t>Transferencia AAA ACUEDUCTO</t>
        </is>
      </c>
      <c r="R700" t="n">
        <v>20971500</v>
      </c>
      <c r="S700" t="n">
        <v>0</v>
      </c>
      <c r="T700" t="n">
        <v>0</v>
      </c>
      <c r="U700" t="n">
        <v>0</v>
      </c>
      <c r="V700" t="n">
        <v>9500000</v>
      </c>
      <c r="W700" t="n">
        <v>0</v>
      </c>
      <c r="X700" t="n">
        <v>0</v>
      </c>
      <c r="Y700" t="n">
        <v>11471500</v>
      </c>
      <c r="Z700" t="n">
        <v>8408888</v>
      </c>
      <c r="AA700" t="n">
        <v>8408888</v>
      </c>
      <c r="AB700" t="n">
        <v>5475554.33</v>
      </c>
      <c r="AC700" t="n">
        <v>5475554.33</v>
      </c>
      <c r="AD700" t="n">
        <v>3062612</v>
      </c>
      <c r="AE700" t="n">
        <v>73.3</v>
      </c>
    </row>
    <row r="701">
      <c r="A701" t="inlineStr">
        <is>
          <t>6 - UNIDAD DE SERVICIOS PÚBLICOS</t>
        </is>
      </c>
      <c r="B701" t="inlineStr">
        <is>
          <t>00 - SIN SECTOR</t>
        </is>
      </c>
      <c r="C701" t="inlineStr">
        <is>
          <t>00</t>
        </is>
      </c>
      <c r="D701" t="inlineStr">
        <is>
          <t>0000</t>
        </is>
      </c>
      <c r="E701" t="inlineStr">
        <is>
          <t>000000</t>
        </is>
      </c>
      <c r="F701" t="inlineStr">
        <is>
          <t>SIN PRODUCTO</t>
        </is>
      </c>
      <c r="G701" t="inlineStr">
        <is>
          <t>00</t>
        </is>
      </c>
      <c r="H701" t="inlineStr">
        <is>
          <t>00</t>
        </is>
      </c>
      <c r="I701" t="inlineStr">
        <is>
          <t>83990</t>
        </is>
      </c>
      <c r="J701" t="inlineStr">
        <is>
          <t>Otros servicios profesionales, técnicos y empresariales n.c.p.</t>
        </is>
      </c>
      <c r="K701" t="inlineStr">
        <is>
          <t>00</t>
        </is>
      </c>
      <c r="L701" t="inlineStr">
        <is>
          <t>SIN ATRIBUTO</t>
        </is>
      </c>
      <c r="N701" t="inlineStr">
        <is>
          <t>2.1.5.02.08.04</t>
        </is>
      </c>
      <c r="O701" t="inlineStr">
        <is>
          <t>Remuneracion por servicios tecnicos Aseo</t>
        </is>
      </c>
      <c r="P701" t="inlineStr">
        <is>
          <t>292.1</t>
        </is>
      </c>
      <c r="Q701" t="inlineStr">
        <is>
          <t>Transferencia AAA ACUEDUCTO</t>
        </is>
      </c>
      <c r="R701" t="n">
        <v>24420000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24420000</v>
      </c>
      <c r="Z701" t="n">
        <v>21193331</v>
      </c>
      <c r="AA701" t="n">
        <v>21193331</v>
      </c>
      <c r="AB701" t="n">
        <v>17159999</v>
      </c>
      <c r="AC701" t="n">
        <v>17159999</v>
      </c>
      <c r="AD701" t="n">
        <v>3226669</v>
      </c>
      <c r="AE701" t="n">
        <v>86.79000000000001</v>
      </c>
    </row>
    <row r="702">
      <c r="A702" t="inlineStr">
        <is>
          <t>6 - UNIDAD DE SERVICIOS PÚBLICOS</t>
        </is>
      </c>
      <c r="B702" t="inlineStr">
        <is>
          <t>00 - SIN SECTOR</t>
        </is>
      </c>
      <c r="C702" t="inlineStr">
        <is>
          <t>00</t>
        </is>
      </c>
      <c r="D702" t="inlineStr">
        <is>
          <t>0000</t>
        </is>
      </c>
      <c r="E702" t="inlineStr">
        <is>
          <t>000000</t>
        </is>
      </c>
      <c r="F702" t="inlineStr">
        <is>
          <t>SIN PRODUCTO</t>
        </is>
      </c>
      <c r="G702" t="inlineStr">
        <is>
          <t>00</t>
        </is>
      </c>
      <c r="H702" t="inlineStr">
        <is>
          <t>00</t>
        </is>
      </c>
      <c r="I702" t="inlineStr">
        <is>
          <t>83990</t>
        </is>
      </c>
      <c r="J702" t="inlineStr">
        <is>
          <t>Otros servicios profesionales, técnicos y empresariales n.c.p.</t>
        </is>
      </c>
      <c r="K702" t="inlineStr">
        <is>
          <t>00</t>
        </is>
      </c>
      <c r="L702" t="inlineStr">
        <is>
          <t>SIN ATRIBUTO</t>
        </is>
      </c>
      <c r="N702" t="inlineStr">
        <is>
          <t>2.1.5.02.08.05</t>
        </is>
      </c>
      <c r="O702" t="inlineStr">
        <is>
          <t>Remuneracion por servicios tecnicos Aseo</t>
        </is>
      </c>
      <c r="P702" t="inlineStr">
        <is>
          <t>104</t>
        </is>
      </c>
      <c r="Q702" t="inlineStr">
        <is>
          <t>RECURSOS PROPIOS AAA</t>
        </is>
      </c>
      <c r="R702" t="n">
        <v>13200000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13200000</v>
      </c>
      <c r="Z702" t="n">
        <v>12724554</v>
      </c>
      <c r="AA702" t="n">
        <v>12724554</v>
      </c>
      <c r="AB702" t="n">
        <v>9006555.66</v>
      </c>
      <c r="AC702" t="n">
        <v>9006555.66</v>
      </c>
      <c r="AD702" t="n">
        <v>475446</v>
      </c>
      <c r="AE702" t="n">
        <v>96.40000000000001</v>
      </c>
    </row>
    <row r="703">
      <c r="A703" t="inlineStr">
        <is>
          <t>6 - UNIDAD DE SERVICIOS PÚBLICOS</t>
        </is>
      </c>
      <c r="B703" t="inlineStr">
        <is>
          <t>00 - SIN SECTOR</t>
        </is>
      </c>
      <c r="C703" t="inlineStr">
        <is>
          <t>00</t>
        </is>
      </c>
      <c r="D703" t="inlineStr">
        <is>
          <t>0000</t>
        </is>
      </c>
      <c r="E703" t="inlineStr">
        <is>
          <t>000000</t>
        </is>
      </c>
      <c r="F703" t="inlineStr">
        <is>
          <t>SIN PRODUCTO</t>
        </is>
      </c>
      <c r="G703" t="inlineStr">
        <is>
          <t>00</t>
        </is>
      </c>
      <c r="H703" t="inlineStr">
        <is>
          <t>00</t>
        </is>
      </c>
      <c r="I703" t="inlineStr">
        <is>
          <t>8715699</t>
        </is>
      </c>
      <c r="J703" t="inlineStr">
        <is>
          <t>Servicio de mantenimiento y reparación de máquinas de uso general n.c.p.</t>
        </is>
      </c>
      <c r="K703" t="inlineStr">
        <is>
          <t>00</t>
        </is>
      </c>
      <c r="L703" t="inlineStr">
        <is>
          <t>SIN ATRIBUTO</t>
        </is>
      </c>
      <c r="N703" t="inlineStr">
        <is>
          <t>2.1.5.02.08.06</t>
        </is>
      </c>
      <c r="O703" t="inlineStr">
        <is>
          <t>Mantenimiento De Equipos, Maquinaria, Bienes y Otros Aseo</t>
        </is>
      </c>
      <c r="P703" t="inlineStr">
        <is>
          <t>292.1</t>
        </is>
      </c>
      <c r="Q703" t="inlineStr">
        <is>
          <t>Transferencia AAA ACUEDUCTO</t>
        </is>
      </c>
      <c r="R703" t="n">
        <v>7415997</v>
      </c>
      <c r="S703" t="n">
        <v>0</v>
      </c>
      <c r="T703" t="n">
        <v>0</v>
      </c>
      <c r="U703" t="n">
        <v>9500000</v>
      </c>
      <c r="V703" t="n">
        <v>0</v>
      </c>
      <c r="W703" t="n">
        <v>0</v>
      </c>
      <c r="X703" t="n">
        <v>0</v>
      </c>
      <c r="Y703" t="n">
        <v>16915997</v>
      </c>
      <c r="Z703" t="n">
        <v>16880000</v>
      </c>
      <c r="AA703" t="n">
        <v>16880000</v>
      </c>
      <c r="AB703" t="n">
        <v>0</v>
      </c>
      <c r="AC703" t="n">
        <v>0</v>
      </c>
      <c r="AD703" t="n">
        <v>35997</v>
      </c>
      <c r="AE703" t="n">
        <v>99.79000000000001</v>
      </c>
    </row>
    <row r="704">
      <c r="A704" t="inlineStr">
        <is>
          <t>6 - UNIDAD DE SERVICIOS PÚBLICOS</t>
        </is>
      </c>
      <c r="B704" t="inlineStr">
        <is>
          <t>00 - SIN SECTOR</t>
        </is>
      </c>
      <c r="C704" t="inlineStr">
        <is>
          <t>00</t>
        </is>
      </c>
      <c r="D704" t="inlineStr">
        <is>
          <t>0000</t>
        </is>
      </c>
      <c r="E704" t="inlineStr">
        <is>
          <t>000000</t>
        </is>
      </c>
      <c r="F704" t="inlineStr">
        <is>
          <t>SIN PRODUCTO</t>
        </is>
      </c>
      <c r="G704" t="inlineStr">
        <is>
          <t>00</t>
        </is>
      </c>
      <c r="H704" t="inlineStr">
        <is>
          <t>00</t>
        </is>
      </c>
      <c r="I704" t="inlineStr">
        <is>
          <t>8715699</t>
        </is>
      </c>
      <c r="J704" t="inlineStr">
        <is>
          <t>Servicio de mantenimiento y reparación de máquinas de uso general n.c.p.</t>
        </is>
      </c>
      <c r="K704" t="inlineStr">
        <is>
          <t>00</t>
        </is>
      </c>
      <c r="L704" t="inlineStr">
        <is>
          <t>SIN ATRIBUTO</t>
        </is>
      </c>
      <c r="N704" t="inlineStr">
        <is>
          <t>2.1.5.02.08.07</t>
        </is>
      </c>
      <c r="O704" t="inlineStr">
        <is>
          <t>Mantenimiento De Equipos, Maquinaria, Bienes y Otros Acueducto</t>
        </is>
      </c>
      <c r="P704" t="inlineStr">
        <is>
          <t>292.1</t>
        </is>
      </c>
      <c r="Q704" t="inlineStr">
        <is>
          <t>Transferencia AAA ACUEDUCTO</t>
        </is>
      </c>
      <c r="R704" t="n">
        <v>1000000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1000000</v>
      </c>
      <c r="Z704" t="n">
        <v>0</v>
      </c>
      <c r="AA704" t="n">
        <v>0</v>
      </c>
      <c r="AB704" t="n">
        <v>0</v>
      </c>
      <c r="AC704" t="n">
        <v>0</v>
      </c>
      <c r="AD704" t="n">
        <v>1000000</v>
      </c>
      <c r="AE704" t="n">
        <v>0</v>
      </c>
    </row>
    <row r="705">
      <c r="A705" t="inlineStr">
        <is>
          <t>6 - UNIDAD DE SERVICIOS PÚBLICOS</t>
        </is>
      </c>
      <c r="B705" t="inlineStr">
        <is>
          <t>00 - SIN SECTOR</t>
        </is>
      </c>
      <c r="C705" t="inlineStr">
        <is>
          <t>00</t>
        </is>
      </c>
      <c r="D705" t="inlineStr">
        <is>
          <t>0000</t>
        </is>
      </c>
      <c r="E705" t="inlineStr">
        <is>
          <t>000000</t>
        </is>
      </c>
      <c r="F705" t="inlineStr">
        <is>
          <t>SIN PRODUCTO</t>
        </is>
      </c>
      <c r="G705" t="inlineStr">
        <is>
          <t>00</t>
        </is>
      </c>
      <c r="H705" t="inlineStr">
        <is>
          <t>00</t>
        </is>
      </c>
      <c r="I705" t="inlineStr">
        <is>
          <t>00</t>
        </is>
      </c>
      <c r="J705" t="inlineStr">
        <is>
          <t>SIN PRODUCTO DANE</t>
        </is>
      </c>
      <c r="K705" t="inlineStr">
        <is>
          <t>00</t>
        </is>
      </c>
      <c r="L705" t="inlineStr">
        <is>
          <t>SIN ATRIBUTO</t>
        </is>
      </c>
      <c r="N705" t="inlineStr">
        <is>
          <t>2.1.5.02.08.08</t>
        </is>
      </c>
      <c r="O705" t="inlineStr">
        <is>
          <t>Análisis de laboratorio y toma de muestras Acueducto</t>
        </is>
      </c>
      <c r="P705" t="inlineStr">
        <is>
          <t>104</t>
        </is>
      </c>
      <c r="Q705" t="inlineStr">
        <is>
          <t>RECURSOS PROPIOS AAA</t>
        </is>
      </c>
      <c r="R705" t="n">
        <v>5995777</v>
      </c>
      <c r="S705" t="n">
        <v>0</v>
      </c>
      <c r="T705" t="n">
        <v>0</v>
      </c>
      <c r="U705" t="n">
        <v>700000</v>
      </c>
      <c r="V705" t="n">
        <v>0</v>
      </c>
      <c r="W705" t="n">
        <v>0</v>
      </c>
      <c r="X705" t="n">
        <v>0</v>
      </c>
      <c r="Y705" t="n">
        <v>6695777</v>
      </c>
      <c r="Z705" t="n">
        <v>6550400</v>
      </c>
      <c r="AA705" t="n">
        <v>6549529</v>
      </c>
      <c r="AB705" t="n">
        <v>727725</v>
      </c>
      <c r="AC705" t="n">
        <v>727725</v>
      </c>
      <c r="AD705" t="n">
        <v>145377</v>
      </c>
      <c r="AE705" t="n">
        <v>97.83</v>
      </c>
    </row>
    <row r="706">
      <c r="A706" t="inlineStr">
        <is>
          <t>6 - UNIDAD DE SERVICIOS PÚBLICOS</t>
        </is>
      </c>
      <c r="B706" t="inlineStr">
        <is>
          <t>00 - SIN SECTOR</t>
        </is>
      </c>
      <c r="C706" t="inlineStr">
        <is>
          <t>00</t>
        </is>
      </c>
      <c r="D706" t="inlineStr">
        <is>
          <t>0000</t>
        </is>
      </c>
      <c r="E706" t="inlineStr">
        <is>
          <t>000000</t>
        </is>
      </c>
      <c r="F706" t="inlineStr">
        <is>
          <t>SIN PRODUCTO</t>
        </is>
      </c>
      <c r="G706" t="inlineStr">
        <is>
          <t>00</t>
        </is>
      </c>
      <c r="H706" t="inlineStr">
        <is>
          <t>00</t>
        </is>
      </c>
      <c r="I706" t="inlineStr">
        <is>
          <t>00</t>
        </is>
      </c>
      <c r="J706" t="inlineStr">
        <is>
          <t>SIN PRODUCTO DANE</t>
        </is>
      </c>
      <c r="K706" t="inlineStr">
        <is>
          <t>00</t>
        </is>
      </c>
      <c r="L706" t="inlineStr">
        <is>
          <t>SIN ATRIBUTO</t>
        </is>
      </c>
      <c r="N706" t="inlineStr">
        <is>
          <t>2.1.5.02.08.09</t>
        </is>
      </c>
      <c r="O706" t="inlineStr">
        <is>
          <t>Servicio de estratificación socioeconómica</t>
        </is>
      </c>
      <c r="P706" t="inlineStr">
        <is>
          <t>104</t>
        </is>
      </c>
      <c r="Q706" t="inlineStr">
        <is>
          <t>RECURSOS PROPIOS AAA</t>
        </is>
      </c>
      <c r="R706" t="n">
        <v>1000000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1000000</v>
      </c>
      <c r="Z706" t="n">
        <v>0</v>
      </c>
      <c r="AA706" t="n">
        <v>0</v>
      </c>
      <c r="AB706" t="n">
        <v>0</v>
      </c>
      <c r="AC706" t="n">
        <v>0</v>
      </c>
      <c r="AD706" t="n">
        <v>1000000</v>
      </c>
      <c r="AE706" t="n">
        <v>0</v>
      </c>
    </row>
    <row r="707">
      <c r="A707" t="inlineStr">
        <is>
          <t>6 - UNIDAD DE SERVICIOS PÚBLICOS</t>
        </is>
      </c>
      <c r="B707" t="inlineStr">
        <is>
          <t>00 - SIN SECTOR</t>
        </is>
      </c>
      <c r="C707" t="inlineStr">
        <is>
          <t>00</t>
        </is>
      </c>
      <c r="D707" t="inlineStr">
        <is>
          <t>0000</t>
        </is>
      </c>
      <c r="E707" t="inlineStr">
        <is>
          <t>000000</t>
        </is>
      </c>
      <c r="F707" t="inlineStr">
        <is>
          <t>SIN PRODUCTO</t>
        </is>
      </c>
      <c r="G707" t="inlineStr">
        <is>
          <t>00</t>
        </is>
      </c>
      <c r="H707" t="inlineStr">
        <is>
          <t>00</t>
        </is>
      </c>
      <c r="I707" t="inlineStr">
        <is>
          <t>00</t>
        </is>
      </c>
      <c r="J707" t="inlineStr">
        <is>
          <t>SIN PRODUCTO DANE</t>
        </is>
      </c>
      <c r="K707" t="inlineStr">
        <is>
          <t>00</t>
        </is>
      </c>
      <c r="L707" t="inlineStr">
        <is>
          <t>SIN ATRIBUTO</t>
        </is>
      </c>
      <c r="N707" t="inlineStr">
        <is>
          <t>2.1.5.02.08.10</t>
        </is>
      </c>
      <c r="O707" t="inlineStr">
        <is>
          <t>Remuneracion por sevicios tecnicos Alcantarillado</t>
        </is>
      </c>
      <c r="P707" t="inlineStr">
        <is>
          <t>292.1</t>
        </is>
      </c>
      <c r="Q707" t="inlineStr">
        <is>
          <t>Transferencia AAA ACUEDUCTO</t>
        </is>
      </c>
      <c r="R707" t="n">
        <v>27438996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27438996</v>
      </c>
      <c r="Z707" t="n">
        <v>25509004</v>
      </c>
      <c r="AA707" t="n">
        <v>25509004</v>
      </c>
      <c r="AB707" t="n">
        <v>20691002.38</v>
      </c>
      <c r="AC707" t="n">
        <v>20691002.38</v>
      </c>
      <c r="AD707" t="n">
        <v>1929992</v>
      </c>
      <c r="AE707" t="n">
        <v>92.97</v>
      </c>
    </row>
    <row r="708">
      <c r="A708" t="inlineStr">
        <is>
          <t>6 - UNIDAD DE SERVICIOS PÚBLICOS</t>
        </is>
      </c>
      <c r="B708" t="inlineStr">
        <is>
          <t>00 - SIN SECTOR</t>
        </is>
      </c>
      <c r="C708" t="inlineStr">
        <is>
          <t>00</t>
        </is>
      </c>
      <c r="D708" t="inlineStr">
        <is>
          <t>0000</t>
        </is>
      </c>
      <c r="E708" t="inlineStr">
        <is>
          <t>000000</t>
        </is>
      </c>
      <c r="F708" t="inlineStr">
        <is>
          <t>SIN PRODUCTO</t>
        </is>
      </c>
      <c r="G708" t="inlineStr">
        <is>
          <t>00</t>
        </is>
      </c>
      <c r="H708" t="inlineStr">
        <is>
          <t>00</t>
        </is>
      </c>
      <c r="I708" t="inlineStr">
        <is>
          <t>00</t>
        </is>
      </c>
      <c r="J708" t="inlineStr">
        <is>
          <t>SIN PRODUCTO DANE</t>
        </is>
      </c>
      <c r="K708" t="inlineStr">
        <is>
          <t>00</t>
        </is>
      </c>
      <c r="L708" t="inlineStr">
        <is>
          <t>SIN ATRIBUTO</t>
        </is>
      </c>
      <c r="N708" t="inlineStr">
        <is>
          <t>2.1.5.02.08.11</t>
        </is>
      </c>
      <c r="O708" t="inlineStr">
        <is>
          <t>Remuneracion por sevicios tecnicos Alcantarillado</t>
        </is>
      </c>
      <c r="P708" t="inlineStr">
        <is>
          <t>104</t>
        </is>
      </c>
      <c r="Q708" t="inlineStr">
        <is>
          <t>RECURSOS PROPIOS AAA</t>
        </is>
      </c>
      <c r="R708" t="n">
        <v>11220000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11220000</v>
      </c>
      <c r="Z708" t="n">
        <v>8408890</v>
      </c>
      <c r="AA708" t="n">
        <v>8408890</v>
      </c>
      <c r="AB708" t="n">
        <v>5475555.34</v>
      </c>
      <c r="AC708" t="n">
        <v>5475555.34</v>
      </c>
      <c r="AD708" t="n">
        <v>2811110</v>
      </c>
      <c r="AE708" t="n">
        <v>74.95</v>
      </c>
    </row>
    <row r="709">
      <c r="A709" t="inlineStr">
        <is>
          <t>6 - UNIDAD DE SERVICIOS PÚBLICOS</t>
        </is>
      </c>
      <c r="B709" t="inlineStr">
        <is>
          <t>00 - SIN SECTOR</t>
        </is>
      </c>
      <c r="C709" t="inlineStr">
        <is>
          <t>00</t>
        </is>
      </c>
      <c r="D709" t="inlineStr">
        <is>
          <t>0000</t>
        </is>
      </c>
      <c r="E709" t="inlineStr">
        <is>
          <t>000000</t>
        </is>
      </c>
      <c r="F709" t="inlineStr">
        <is>
          <t>SIN PRODUCTO</t>
        </is>
      </c>
      <c r="G709" t="inlineStr">
        <is>
          <t>00</t>
        </is>
      </c>
      <c r="H709" t="inlineStr">
        <is>
          <t>00</t>
        </is>
      </c>
      <c r="I709" t="inlineStr">
        <is>
          <t>00</t>
        </is>
      </c>
      <c r="J709" t="inlineStr">
        <is>
          <t>SIN PRODUCTO DANE</t>
        </is>
      </c>
      <c r="K709" t="inlineStr">
        <is>
          <t>00</t>
        </is>
      </c>
      <c r="L709" t="inlineStr">
        <is>
          <t>SIN ATRIBUTO</t>
        </is>
      </c>
      <c r="N709" t="inlineStr">
        <is>
          <t>2.1.5.02.08.12</t>
        </is>
      </c>
      <c r="O709" t="inlineStr">
        <is>
          <t>Remuneracion por sevicios tecnicos ACUEDUCTO</t>
        </is>
      </c>
      <c r="P709" t="inlineStr">
        <is>
          <t>292.1.1</t>
        </is>
      </c>
      <c r="Q709" t="inlineStr">
        <is>
          <t>TRANSFERENCIA AAA ACUEDUCTO RB</t>
        </is>
      </c>
      <c r="R709" t="n">
        <v>0</v>
      </c>
      <c r="S709" t="n">
        <v>1728517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1728517</v>
      </c>
      <c r="Z709" t="n">
        <v>0</v>
      </c>
      <c r="AA709" t="n">
        <v>0</v>
      </c>
      <c r="AB709" t="n">
        <v>0</v>
      </c>
      <c r="AC709" t="n">
        <v>0</v>
      </c>
      <c r="AD709" t="n">
        <v>1728517</v>
      </c>
      <c r="AE709" t="n">
        <v>0</v>
      </c>
    </row>
    <row r="710">
      <c r="A710" t="inlineStr">
        <is>
          <t>6 - UNIDAD DE SERVICIOS PÚBLICOS</t>
        </is>
      </c>
      <c r="B710" t="inlineStr">
        <is>
          <t>00 - SIN SECTOR</t>
        </is>
      </c>
      <c r="C710" t="inlineStr">
        <is>
          <t>00</t>
        </is>
      </c>
      <c r="D710" t="inlineStr">
        <is>
          <t>0000</t>
        </is>
      </c>
      <c r="E710" t="inlineStr">
        <is>
          <t>000000</t>
        </is>
      </c>
      <c r="F710" t="inlineStr">
        <is>
          <t>SIN PRODUCTO</t>
        </is>
      </c>
      <c r="G710" t="inlineStr">
        <is>
          <t>00</t>
        </is>
      </c>
      <c r="H710" t="inlineStr">
        <is>
          <t>00</t>
        </is>
      </c>
      <c r="I710" t="inlineStr">
        <is>
          <t>00</t>
        </is>
      </c>
      <c r="J710" t="inlineStr">
        <is>
          <t>SIN PRODUCTO DANE</t>
        </is>
      </c>
      <c r="K710" t="inlineStr">
        <is>
          <t>00</t>
        </is>
      </c>
      <c r="L710" t="inlineStr">
        <is>
          <t>SIN ATRIBUTO</t>
        </is>
      </c>
      <c r="N710" t="inlineStr">
        <is>
          <t>2.1.5.02.08.13</t>
        </is>
      </c>
      <c r="O710" t="inlineStr">
        <is>
          <t>Remuneracion por servicios tecnicos Aseo</t>
        </is>
      </c>
      <c r="P710" t="inlineStr">
        <is>
          <t>292.3.1</t>
        </is>
      </c>
      <c r="Q710" t="inlineStr">
        <is>
          <t>TRANSFERENCIA AAA ASEO RB</t>
        </is>
      </c>
      <c r="R710" t="n">
        <v>0</v>
      </c>
      <c r="S710" t="n">
        <v>1728516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1728516</v>
      </c>
      <c r="Z710" t="n">
        <v>0</v>
      </c>
      <c r="AA710" t="n">
        <v>0</v>
      </c>
      <c r="AB710" t="n">
        <v>0</v>
      </c>
      <c r="AC710" t="n">
        <v>0</v>
      </c>
      <c r="AD710" t="n">
        <v>1728516</v>
      </c>
      <c r="AE710" t="n">
        <v>0</v>
      </c>
    </row>
    <row r="711">
      <c r="A711" t="inlineStr">
        <is>
          <t>6 - UNIDAD DE SERVICIOS PÚBLICOS</t>
        </is>
      </c>
      <c r="B711" t="inlineStr">
        <is>
          <t>00 - SIN SECTOR</t>
        </is>
      </c>
      <c r="C711" t="inlineStr">
        <is>
          <t>00</t>
        </is>
      </c>
      <c r="D711" t="inlineStr">
        <is>
          <t>0000</t>
        </is>
      </c>
      <c r="E711" t="inlineStr">
        <is>
          <t>000000</t>
        </is>
      </c>
      <c r="F711" t="inlineStr">
        <is>
          <t>SIN PRODUCTO</t>
        </is>
      </c>
      <c r="G711" t="inlineStr">
        <is>
          <t>00</t>
        </is>
      </c>
      <c r="H711" t="inlineStr">
        <is>
          <t>00</t>
        </is>
      </c>
      <c r="I711" t="inlineStr">
        <is>
          <t>00</t>
        </is>
      </c>
      <c r="J711" t="inlineStr">
        <is>
          <t>SIN PRODUCTO DANE</t>
        </is>
      </c>
      <c r="K711" t="inlineStr">
        <is>
          <t>00</t>
        </is>
      </c>
      <c r="L711" t="inlineStr">
        <is>
          <t>SIN ATRIBUTO</t>
        </is>
      </c>
      <c r="N711" t="inlineStr">
        <is>
          <t>2.1.5.02.08.14</t>
        </is>
      </c>
      <c r="O711" t="inlineStr">
        <is>
          <t>Remuneracion por sevicios tecnicos Alcantarillado</t>
        </is>
      </c>
      <c r="P711" t="inlineStr">
        <is>
          <t>292.2.1</t>
        </is>
      </c>
      <c r="Q711" t="inlineStr">
        <is>
          <t>TRANSFERENCIA AAA ALCANTARILLADO RB</t>
        </is>
      </c>
      <c r="R711" t="n">
        <v>0</v>
      </c>
      <c r="S711" t="n">
        <v>1728517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1728517</v>
      </c>
      <c r="Z711" t="n">
        <v>0</v>
      </c>
      <c r="AA711" t="n">
        <v>0</v>
      </c>
      <c r="AB711" t="n">
        <v>0</v>
      </c>
      <c r="AC711" t="n">
        <v>0</v>
      </c>
      <c r="AD711" t="n">
        <v>1728517</v>
      </c>
      <c r="AE711" t="n">
        <v>0</v>
      </c>
    </row>
    <row r="712">
      <c r="A712" t="inlineStr">
        <is>
          <t>6 - UNIDAD DE SERVICIOS PÚBLICOS</t>
        </is>
      </c>
      <c r="B712" t="inlineStr">
        <is>
          <t>00 - SIN SECTOR</t>
        </is>
      </c>
      <c r="C712" t="inlineStr">
        <is>
          <t>00</t>
        </is>
      </c>
      <c r="D712" t="inlineStr">
        <is>
          <t>0000</t>
        </is>
      </c>
      <c r="E712" t="inlineStr">
        <is>
          <t>000000</t>
        </is>
      </c>
      <c r="F712" t="inlineStr">
        <is>
          <t>SIN PRODUCTO</t>
        </is>
      </c>
      <c r="G712" t="inlineStr">
        <is>
          <t>00</t>
        </is>
      </c>
      <c r="H712" t="inlineStr">
        <is>
          <t>00</t>
        </is>
      </c>
      <c r="I712" t="inlineStr">
        <is>
          <t>00</t>
        </is>
      </c>
      <c r="J712" t="inlineStr">
        <is>
          <t>SIN PRODUCTO DANE</t>
        </is>
      </c>
      <c r="K712" t="inlineStr">
        <is>
          <t>00</t>
        </is>
      </c>
      <c r="L712" t="inlineStr">
        <is>
          <t>SIN ATRIBUTO</t>
        </is>
      </c>
      <c r="N712" t="inlineStr">
        <is>
          <t>2.1.5.02.09</t>
        </is>
      </c>
      <c r="O712" t="inlineStr">
        <is>
          <t>Servicios para la comunidad, sociales y personales</t>
        </is>
      </c>
      <c r="P712" t="inlineStr">
        <is>
          <t>00</t>
        </is>
      </c>
      <c r="Q712" t="inlineStr">
        <is>
          <t>RECURSOS</t>
        </is>
      </c>
      <c r="R712" t="n">
        <v>49566216</v>
      </c>
      <c r="S712" t="n">
        <v>0</v>
      </c>
      <c r="T712" t="n">
        <v>0</v>
      </c>
      <c r="U712" t="n">
        <v>0</v>
      </c>
      <c r="V712" t="n">
        <v>5709800</v>
      </c>
      <c r="W712" t="n">
        <v>0</v>
      </c>
      <c r="X712" t="n">
        <v>0</v>
      </c>
      <c r="Y712" t="n">
        <v>43856416</v>
      </c>
      <c r="Z712" t="n">
        <v>22731888.42</v>
      </c>
      <c r="AA712" t="n">
        <v>22731888.42</v>
      </c>
      <c r="AB712" t="n">
        <v>22731888.42</v>
      </c>
      <c r="AC712" t="n">
        <v>22731888.42</v>
      </c>
      <c r="AD712" t="n">
        <v>21124527.58</v>
      </c>
      <c r="AE712" t="n">
        <v>51.83</v>
      </c>
    </row>
    <row r="713">
      <c r="A713" t="inlineStr">
        <is>
          <t>6 - UNIDAD DE SERVICIOS PÚBLICOS</t>
        </is>
      </c>
      <c r="B713" t="inlineStr">
        <is>
          <t>00 - SIN SECTOR</t>
        </is>
      </c>
      <c r="C713" t="inlineStr">
        <is>
          <t>00</t>
        </is>
      </c>
      <c r="D713" t="inlineStr">
        <is>
          <t>0000</t>
        </is>
      </c>
      <c r="E713" t="inlineStr">
        <is>
          <t>000000</t>
        </is>
      </c>
      <c r="F713" t="inlineStr">
        <is>
          <t>SIN PRODUCTO</t>
        </is>
      </c>
      <c r="G713" t="inlineStr">
        <is>
          <t>00</t>
        </is>
      </c>
      <c r="H713" t="inlineStr">
        <is>
          <t>00</t>
        </is>
      </c>
      <c r="I713" t="inlineStr">
        <is>
          <t>00</t>
        </is>
      </c>
      <c r="J713" t="inlineStr">
        <is>
          <t>SIN PRODUCTO DANE</t>
        </is>
      </c>
      <c r="K713" t="inlineStr">
        <is>
          <t>00</t>
        </is>
      </c>
      <c r="L713" t="inlineStr">
        <is>
          <t>SIN ATRIBUTO</t>
        </is>
      </c>
      <c r="N713" t="inlineStr">
        <is>
          <t>2.1.5.02.09.01</t>
        </is>
      </c>
      <c r="O713" t="inlineStr">
        <is>
          <t>Disposicion final Aseo</t>
        </is>
      </c>
      <c r="P713" t="inlineStr">
        <is>
          <t>292.3</t>
        </is>
      </c>
      <c r="Q713" t="inlineStr">
        <is>
          <t>Transferencia AAA ASEO</t>
        </is>
      </c>
      <c r="R713" t="n">
        <v>49566216</v>
      </c>
      <c r="S713" t="n">
        <v>0</v>
      </c>
      <c r="T713" t="n">
        <v>0</v>
      </c>
      <c r="U713" t="n">
        <v>0</v>
      </c>
      <c r="V713" t="n">
        <v>5709800</v>
      </c>
      <c r="W713" t="n">
        <v>0</v>
      </c>
      <c r="X713" t="n">
        <v>0</v>
      </c>
      <c r="Y713" t="n">
        <v>43856416</v>
      </c>
      <c r="Z713" t="n">
        <v>22731888.42</v>
      </c>
      <c r="AA713" t="n">
        <v>22731888.42</v>
      </c>
      <c r="AB713" t="n">
        <v>22731888.42</v>
      </c>
      <c r="AC713" t="n">
        <v>22731888.42</v>
      </c>
      <c r="AD713" t="n">
        <v>21124527.58</v>
      </c>
      <c r="AE713" t="n">
        <v>51.83</v>
      </c>
    </row>
    <row r="714">
      <c r="A714" t="inlineStr">
        <is>
          <t>6 - UNIDAD DE SERVICIOS PÚBLICOS</t>
        </is>
      </c>
      <c r="B714" t="inlineStr">
        <is>
          <t>00 - SIN SECTOR</t>
        </is>
      </c>
      <c r="C714" t="inlineStr">
        <is>
          <t>00</t>
        </is>
      </c>
      <c r="D714" t="inlineStr">
        <is>
          <t>0000</t>
        </is>
      </c>
      <c r="E714" t="inlineStr">
        <is>
          <t>000000</t>
        </is>
      </c>
      <c r="F714" t="inlineStr">
        <is>
          <t>SIN PRODUCTO</t>
        </is>
      </c>
      <c r="G714" t="inlineStr">
        <is>
          <t>00</t>
        </is>
      </c>
      <c r="H714" t="inlineStr">
        <is>
          <t>00</t>
        </is>
      </c>
      <c r="I714" t="inlineStr">
        <is>
          <t>00</t>
        </is>
      </c>
      <c r="J714" t="inlineStr">
        <is>
          <t>SIN PRODUCTO DANE</t>
        </is>
      </c>
      <c r="K714" t="inlineStr">
        <is>
          <t>00</t>
        </is>
      </c>
      <c r="L714" t="inlineStr">
        <is>
          <t>SIN ATRIBUTO</t>
        </is>
      </c>
      <c r="N714" t="inlineStr">
        <is>
          <t>2.1.8</t>
        </is>
      </c>
      <c r="O714" t="inlineStr">
        <is>
          <t>Gastos por tributos, tasas, contribuciones, multas, sanciones e intereses de mora</t>
        </is>
      </c>
      <c r="P714" t="inlineStr">
        <is>
          <t>00</t>
        </is>
      </c>
      <c r="Q714" t="inlineStr">
        <is>
          <t>RECURSOS</t>
        </is>
      </c>
      <c r="R714" t="n">
        <v>46502058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46502058</v>
      </c>
      <c r="Z714" t="n">
        <v>15493416</v>
      </c>
      <c r="AA714" t="n">
        <v>15493416</v>
      </c>
      <c r="AB714" t="n">
        <v>15493416</v>
      </c>
      <c r="AC714" t="n">
        <v>15493416</v>
      </c>
      <c r="AD714" t="n">
        <v>31008642</v>
      </c>
      <c r="AE714" t="n">
        <v>33.32</v>
      </c>
    </row>
    <row r="715">
      <c r="A715" t="inlineStr">
        <is>
          <t>6 - UNIDAD DE SERVICIOS PÚBLICOS</t>
        </is>
      </c>
      <c r="B715" t="inlineStr">
        <is>
          <t>00 - SIN SECTOR</t>
        </is>
      </c>
      <c r="C715" t="inlineStr">
        <is>
          <t>00</t>
        </is>
      </c>
      <c r="D715" t="inlineStr">
        <is>
          <t>0000</t>
        </is>
      </c>
      <c r="E715" t="inlineStr">
        <is>
          <t>000000</t>
        </is>
      </c>
      <c r="F715" t="inlineStr">
        <is>
          <t>SIN PRODUCTO</t>
        </is>
      </c>
      <c r="G715" t="inlineStr">
        <is>
          <t>00</t>
        </is>
      </c>
      <c r="H715" t="inlineStr">
        <is>
          <t>00</t>
        </is>
      </c>
      <c r="I715" t="inlineStr">
        <is>
          <t>00</t>
        </is>
      </c>
      <c r="J715" t="inlineStr">
        <is>
          <t>SIN PRODUCTO DANE</t>
        </is>
      </c>
      <c r="K715" t="inlineStr">
        <is>
          <t>00</t>
        </is>
      </c>
      <c r="L715" t="inlineStr">
        <is>
          <t>SIN ATRIBUTO</t>
        </is>
      </c>
      <c r="N715" t="inlineStr">
        <is>
          <t>2.1.8.03</t>
        </is>
      </c>
      <c r="O715" t="inlineStr">
        <is>
          <t>Tasas y derechos administrativos</t>
        </is>
      </c>
      <c r="P715" t="inlineStr">
        <is>
          <t>00</t>
        </is>
      </c>
      <c r="Q715" t="inlineStr">
        <is>
          <t>RECURSOS</t>
        </is>
      </c>
      <c r="R715" t="n">
        <v>42102058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42102058</v>
      </c>
      <c r="Z715" t="n">
        <v>15493416</v>
      </c>
      <c r="AA715" t="n">
        <v>15493416</v>
      </c>
      <c r="AB715" t="n">
        <v>15493416</v>
      </c>
      <c r="AC715" t="n">
        <v>15493416</v>
      </c>
      <c r="AD715" t="n">
        <v>26608642</v>
      </c>
      <c r="AE715" t="n">
        <v>36.8</v>
      </c>
    </row>
    <row r="716">
      <c r="A716" t="inlineStr">
        <is>
          <t>6 - UNIDAD DE SERVICIOS PÚBLICOS</t>
        </is>
      </c>
      <c r="B716" t="inlineStr">
        <is>
          <t>00 - SIN SECTOR</t>
        </is>
      </c>
      <c r="C716" t="inlineStr">
        <is>
          <t>00</t>
        </is>
      </c>
      <c r="D716" t="inlineStr">
        <is>
          <t>0000</t>
        </is>
      </c>
      <c r="E716" t="inlineStr">
        <is>
          <t>000000</t>
        </is>
      </c>
      <c r="F716" t="inlineStr">
        <is>
          <t>SIN PRODUCTO</t>
        </is>
      </c>
      <c r="G716" t="inlineStr">
        <is>
          <t>00</t>
        </is>
      </c>
      <c r="H716" t="inlineStr">
        <is>
          <t>00</t>
        </is>
      </c>
      <c r="I716" t="inlineStr">
        <is>
          <t>00</t>
        </is>
      </c>
      <c r="J716" t="inlineStr">
        <is>
          <t>SIN PRODUCTO DANE</t>
        </is>
      </c>
      <c r="K716" t="inlineStr">
        <is>
          <t>00</t>
        </is>
      </c>
      <c r="L716" t="inlineStr">
        <is>
          <t>SIN ATRIBUTO</t>
        </is>
      </c>
      <c r="N716" t="inlineStr">
        <is>
          <t>2.1.8.03.01</t>
        </is>
      </c>
      <c r="O716" t="inlineStr">
        <is>
          <t>Tasa Retributiva Alcantarillado</t>
        </is>
      </c>
      <c r="P716" t="inlineStr">
        <is>
          <t>292.2</t>
        </is>
      </c>
      <c r="Q716" t="inlineStr">
        <is>
          <t>Transferencia AAA ALCANTARILLADO</t>
        </is>
      </c>
      <c r="R716" t="n">
        <v>29831448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29831448</v>
      </c>
      <c r="Z716" t="n">
        <v>7959503</v>
      </c>
      <c r="AA716" t="n">
        <v>7959503</v>
      </c>
      <c r="AB716" t="n">
        <v>7959503</v>
      </c>
      <c r="AC716" t="n">
        <v>7959503</v>
      </c>
      <c r="AD716" t="n">
        <v>21871945</v>
      </c>
      <c r="AE716" t="n">
        <v>26.68</v>
      </c>
    </row>
    <row r="717">
      <c r="A717" t="inlineStr">
        <is>
          <t>6 - UNIDAD DE SERVICIOS PÚBLICOS</t>
        </is>
      </c>
      <c r="B717" t="inlineStr">
        <is>
          <t>00 - SIN SECTOR</t>
        </is>
      </c>
      <c r="C717" t="inlineStr">
        <is>
          <t>00</t>
        </is>
      </c>
      <c r="D717" t="inlineStr">
        <is>
          <t>0000</t>
        </is>
      </c>
      <c r="E717" t="inlineStr">
        <is>
          <t>000000</t>
        </is>
      </c>
      <c r="F717" t="inlineStr">
        <is>
          <t>SIN PRODUCTO</t>
        </is>
      </c>
      <c r="G717" t="inlineStr">
        <is>
          <t>00</t>
        </is>
      </c>
      <c r="H717" t="inlineStr">
        <is>
          <t>00</t>
        </is>
      </c>
      <c r="I717" t="inlineStr">
        <is>
          <t>00</t>
        </is>
      </c>
      <c r="J717" t="inlineStr">
        <is>
          <t>SIN PRODUCTO DANE</t>
        </is>
      </c>
      <c r="K717" t="inlineStr">
        <is>
          <t>00</t>
        </is>
      </c>
      <c r="L717" t="inlineStr">
        <is>
          <t>SIN ATRIBUTO</t>
        </is>
      </c>
      <c r="N717" t="inlineStr">
        <is>
          <t>2.1.8.03.02</t>
        </is>
      </c>
      <c r="O717" t="inlineStr">
        <is>
          <t>Tasa Retributiva Alcantarillado</t>
        </is>
      </c>
      <c r="P717" t="inlineStr">
        <is>
          <t>292.1</t>
        </is>
      </c>
      <c r="Q717" t="inlineStr">
        <is>
          <t>Transferencia AAA ACUEDUCTO</t>
        </is>
      </c>
      <c r="R717" t="n">
        <v>12028500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12028500</v>
      </c>
      <c r="Z717" t="n">
        <v>7533913</v>
      </c>
      <c r="AA717" t="n">
        <v>7533913</v>
      </c>
      <c r="AB717" t="n">
        <v>7533913</v>
      </c>
      <c r="AC717" t="n">
        <v>7533913</v>
      </c>
      <c r="AD717" t="n">
        <v>4494587</v>
      </c>
      <c r="AE717" t="n">
        <v>62.63</v>
      </c>
    </row>
    <row r="718">
      <c r="A718" t="inlineStr">
        <is>
          <t>6 - UNIDAD DE SERVICIOS PÚBLICOS</t>
        </is>
      </c>
      <c r="B718" t="inlineStr">
        <is>
          <t>00 - SIN SECTOR</t>
        </is>
      </c>
      <c r="C718" t="inlineStr">
        <is>
          <t>00</t>
        </is>
      </c>
      <c r="D718" t="inlineStr">
        <is>
          <t>0000</t>
        </is>
      </c>
      <c r="E718" t="inlineStr">
        <is>
          <t>000000</t>
        </is>
      </c>
      <c r="F718" t="inlineStr">
        <is>
          <t>SIN PRODUCTO</t>
        </is>
      </c>
      <c r="G718" t="inlineStr">
        <is>
          <t>00</t>
        </is>
      </c>
      <c r="H718" t="inlineStr">
        <is>
          <t>00</t>
        </is>
      </c>
      <c r="I718" t="inlineStr">
        <is>
          <t>00</t>
        </is>
      </c>
      <c r="J718" t="inlineStr">
        <is>
          <t>SIN PRODUCTO DANE</t>
        </is>
      </c>
      <c r="K718" t="inlineStr">
        <is>
          <t>00</t>
        </is>
      </c>
      <c r="L718" t="inlineStr">
        <is>
          <t>SIN ATRIBUTO</t>
        </is>
      </c>
      <c r="N718" t="inlineStr">
        <is>
          <t>2.1.8.03.03</t>
        </is>
      </c>
      <c r="O718" t="inlineStr">
        <is>
          <t>Seguimiento PSMV</t>
        </is>
      </c>
      <c r="P718" t="inlineStr">
        <is>
          <t>104</t>
        </is>
      </c>
      <c r="Q718" t="inlineStr">
        <is>
          <t>RECURSOS PROPIOS AAA</t>
        </is>
      </c>
      <c r="R718" t="n">
        <v>242110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242110</v>
      </c>
      <c r="Z718" t="n">
        <v>0</v>
      </c>
      <c r="AA718" t="n">
        <v>0</v>
      </c>
      <c r="AB718" t="n">
        <v>0</v>
      </c>
      <c r="AC718" t="n">
        <v>0</v>
      </c>
      <c r="AD718" t="n">
        <v>242110</v>
      </c>
      <c r="AE718" t="n">
        <v>0</v>
      </c>
    </row>
    <row r="719">
      <c r="A719" t="inlineStr">
        <is>
          <t>6 - UNIDAD DE SERVICIOS PÚBLICOS</t>
        </is>
      </c>
      <c r="B719" t="inlineStr">
        <is>
          <t>00 - SIN SECTOR</t>
        </is>
      </c>
      <c r="C719" t="inlineStr">
        <is>
          <t>00</t>
        </is>
      </c>
      <c r="D719" t="inlineStr">
        <is>
          <t>0000</t>
        </is>
      </c>
      <c r="E719" t="inlineStr">
        <is>
          <t>000000</t>
        </is>
      </c>
      <c r="F719" t="inlineStr">
        <is>
          <t>SIN PRODUCTO</t>
        </is>
      </c>
      <c r="G719" t="inlineStr">
        <is>
          <t>00</t>
        </is>
      </c>
      <c r="H719" t="inlineStr">
        <is>
          <t>00</t>
        </is>
      </c>
      <c r="I719" t="inlineStr">
        <is>
          <t>00</t>
        </is>
      </c>
      <c r="J719" t="inlineStr">
        <is>
          <t>SIN PRODUCTO DANE</t>
        </is>
      </c>
      <c r="K719" t="inlineStr">
        <is>
          <t>00</t>
        </is>
      </c>
      <c r="L719" t="inlineStr">
        <is>
          <t>SIN ATRIBUTO</t>
        </is>
      </c>
      <c r="N719" t="inlineStr">
        <is>
          <t>2.1.8.04</t>
        </is>
      </c>
      <c r="O719" t="inlineStr">
        <is>
          <t>Contribuciones</t>
        </is>
      </c>
      <c r="P719" t="inlineStr">
        <is>
          <t>00</t>
        </is>
      </c>
      <c r="Q719" t="inlineStr">
        <is>
          <t>RECURSOS</t>
        </is>
      </c>
      <c r="R719" t="n">
        <v>4400000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4400000</v>
      </c>
      <c r="Z719" t="n">
        <v>0</v>
      </c>
      <c r="AA719" t="n">
        <v>0</v>
      </c>
      <c r="AB719" t="n">
        <v>0</v>
      </c>
      <c r="AC719" t="n">
        <v>0</v>
      </c>
      <c r="AD719" t="n">
        <v>4400000</v>
      </c>
      <c r="AE719" t="n">
        <v>0</v>
      </c>
    </row>
    <row r="720">
      <c r="A720" t="inlineStr">
        <is>
          <t>6 - UNIDAD DE SERVICIOS PÚBLICOS</t>
        </is>
      </c>
      <c r="B720" t="inlineStr">
        <is>
          <t>00 - SIN SECTOR</t>
        </is>
      </c>
      <c r="C720" t="inlineStr">
        <is>
          <t>00</t>
        </is>
      </c>
      <c r="D720" t="inlineStr">
        <is>
          <t>0000</t>
        </is>
      </c>
      <c r="E720" t="inlineStr">
        <is>
          <t>000000</t>
        </is>
      </c>
      <c r="F720" t="inlineStr">
        <is>
          <t>SIN PRODUCTO</t>
        </is>
      </c>
      <c r="G720" t="inlineStr">
        <is>
          <t>00</t>
        </is>
      </c>
      <c r="H720" t="inlineStr">
        <is>
          <t>00</t>
        </is>
      </c>
      <c r="I720" t="inlineStr">
        <is>
          <t>00</t>
        </is>
      </c>
      <c r="J720" t="inlineStr">
        <is>
          <t>SIN PRODUCTO DANE</t>
        </is>
      </c>
      <c r="K720" t="inlineStr">
        <is>
          <t>00</t>
        </is>
      </c>
      <c r="L720" t="inlineStr">
        <is>
          <t>SIN ATRIBUTO</t>
        </is>
      </c>
      <c r="N720" t="inlineStr">
        <is>
          <t>2.1.8.04.05.01</t>
        </is>
      </c>
      <c r="O720" t="inlineStr">
        <is>
          <t>Contribucion - superintendencia de servicios publicos domiciliarios - ACUEDUCTO</t>
        </is>
      </c>
      <c r="P720" t="inlineStr">
        <is>
          <t>104</t>
        </is>
      </c>
      <c r="Q720" t="inlineStr">
        <is>
          <t>RECURSOS PROPIOS AAA</t>
        </is>
      </c>
      <c r="R720" t="n">
        <v>1100000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1100000</v>
      </c>
      <c r="Z720" t="n">
        <v>0</v>
      </c>
      <c r="AA720" t="n">
        <v>0</v>
      </c>
      <c r="AB720" t="n">
        <v>0</v>
      </c>
      <c r="AC720" t="n">
        <v>0</v>
      </c>
      <c r="AD720" t="n">
        <v>1100000</v>
      </c>
      <c r="AE720" t="n">
        <v>0</v>
      </c>
    </row>
    <row r="721">
      <c r="A721" t="inlineStr">
        <is>
          <t>6 - UNIDAD DE SERVICIOS PÚBLICOS</t>
        </is>
      </c>
      <c r="B721" t="inlineStr">
        <is>
          <t>00 - SIN SECTOR</t>
        </is>
      </c>
      <c r="C721" t="inlineStr">
        <is>
          <t>00</t>
        </is>
      </c>
      <c r="D721" t="inlineStr">
        <is>
          <t>0000</t>
        </is>
      </c>
      <c r="E721" t="inlineStr">
        <is>
          <t>000000</t>
        </is>
      </c>
      <c r="F721" t="inlineStr">
        <is>
          <t>SIN PRODUCTO</t>
        </is>
      </c>
      <c r="G721" t="inlineStr">
        <is>
          <t>00</t>
        </is>
      </c>
      <c r="H721" t="inlineStr">
        <is>
          <t>00</t>
        </is>
      </c>
      <c r="I721" t="inlineStr">
        <is>
          <t>00</t>
        </is>
      </c>
      <c r="J721" t="inlineStr">
        <is>
          <t>SIN PRODUCTO DANE</t>
        </is>
      </c>
      <c r="K721" t="inlineStr">
        <is>
          <t>00</t>
        </is>
      </c>
      <c r="L721" t="inlineStr">
        <is>
          <t>SIN ATRIBUTO</t>
        </is>
      </c>
      <c r="N721" t="inlineStr">
        <is>
          <t>2.1.8.04.05.02</t>
        </is>
      </c>
      <c r="O721" t="inlineStr">
        <is>
          <t>Contribucion - superintendencia de servicios publicos domiciliarios - ALCATARILLADO</t>
        </is>
      </c>
      <c r="P721" t="inlineStr">
        <is>
          <t>104</t>
        </is>
      </c>
      <c r="Q721" t="inlineStr">
        <is>
          <t>RECURSOS PROPIOS AAA</t>
        </is>
      </c>
      <c r="R721" t="n">
        <v>1100000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1100000</v>
      </c>
      <c r="Z721" t="n">
        <v>0</v>
      </c>
      <c r="AA721" t="n">
        <v>0</v>
      </c>
      <c r="AB721" t="n">
        <v>0</v>
      </c>
      <c r="AC721" t="n">
        <v>0</v>
      </c>
      <c r="AD721" t="n">
        <v>1100000</v>
      </c>
      <c r="AE721" t="n">
        <v>0</v>
      </c>
    </row>
    <row r="722">
      <c r="A722" t="inlineStr">
        <is>
          <t>6 - UNIDAD DE SERVICIOS PÚBLICOS</t>
        </is>
      </c>
      <c r="B722" t="inlineStr">
        <is>
          <t>00 - SIN SECTOR</t>
        </is>
      </c>
      <c r="C722" t="inlineStr">
        <is>
          <t>00</t>
        </is>
      </c>
      <c r="D722" t="inlineStr">
        <is>
          <t>0000</t>
        </is>
      </c>
      <c r="E722" t="inlineStr">
        <is>
          <t>000000</t>
        </is>
      </c>
      <c r="F722" t="inlineStr">
        <is>
          <t>SIN PRODUCTO</t>
        </is>
      </c>
      <c r="G722" t="inlineStr">
        <is>
          <t>00</t>
        </is>
      </c>
      <c r="H722" t="inlineStr">
        <is>
          <t>00</t>
        </is>
      </c>
      <c r="I722" t="inlineStr">
        <is>
          <t>00</t>
        </is>
      </c>
      <c r="J722" t="inlineStr">
        <is>
          <t>SIN PRODUCTO DANE</t>
        </is>
      </c>
      <c r="K722" t="inlineStr">
        <is>
          <t>00</t>
        </is>
      </c>
      <c r="L722" t="inlineStr">
        <is>
          <t>SIN ATRIBUTO</t>
        </is>
      </c>
      <c r="N722" t="inlineStr">
        <is>
          <t>2.1.8.04.05.03</t>
        </is>
      </c>
      <c r="O722" t="inlineStr">
        <is>
          <t>Contribucion - superintendencia de servicios publicos domiciliarios - ASEO</t>
        </is>
      </c>
      <c r="P722" t="inlineStr">
        <is>
          <t>104</t>
        </is>
      </c>
      <c r="Q722" t="inlineStr">
        <is>
          <t>RECURSOS PROPIOS AAA</t>
        </is>
      </c>
      <c r="R722" t="n">
        <v>1100000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1100000</v>
      </c>
      <c r="Z722" t="n">
        <v>0</v>
      </c>
      <c r="AA722" t="n">
        <v>0</v>
      </c>
      <c r="AB722" t="n">
        <v>0</v>
      </c>
      <c r="AC722" t="n">
        <v>0</v>
      </c>
      <c r="AD722" t="n">
        <v>1100000</v>
      </c>
      <c r="AE722" t="n">
        <v>0</v>
      </c>
    </row>
    <row r="723">
      <c r="A723" t="inlineStr">
        <is>
          <t>6 - UNIDAD DE SERVICIOS PÚBLICOS</t>
        </is>
      </c>
      <c r="B723" t="inlineStr">
        <is>
          <t>00 - SIN SECTOR</t>
        </is>
      </c>
      <c r="C723" t="inlineStr">
        <is>
          <t>00</t>
        </is>
      </c>
      <c r="D723" t="inlineStr">
        <is>
          <t>0000</t>
        </is>
      </c>
      <c r="E723" t="inlineStr">
        <is>
          <t>000000</t>
        </is>
      </c>
      <c r="F723" t="inlineStr">
        <is>
          <t>SIN PRODUCTO</t>
        </is>
      </c>
      <c r="G723" t="inlineStr">
        <is>
          <t>00</t>
        </is>
      </c>
      <c r="H723" t="inlineStr">
        <is>
          <t>00</t>
        </is>
      </c>
      <c r="I723" t="inlineStr">
        <is>
          <t>00</t>
        </is>
      </c>
      <c r="J723" t="inlineStr">
        <is>
          <t>SIN PRODUCTO DANE</t>
        </is>
      </c>
      <c r="K723" t="inlineStr">
        <is>
          <t>00</t>
        </is>
      </c>
      <c r="L723" t="inlineStr">
        <is>
          <t>SIN ATRIBUTO</t>
        </is>
      </c>
      <c r="N723" t="inlineStr">
        <is>
          <t>2.1.8.04.16</t>
        </is>
      </c>
      <c r="O723" t="inlineStr">
        <is>
          <t>Contribucion comisiones regulacion de agua potable y saneamiento basico - cra</t>
        </is>
      </c>
      <c r="P723" t="inlineStr">
        <is>
          <t>00</t>
        </is>
      </c>
      <c r="Q723" t="inlineStr">
        <is>
          <t>RECURSOS</t>
        </is>
      </c>
      <c r="R723" t="n">
        <v>1100000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1100000</v>
      </c>
      <c r="Z723" t="n">
        <v>0</v>
      </c>
      <c r="AA723" t="n">
        <v>0</v>
      </c>
      <c r="AB723" t="n">
        <v>0</v>
      </c>
      <c r="AC723" t="n">
        <v>0</v>
      </c>
      <c r="AD723" t="n">
        <v>1100000</v>
      </c>
      <c r="AE723" t="n">
        <v>0</v>
      </c>
    </row>
    <row r="724">
      <c r="A724" t="inlineStr">
        <is>
          <t>6 - UNIDAD DE SERVICIOS PÚBLICOS</t>
        </is>
      </c>
      <c r="B724" t="inlineStr">
        <is>
          <t>00 - SIN SECTOR</t>
        </is>
      </c>
      <c r="C724" t="inlineStr">
        <is>
          <t>00</t>
        </is>
      </c>
      <c r="D724" t="inlineStr">
        <is>
          <t>0000</t>
        </is>
      </c>
      <c r="E724" t="inlineStr">
        <is>
          <t>000000</t>
        </is>
      </c>
      <c r="F724" t="inlineStr">
        <is>
          <t>SIN PRODUCTO</t>
        </is>
      </c>
      <c r="G724" t="inlineStr">
        <is>
          <t>00</t>
        </is>
      </c>
      <c r="H724" t="inlineStr">
        <is>
          <t>00</t>
        </is>
      </c>
      <c r="I724" t="inlineStr">
        <is>
          <t>00</t>
        </is>
      </c>
      <c r="J724" t="inlineStr">
        <is>
          <t>SIN PRODUCTO DANE</t>
        </is>
      </c>
      <c r="K724" t="inlineStr">
        <is>
          <t>00</t>
        </is>
      </c>
      <c r="L724" t="inlineStr">
        <is>
          <t>SIN ATRIBUTO</t>
        </is>
      </c>
      <c r="N724" t="inlineStr">
        <is>
          <t>2.1.8.04.16.01</t>
        </is>
      </c>
      <c r="O724" t="inlineStr">
        <is>
          <t>Contribucion comisiones regulacion de agua potable y saneamiento basico - cra -ASEO</t>
        </is>
      </c>
      <c r="P724" t="inlineStr">
        <is>
          <t>104</t>
        </is>
      </c>
      <c r="Q724" t="inlineStr">
        <is>
          <t>RECURSOS PROPIOS AAA</t>
        </is>
      </c>
      <c r="R724" t="n">
        <v>1100000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1100000</v>
      </c>
      <c r="Z724" t="n">
        <v>0</v>
      </c>
      <c r="AA724" t="n">
        <v>0</v>
      </c>
      <c r="AB724" t="n">
        <v>0</v>
      </c>
      <c r="AC724" t="n">
        <v>0</v>
      </c>
      <c r="AD724" t="n">
        <v>1100000</v>
      </c>
      <c r="AE724" t="n">
        <v>0</v>
      </c>
    </row>
    <row r="725">
      <c r="A725" t="inlineStr">
        <is>
          <t>R - SISTEMA GENERAL DE REGALIAS</t>
        </is>
      </c>
      <c r="B725" t="inlineStr">
        <is>
          <t>00 - SIN SECTOR</t>
        </is>
      </c>
      <c r="C725" t="inlineStr">
        <is>
          <t>00</t>
        </is>
      </c>
      <c r="D725" t="inlineStr">
        <is>
          <t>0000</t>
        </is>
      </c>
      <c r="E725" t="inlineStr">
        <is>
          <t>000000</t>
        </is>
      </c>
      <c r="F725" t="inlineStr">
        <is>
          <t>SIN PRODUCTO</t>
        </is>
      </c>
      <c r="G725" t="inlineStr">
        <is>
          <t>00</t>
        </is>
      </c>
      <c r="H725" t="inlineStr">
        <is>
          <t>00</t>
        </is>
      </c>
      <c r="I725" t="inlineStr">
        <is>
          <t>00</t>
        </is>
      </c>
      <c r="J725" t="inlineStr">
        <is>
          <t>SIN PRODUCTO DANE</t>
        </is>
      </c>
      <c r="K725" t="inlineStr">
        <is>
          <t>00</t>
        </is>
      </c>
      <c r="L725" t="inlineStr">
        <is>
          <t>SIN ATRIBUTO</t>
        </is>
      </c>
      <c r="N725" t="inlineStr">
        <is>
          <t>2</t>
        </is>
      </c>
      <c r="O725" t="inlineStr">
        <is>
          <t>Gastos</t>
        </is>
      </c>
      <c r="P725" t="inlineStr">
        <is>
          <t>00</t>
        </is>
      </c>
      <c r="Q725" t="inlineStr">
        <is>
          <t>RECURSOS</t>
        </is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45466666</v>
      </c>
      <c r="AA725" t="n">
        <v>45466666</v>
      </c>
      <c r="AB725" t="n">
        <v>17466666</v>
      </c>
      <c r="AC725" t="n">
        <v>17466666</v>
      </c>
      <c r="AD725" t="n">
        <v>-45466666</v>
      </c>
      <c r="AE725" t="n">
        <v>0</v>
      </c>
    </row>
    <row r="726">
      <c r="A726" t="inlineStr">
        <is>
          <t>R - SISTEMA GENERAL DE REGALIAS</t>
        </is>
      </c>
      <c r="B726" t="inlineStr">
        <is>
          <t>00 - SIN SECTOR</t>
        </is>
      </c>
      <c r="C726" t="inlineStr">
        <is>
          <t>00</t>
        </is>
      </c>
      <c r="D726" t="inlineStr">
        <is>
          <t>0000</t>
        </is>
      </c>
      <c r="E726" t="inlineStr">
        <is>
          <t>000000</t>
        </is>
      </c>
      <c r="F726" t="inlineStr">
        <is>
          <t>SIN PRODUCTO</t>
        </is>
      </c>
      <c r="G726" t="inlineStr">
        <is>
          <t>00</t>
        </is>
      </c>
      <c r="H726" t="inlineStr">
        <is>
          <t>00</t>
        </is>
      </c>
      <c r="I726" t="inlineStr">
        <is>
          <t>00</t>
        </is>
      </c>
      <c r="J726" t="inlineStr">
        <is>
          <t>SIN PRODUCTO DANE</t>
        </is>
      </c>
      <c r="K726" t="inlineStr">
        <is>
          <t>00</t>
        </is>
      </c>
      <c r="L726" t="inlineStr">
        <is>
          <t>SIN ATRIBUTO</t>
        </is>
      </c>
      <c r="N726" t="inlineStr">
        <is>
          <t>2.1</t>
        </is>
      </c>
      <c r="O726" t="inlineStr">
        <is>
          <t>Funcionamiento</t>
        </is>
      </c>
      <c r="P726" t="inlineStr">
        <is>
          <t>00</t>
        </is>
      </c>
      <c r="Q726" t="inlineStr">
        <is>
          <t>RECURSOS</t>
        </is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45466666</v>
      </c>
      <c r="AA726" t="n">
        <v>45466666</v>
      </c>
      <c r="AB726" t="n">
        <v>17466666</v>
      </c>
      <c r="AC726" t="n">
        <v>17466666</v>
      </c>
      <c r="AD726" t="n">
        <v>-45466666</v>
      </c>
      <c r="AE726" t="n">
        <v>0</v>
      </c>
    </row>
    <row r="727">
      <c r="A727" t="inlineStr">
        <is>
          <t>R - SISTEMA GENERAL DE REGALIAS</t>
        </is>
      </c>
      <c r="B727" t="inlineStr">
        <is>
          <t>00 - SIN SECTOR</t>
        </is>
      </c>
      <c r="C727" t="inlineStr">
        <is>
          <t>00</t>
        </is>
      </c>
      <c r="D727" t="inlineStr">
        <is>
          <t>0000</t>
        </is>
      </c>
      <c r="E727" t="inlineStr">
        <is>
          <t>000000</t>
        </is>
      </c>
      <c r="F727" t="inlineStr">
        <is>
          <t>SIN PRODUCTO</t>
        </is>
      </c>
      <c r="G727" t="inlineStr">
        <is>
          <t>00</t>
        </is>
      </c>
      <c r="H727" t="inlineStr">
        <is>
          <t>00</t>
        </is>
      </c>
      <c r="I727" t="inlineStr">
        <is>
          <t>00</t>
        </is>
      </c>
      <c r="J727" t="inlineStr">
        <is>
          <t>SIN PRODUCTO DANE</t>
        </is>
      </c>
      <c r="K727" t="inlineStr">
        <is>
          <t>00</t>
        </is>
      </c>
      <c r="L727" t="inlineStr">
        <is>
          <t>SIN ATRIBUTO</t>
        </is>
      </c>
      <c r="N727" t="inlineStr">
        <is>
          <t>2.1.2</t>
        </is>
      </c>
      <c r="O727" t="inlineStr">
        <is>
          <t>Adquisicion de bienes y servicios</t>
        </is>
      </c>
      <c r="P727" t="inlineStr">
        <is>
          <t>00</t>
        </is>
      </c>
      <c r="Q727" t="inlineStr">
        <is>
          <t>RECURSOS</t>
        </is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45466666</v>
      </c>
      <c r="AA727" t="n">
        <v>45466666</v>
      </c>
      <c r="AB727" t="n">
        <v>17466666</v>
      </c>
      <c r="AC727" t="n">
        <v>17466666</v>
      </c>
      <c r="AD727" t="n">
        <v>-45466666</v>
      </c>
      <c r="AE727" t="n">
        <v>0</v>
      </c>
    </row>
    <row r="728">
      <c r="A728" t="inlineStr">
        <is>
          <t>R - SISTEMA GENERAL DE REGALIAS</t>
        </is>
      </c>
      <c r="B728" t="inlineStr">
        <is>
          <t>00 - SIN SECTOR</t>
        </is>
      </c>
      <c r="C728" t="inlineStr">
        <is>
          <t>00</t>
        </is>
      </c>
      <c r="D728" t="inlineStr">
        <is>
          <t>0000</t>
        </is>
      </c>
      <c r="E728" t="inlineStr">
        <is>
          <t>000000</t>
        </is>
      </c>
      <c r="F728" t="inlineStr">
        <is>
          <t>SIN PRODUCTO</t>
        </is>
      </c>
      <c r="G728" t="inlineStr">
        <is>
          <t>00</t>
        </is>
      </c>
      <c r="H728" t="inlineStr">
        <is>
          <t>00</t>
        </is>
      </c>
      <c r="I728" t="inlineStr">
        <is>
          <t>00</t>
        </is>
      </c>
      <c r="J728" t="inlineStr">
        <is>
          <t>SIN PRODUCTO DANE</t>
        </is>
      </c>
      <c r="K728" t="inlineStr">
        <is>
          <t>00</t>
        </is>
      </c>
      <c r="L728" t="inlineStr">
        <is>
          <t>SIN ATRIBUTO</t>
        </is>
      </c>
      <c r="N728" t="inlineStr">
        <is>
          <t>2.1.2.02</t>
        </is>
      </c>
      <c r="O728" t="inlineStr">
        <is>
          <t>Adquisiciones diferentes de activos</t>
        </is>
      </c>
      <c r="P728" t="inlineStr">
        <is>
          <t>00</t>
        </is>
      </c>
      <c r="Q728" t="inlineStr">
        <is>
          <t>RECURSOS</t>
        </is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45466666</v>
      </c>
      <c r="AA728" t="n">
        <v>45466666</v>
      </c>
      <c r="AB728" t="n">
        <v>17466666</v>
      </c>
      <c r="AC728" t="n">
        <v>17466666</v>
      </c>
      <c r="AD728" t="n">
        <v>-45466666</v>
      </c>
      <c r="AE728" t="n">
        <v>0</v>
      </c>
    </row>
    <row r="729">
      <c r="A729" t="inlineStr">
        <is>
          <t>R - SISTEMA GENERAL DE REGALIAS</t>
        </is>
      </c>
      <c r="B729" t="inlineStr">
        <is>
          <t>00 - SIN SECTOR</t>
        </is>
      </c>
      <c r="C729" t="inlineStr">
        <is>
          <t>00</t>
        </is>
      </c>
      <c r="D729" t="inlineStr">
        <is>
          <t>0000</t>
        </is>
      </c>
      <c r="E729" t="inlineStr">
        <is>
          <t>000000</t>
        </is>
      </c>
      <c r="F729" t="inlineStr">
        <is>
          <t>SIN PRODUCTO</t>
        </is>
      </c>
      <c r="G729" t="inlineStr">
        <is>
          <t>00</t>
        </is>
      </c>
      <c r="H729" t="inlineStr">
        <is>
          <t>00</t>
        </is>
      </c>
      <c r="I729" t="inlineStr">
        <is>
          <t>00</t>
        </is>
      </c>
      <c r="J729" t="inlineStr">
        <is>
          <t>SIN PRODUCTO DANE</t>
        </is>
      </c>
      <c r="K729" t="inlineStr">
        <is>
          <t>00</t>
        </is>
      </c>
      <c r="L729" t="inlineStr">
        <is>
          <t>SIN ATRIBUTO</t>
        </is>
      </c>
      <c r="N729" t="inlineStr">
        <is>
          <t>2.1.2.02.02</t>
        </is>
      </c>
      <c r="O729" t="inlineStr">
        <is>
          <t>Adquisicion de servicios</t>
        </is>
      </c>
      <c r="P729" t="inlineStr">
        <is>
          <t>00</t>
        </is>
      </c>
      <c r="Q729" t="inlineStr">
        <is>
          <t>RECURSOS</t>
        </is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45466666</v>
      </c>
      <c r="AA729" t="n">
        <v>45466666</v>
      </c>
      <c r="AB729" t="n">
        <v>17466666</v>
      </c>
      <c r="AC729" t="n">
        <v>17466666</v>
      </c>
      <c r="AD729" t="n">
        <v>-45466666</v>
      </c>
      <c r="AE729" t="n">
        <v>0</v>
      </c>
    </row>
    <row r="730">
      <c r="A730" t="inlineStr">
        <is>
          <t>R - SISTEMA GENERAL DE REGALIAS</t>
        </is>
      </c>
      <c r="B730" t="inlineStr">
        <is>
          <t>00 - SIN SECTOR</t>
        </is>
      </c>
      <c r="C730" t="inlineStr">
        <is>
          <t>00</t>
        </is>
      </c>
      <c r="D730" t="inlineStr">
        <is>
          <t>0000</t>
        </is>
      </c>
      <c r="E730" t="inlineStr">
        <is>
          <t>000000</t>
        </is>
      </c>
      <c r="F730" t="inlineStr">
        <is>
          <t>SIN PRODUCTO</t>
        </is>
      </c>
      <c r="G730" t="inlineStr">
        <is>
          <t>00</t>
        </is>
      </c>
      <c r="H730" t="inlineStr">
        <is>
          <t>00</t>
        </is>
      </c>
      <c r="I730" t="inlineStr">
        <is>
          <t>00</t>
        </is>
      </c>
      <c r="J730" t="inlineStr">
        <is>
          <t>SIN PRODUCTO DANE</t>
        </is>
      </c>
      <c r="K730" t="inlineStr">
        <is>
          <t>00</t>
        </is>
      </c>
      <c r="L730" t="inlineStr">
        <is>
          <t>SIN ATRIBUTO</t>
        </is>
      </c>
      <c r="N730" t="inlineStr">
        <is>
          <t>2.1.2.02.02.008</t>
        </is>
      </c>
      <c r="O730" t="inlineStr">
        <is>
          <t>Servicios prestados a las empresas y servicios de produccion</t>
        </is>
      </c>
      <c r="P730" t="inlineStr">
        <is>
          <t>00</t>
        </is>
      </c>
      <c r="Q730" t="inlineStr">
        <is>
          <t>RECURSOS</t>
        </is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45466666</v>
      </c>
      <c r="AA730" t="n">
        <v>45466666</v>
      </c>
      <c r="AB730" t="n">
        <v>17466666</v>
      </c>
      <c r="AC730" t="n">
        <v>17466666</v>
      </c>
      <c r="AD730" t="n">
        <v>-45466666</v>
      </c>
      <c r="AE73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5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40" customWidth="1" min="3" max="3"/>
    <col width="40" customWidth="1" min="4" max="4"/>
    <col width="13" customWidth="1" min="5" max="5"/>
    <col width="40" customWidth="1" min="6" max="6"/>
    <col width="40" customWidth="1" min="7" max="7"/>
    <col width="26" customWidth="1" min="8" max="8"/>
    <col width="40" customWidth="1" min="9" max="9"/>
    <col width="11" customWidth="1" min="10" max="10"/>
    <col width="40" customWidth="1" min="11" max="11"/>
    <col width="18" customWidth="1" min="12" max="12"/>
    <col width="20" customWidth="1" min="13" max="13"/>
  </cols>
  <sheetData>
    <row r="1" ht="30" customHeight="1">
      <c r="A1" s="1" t="inlineStr">
        <is>
          <t>FUENTE DE RECURSO</t>
        </is>
      </c>
      <c r="B1" s="1" t="inlineStr">
        <is>
          <t>NOMBRE DE FUENTE DE RECURSO</t>
        </is>
      </c>
      <c r="C1" s="2" t="inlineStr">
        <is>
          <t>PRESUPUESTO DEFINITIVO</t>
        </is>
      </c>
      <c r="D1" s="2" t="inlineStr">
        <is>
          <t>PRESUPUESTO DEFINITIVO EJECUTADO</t>
        </is>
      </c>
      <c r="E1" s="2" t="inlineStr">
        <is>
          <t>DIFERENCIA</t>
        </is>
      </c>
      <c r="F1" s="3" t="inlineStr">
        <is>
          <t>Recaudo</t>
        </is>
      </c>
      <c r="G1" s="3" t="inlineStr">
        <is>
          <t>Registros</t>
        </is>
      </c>
      <c r="H1" s="3" t="inlineStr">
        <is>
          <t>Saldos no Comprometidos</t>
        </is>
      </c>
      <c r="I1" s="4" t="inlineStr">
        <is>
          <t>Constitución</t>
        </is>
      </c>
      <c r="J1" s="4" t="inlineStr">
        <is>
          <t>Reservas</t>
        </is>
      </c>
      <c r="K1" s="5" t="inlineStr">
        <is>
          <t>Pago</t>
        </is>
      </c>
      <c r="L1" s="5" t="inlineStr">
        <is>
          <t>Cuentas x Pagar</t>
        </is>
      </c>
      <c r="M1" s="6" t="inlineStr">
        <is>
          <t>Recurso en Bancos</t>
        </is>
      </c>
    </row>
    <row r="2">
      <c r="A2" s="7" t="inlineStr">
        <is>
          <t>100</t>
        </is>
      </c>
      <c r="B2" s="7" t="inlineStr">
        <is>
          <t>INGRESOS CORRIENTES DE LIBRE DESTINACION EXCEPTO EL 42% DE LIBRE DESTINACIÓN DE PROPOSITO GENERAL DE MPIOS DE CATEGORIA</t>
        </is>
      </c>
      <c r="C2" s="8">
        <f>SUMIF(INGRESOS!$R:$R,A2,INGRESOS!$L:$L)</f>
        <v/>
      </c>
      <c r="D2" s="8">
        <f>SUMIF(EGRESOS!$P:$P,A2,EGRESOS!$Y:$Y)</f>
        <v/>
      </c>
      <c r="E2" s="8">
        <f>C2-D2</f>
        <v/>
      </c>
      <c r="F2" s="8">
        <f>SUMIF(INGRESOS!$R:$R,A2,INGRESOS!$N:$N)</f>
        <v/>
      </c>
      <c r="G2" s="8">
        <f>SUMIF(EGRESOS!$P:$P,A2,EGRESOS!$AA:$AA)</f>
        <v/>
      </c>
      <c r="H2" s="8">
        <f>F2-G2</f>
        <v/>
      </c>
      <c r="I2" s="8">
        <f>SUMIF(EGRESOS!$P:$P,A2,EGRESOS!$AB:$AB)</f>
        <v/>
      </c>
      <c r="J2" s="8">
        <f>G2-I2</f>
        <v/>
      </c>
      <c r="K2" s="8">
        <f>SUMIF(EGRESOS!$P:$P,A2,EGRESOS!$AC:$AC)</f>
        <v/>
      </c>
      <c r="L2" s="8">
        <f>I2-K2</f>
        <v/>
      </c>
      <c r="M2" s="8">
        <f>H2+J2+L2</f>
        <v/>
      </c>
    </row>
    <row r="3">
      <c r="A3" s="7" t="inlineStr">
        <is>
          <t>360</t>
        </is>
      </c>
      <c r="B3" s="7" t="inlineStr">
        <is>
          <t>SGP PROPOSITO GENERAL 42 POR CIENTO RECURSOS LIBRE DESTINACION SGP PROPOSITO GENERAL MPIOS DE CATEGORIA 4 5 Y 6 SGP ONCE</t>
        </is>
      </c>
      <c r="C3" s="8">
        <f>SUMIF(INGRESOS!$R:$R,A3,INGRESOS!$L:$L)</f>
        <v/>
      </c>
      <c r="D3" s="8">
        <f>SUMIF(EGRESOS!$P:$P,A3,EGRESOS!$Y:$Y)</f>
        <v/>
      </c>
      <c r="E3" s="8">
        <f>C3-D3</f>
        <v/>
      </c>
      <c r="F3" s="8">
        <f>SUMIF(INGRESOS!$R:$R,A3,INGRESOS!$N:$N)</f>
        <v/>
      </c>
      <c r="G3" s="8">
        <f>SUMIF(EGRESOS!$P:$P,A3,EGRESOS!$AA:$AA)</f>
        <v/>
      </c>
      <c r="H3" s="8">
        <f>F3-G3</f>
        <v/>
      </c>
      <c r="I3" s="8">
        <f>SUMIF(EGRESOS!$P:$P,A3,EGRESOS!$AB:$AB)</f>
        <v/>
      </c>
      <c r="J3" s="8">
        <f>G3-I3</f>
        <v/>
      </c>
      <c r="K3" s="8">
        <f>SUMIF(EGRESOS!$P:$P,A3,EGRESOS!$AC:$AC)</f>
        <v/>
      </c>
      <c r="L3" s="8">
        <f>I3-K3</f>
        <v/>
      </c>
      <c r="M3" s="8">
        <f>H3+J3+L3</f>
        <v/>
      </c>
    </row>
    <row r="4">
      <c r="A4" s="7" t="inlineStr">
        <is>
          <t>138</t>
        </is>
      </c>
      <c r="B4" s="7" t="inlineStr">
        <is>
          <t>MULTAS CODIGO POLICIA</t>
        </is>
      </c>
      <c r="C4" s="8">
        <f>SUMIF(INGRESOS!$R:$R,A4,INGRESOS!$L:$L)</f>
        <v/>
      </c>
      <c r="D4" s="8">
        <f>SUMIF(EGRESOS!$P:$P,A4,EGRESOS!$Y:$Y)</f>
        <v/>
      </c>
      <c r="E4" s="8">
        <f>C4-D4</f>
        <v/>
      </c>
      <c r="F4" s="8">
        <f>SUMIF(INGRESOS!$R:$R,A4,INGRESOS!$N:$N)</f>
        <v/>
      </c>
      <c r="G4" s="8">
        <f>SUMIF(EGRESOS!$P:$P,A4,EGRESOS!$AA:$AA)</f>
        <v/>
      </c>
      <c r="H4" s="8">
        <f>F4-G4</f>
        <v/>
      </c>
      <c r="I4" s="8">
        <f>SUMIF(EGRESOS!$P:$P,A4,EGRESOS!$AB:$AB)</f>
        <v/>
      </c>
      <c r="J4" s="8">
        <f>G4-I4</f>
        <v/>
      </c>
      <c r="K4" s="8">
        <f>SUMIF(EGRESOS!$P:$P,A4,EGRESOS!$AC:$AC)</f>
        <v/>
      </c>
      <c r="L4" s="8">
        <f>I4-K4</f>
        <v/>
      </c>
      <c r="M4" s="8">
        <f>H4+J4+L4</f>
        <v/>
      </c>
    </row>
    <row r="5">
      <c r="A5" s="7" t="inlineStr">
        <is>
          <t>138.1</t>
        </is>
      </c>
      <c r="B5" s="7" t="inlineStr">
        <is>
          <t>RB MULTAS CODIGO DE POLICIA</t>
        </is>
      </c>
      <c r="C5" s="8">
        <f>SUMIF(INGRESOS!$R:$R,A5,INGRESOS!$L:$L)</f>
        <v/>
      </c>
      <c r="D5" s="8">
        <f>SUMIF(EGRESOS!$P:$P,A5,EGRESOS!$Y:$Y)</f>
        <v/>
      </c>
      <c r="E5" s="8">
        <f>C5-D5</f>
        <v/>
      </c>
      <c r="F5" s="8">
        <f>SUMIF(INGRESOS!$R:$R,A5,INGRESOS!$N:$N)</f>
        <v/>
      </c>
      <c r="G5" s="8">
        <f>SUMIF(EGRESOS!$P:$P,A5,EGRESOS!$AA:$AA)</f>
        <v/>
      </c>
      <c r="H5" s="8">
        <f>F5-G5</f>
        <v/>
      </c>
      <c r="I5" s="8">
        <f>SUMIF(EGRESOS!$P:$P,A5,EGRESOS!$AB:$AB)</f>
        <v/>
      </c>
      <c r="J5" s="8">
        <f>G5-I5</f>
        <v/>
      </c>
      <c r="K5" s="8">
        <f>SUMIF(EGRESOS!$P:$P,A5,EGRESOS!$AC:$AC)</f>
        <v/>
      </c>
      <c r="L5" s="8">
        <f>I5-K5</f>
        <v/>
      </c>
      <c r="M5" s="8">
        <f>H5+J5+L5</f>
        <v/>
      </c>
    </row>
    <row r="6">
      <c r="A6" s="7" t="inlineStr">
        <is>
          <t>101.2</t>
        </is>
      </c>
      <c r="B6" s="7" t="inlineStr">
        <is>
          <t>SOBRETASA AMBIENTAL</t>
        </is>
      </c>
      <c r="C6" s="8">
        <f>SUMIF(INGRESOS!$R:$R,A6,INGRESOS!$L:$L)</f>
        <v/>
      </c>
      <c r="D6" s="8">
        <f>SUMIF(EGRESOS!$P:$P,A6,EGRESOS!$Y:$Y)</f>
        <v/>
      </c>
      <c r="E6" s="8">
        <f>C6-D6</f>
        <v/>
      </c>
      <c r="F6" s="8">
        <f>SUMIF(INGRESOS!$R:$R,A6,INGRESOS!$N:$N)</f>
        <v/>
      </c>
      <c r="G6" s="8">
        <f>SUMIF(EGRESOS!$P:$P,A6,EGRESOS!$AA:$AA)</f>
        <v/>
      </c>
      <c r="H6" s="8">
        <f>F6-G6</f>
        <v/>
      </c>
      <c r="I6" s="8">
        <f>SUMIF(EGRESOS!$P:$P,A6,EGRESOS!$AB:$AB)</f>
        <v/>
      </c>
      <c r="J6" s="8">
        <f>G6-I6</f>
        <v/>
      </c>
      <c r="K6" s="8">
        <f>SUMIF(EGRESOS!$P:$P,A6,EGRESOS!$AC:$AC)</f>
        <v/>
      </c>
      <c r="L6" s="8">
        <f>I6-K6</f>
        <v/>
      </c>
      <c r="M6" s="8">
        <f>H6+J6+L6</f>
        <v/>
      </c>
    </row>
    <row r="7">
      <c r="A7" s="7" t="inlineStr">
        <is>
          <t>101.2.1</t>
        </is>
      </c>
      <c r="B7" s="7" t="inlineStr">
        <is>
          <t>SOBRETASA AMBIENTAL RB</t>
        </is>
      </c>
      <c r="C7" s="8">
        <f>SUMIF(INGRESOS!$R:$R,A7,INGRESOS!$L:$L)</f>
        <v/>
      </c>
      <c r="D7" s="8">
        <f>SUMIF(EGRESOS!$P:$P,A7,EGRESOS!$Y:$Y)</f>
        <v/>
      </c>
      <c r="E7" s="8">
        <f>C7-D7</f>
        <v/>
      </c>
      <c r="F7" s="8">
        <f>SUMIF(INGRESOS!$R:$R,A7,INGRESOS!$N:$N)</f>
        <v/>
      </c>
      <c r="G7" s="8">
        <f>SUMIF(EGRESOS!$P:$P,A7,EGRESOS!$AA:$AA)</f>
        <v/>
      </c>
      <c r="H7" s="8">
        <f>F7-G7</f>
        <v/>
      </c>
      <c r="I7" s="8">
        <f>SUMIF(EGRESOS!$P:$P,A7,EGRESOS!$AB:$AB)</f>
        <v/>
      </c>
      <c r="J7" s="8">
        <f>G7-I7</f>
        <v/>
      </c>
      <c r="K7" s="8">
        <f>SUMIF(EGRESOS!$P:$P,A7,EGRESOS!$AC:$AC)</f>
        <v/>
      </c>
      <c r="L7" s="8">
        <f>I7-K7</f>
        <v/>
      </c>
      <c r="M7" s="8">
        <f>H7+J7+L7</f>
        <v/>
      </c>
    </row>
    <row r="8">
      <c r="A8" s="7" t="inlineStr">
        <is>
          <t>114</t>
        </is>
      </c>
      <c r="B8" s="7" t="inlineStr">
        <is>
          <t>SOBRETASA BOMBERIL</t>
        </is>
      </c>
      <c r="C8" s="8">
        <f>SUMIF(INGRESOS!$R:$R,A8,INGRESOS!$L:$L)</f>
        <v/>
      </c>
      <c r="D8" s="8">
        <f>SUMIF(EGRESOS!$P:$P,A8,EGRESOS!$Y:$Y)</f>
        <v/>
      </c>
      <c r="E8" s="8">
        <f>C8-D8</f>
        <v/>
      </c>
      <c r="F8" s="8">
        <f>SUMIF(INGRESOS!$R:$R,A8,INGRESOS!$N:$N)</f>
        <v/>
      </c>
      <c r="G8" s="8">
        <f>SUMIF(EGRESOS!$P:$P,A8,EGRESOS!$AA:$AA)</f>
        <v/>
      </c>
      <c r="H8" s="8">
        <f>F8-G8</f>
        <v/>
      </c>
      <c r="I8" s="8">
        <f>SUMIF(EGRESOS!$P:$P,A8,EGRESOS!$AB:$AB)</f>
        <v/>
      </c>
      <c r="J8" s="8">
        <f>G8-I8</f>
        <v/>
      </c>
      <c r="K8" s="8">
        <f>SUMIF(EGRESOS!$P:$P,A8,EGRESOS!$AC:$AC)</f>
        <v/>
      </c>
      <c r="L8" s="8">
        <f>I8-K8</f>
        <v/>
      </c>
      <c r="M8" s="8">
        <f>H8+J8+L8</f>
        <v/>
      </c>
    </row>
    <row r="9">
      <c r="A9" s="7" t="inlineStr">
        <is>
          <t>114.1</t>
        </is>
      </c>
      <c r="B9" s="7" t="inlineStr">
        <is>
          <t>SOBRETASA BOMBERIL RB</t>
        </is>
      </c>
      <c r="C9" s="8">
        <f>SUMIF(INGRESOS!$R:$R,A9,INGRESOS!$L:$L)</f>
        <v/>
      </c>
      <c r="D9" s="8">
        <f>SUMIF(EGRESOS!$P:$P,A9,EGRESOS!$Y:$Y)</f>
        <v/>
      </c>
      <c r="E9" s="8">
        <f>C9-D9</f>
        <v/>
      </c>
      <c r="F9" s="8">
        <f>SUMIF(INGRESOS!$R:$R,A9,INGRESOS!$N:$N)</f>
        <v/>
      </c>
      <c r="G9" s="8">
        <f>SUMIF(EGRESOS!$P:$P,A9,EGRESOS!$AA:$AA)</f>
        <v/>
      </c>
      <c r="H9" s="8">
        <f>F9-G9</f>
        <v/>
      </c>
      <c r="I9" s="8">
        <f>SUMIF(EGRESOS!$P:$P,A9,EGRESOS!$AB:$AB)</f>
        <v/>
      </c>
      <c r="J9" s="8">
        <f>G9-I9</f>
        <v/>
      </c>
      <c r="K9" s="8">
        <f>SUMIF(EGRESOS!$P:$P,A9,EGRESOS!$AC:$AC)</f>
        <v/>
      </c>
      <c r="L9" s="8">
        <f>I9-K9</f>
        <v/>
      </c>
      <c r="M9" s="8">
        <f>H9+J9+L9</f>
        <v/>
      </c>
    </row>
    <row r="10">
      <c r="A10" s="7" t="inlineStr">
        <is>
          <t>152</t>
        </is>
      </c>
      <c r="B10" s="7" t="inlineStr">
        <is>
          <t>Estampilla Procultura</t>
        </is>
      </c>
      <c r="C10" s="8">
        <f>SUMIF(INGRESOS!$R:$R,A10,INGRESOS!$L:$L)</f>
        <v/>
      </c>
      <c r="D10" s="8">
        <f>SUMIF(EGRESOS!$P:$P,A10,EGRESOS!$Y:$Y)</f>
        <v/>
      </c>
      <c r="E10" s="8">
        <f>C10-D10</f>
        <v/>
      </c>
      <c r="F10" s="8">
        <f>SUMIF(INGRESOS!$R:$R,A10,INGRESOS!$N:$N)</f>
        <v/>
      </c>
      <c r="G10" s="8">
        <f>SUMIF(EGRESOS!$P:$P,A10,EGRESOS!$AA:$AA)</f>
        <v/>
      </c>
      <c r="H10" s="8">
        <f>F10-G10</f>
        <v/>
      </c>
      <c r="I10" s="8">
        <f>SUMIF(EGRESOS!$P:$P,A10,EGRESOS!$AB:$AB)</f>
        <v/>
      </c>
      <c r="J10" s="8">
        <f>G10-I10</f>
        <v/>
      </c>
      <c r="K10" s="8">
        <f>SUMIF(EGRESOS!$P:$P,A10,EGRESOS!$AC:$AC)</f>
        <v/>
      </c>
      <c r="L10" s="8">
        <f>I10-K10</f>
        <v/>
      </c>
      <c r="M10" s="8">
        <f>H10+J10+L10</f>
        <v/>
      </c>
    </row>
    <row r="11">
      <c r="A11" s="7" t="inlineStr">
        <is>
          <t>152.4</t>
        </is>
      </c>
      <c r="B11" s="7" t="inlineStr">
        <is>
          <t>RF SEGURIDAD SOCIAL GESTOR CULTURAL</t>
        </is>
      </c>
      <c r="C11" s="8">
        <f>SUMIF(INGRESOS!$R:$R,A11,INGRESOS!$L:$L)</f>
        <v/>
      </c>
      <c r="D11" s="8">
        <f>SUMIF(EGRESOS!$P:$P,A11,EGRESOS!$Y:$Y)</f>
        <v/>
      </c>
      <c r="E11" s="8">
        <f>C11-D11</f>
        <v/>
      </c>
      <c r="F11" s="8">
        <f>SUMIF(INGRESOS!$R:$R,A11,INGRESOS!$N:$N)</f>
        <v/>
      </c>
      <c r="G11" s="8">
        <f>SUMIF(EGRESOS!$P:$P,A11,EGRESOS!$AA:$AA)</f>
        <v/>
      </c>
      <c r="H11" s="8">
        <f>F11-G11</f>
        <v/>
      </c>
      <c r="I11" s="8">
        <f>SUMIF(EGRESOS!$P:$P,A11,EGRESOS!$AB:$AB)</f>
        <v/>
      </c>
      <c r="J11" s="8">
        <f>G11-I11</f>
        <v/>
      </c>
      <c r="K11" s="8">
        <f>SUMIF(EGRESOS!$P:$P,A11,EGRESOS!$AC:$AC)</f>
        <v/>
      </c>
      <c r="L11" s="8">
        <f>I11-K11</f>
        <v/>
      </c>
      <c r="M11" s="8">
        <f>H11+J11+L11</f>
        <v/>
      </c>
    </row>
    <row r="12">
      <c r="A12" s="7" t="inlineStr">
        <is>
          <t>152.1</t>
        </is>
      </c>
      <c r="B12" s="7" t="inlineStr">
        <is>
          <t>RB ESTAMPILLA PROCULTURA</t>
        </is>
      </c>
      <c r="C12" s="8">
        <f>SUMIF(INGRESOS!$R:$R,A12,INGRESOS!$L:$L)</f>
        <v/>
      </c>
      <c r="D12" s="8">
        <f>SUMIF(EGRESOS!$P:$P,A12,EGRESOS!$Y:$Y)</f>
        <v/>
      </c>
      <c r="E12" s="8">
        <f>C12-D12</f>
        <v/>
      </c>
      <c r="F12" s="8">
        <f>SUMIF(INGRESOS!$R:$R,A12,INGRESOS!$N:$N)</f>
        <v/>
      </c>
      <c r="G12" s="8">
        <f>SUMIF(EGRESOS!$P:$P,A12,EGRESOS!$AA:$AA)</f>
        <v/>
      </c>
      <c r="H12" s="8">
        <f>F12-G12</f>
        <v/>
      </c>
      <c r="I12" s="8">
        <f>SUMIF(EGRESOS!$P:$P,A12,EGRESOS!$AB:$AB)</f>
        <v/>
      </c>
      <c r="J12" s="8">
        <f>G12-I12</f>
        <v/>
      </c>
      <c r="K12" s="8">
        <f>SUMIF(EGRESOS!$P:$P,A12,EGRESOS!$AC:$AC)</f>
        <v/>
      </c>
      <c r="L12" s="8">
        <f>I12-K12</f>
        <v/>
      </c>
      <c r="M12" s="8">
        <f>H12+J12+L12</f>
        <v/>
      </c>
    </row>
    <row r="13">
      <c r="A13" s="7" t="inlineStr">
        <is>
          <t>670.10.1</t>
        </is>
      </c>
      <c r="B13" s="7" t="inlineStr">
        <is>
          <t>REND. FCROS. SEGURIDAD SOCIAL DEL GESTOR</t>
        </is>
      </c>
      <c r="C13" s="8">
        <f>SUMIF(INGRESOS!$R:$R,A13,INGRESOS!$L:$L)</f>
        <v/>
      </c>
      <c r="D13" s="8">
        <f>SUMIF(EGRESOS!$P:$P,A13,EGRESOS!$Y:$Y)</f>
        <v/>
      </c>
      <c r="E13" s="8">
        <f>C13-D13</f>
        <v/>
      </c>
      <c r="F13" s="8">
        <f>SUMIF(INGRESOS!$R:$R,A13,INGRESOS!$N:$N)</f>
        <v/>
      </c>
      <c r="G13" s="8">
        <f>SUMIF(EGRESOS!$P:$P,A13,EGRESOS!$AA:$AA)</f>
        <v/>
      </c>
      <c r="H13" s="8">
        <f>F13-G13</f>
        <v/>
      </c>
      <c r="I13" s="8">
        <f>SUMIF(EGRESOS!$P:$P,A13,EGRESOS!$AB:$AB)</f>
        <v/>
      </c>
      <c r="J13" s="8">
        <f>G13-I13</f>
        <v/>
      </c>
      <c r="K13" s="8">
        <f>SUMIF(EGRESOS!$P:$P,A13,EGRESOS!$AC:$AC)</f>
        <v/>
      </c>
      <c r="L13" s="8">
        <f>I13-K13</f>
        <v/>
      </c>
      <c r="M13" s="8">
        <f>H13+J13+L13</f>
        <v/>
      </c>
    </row>
    <row r="14">
      <c r="A14" s="7" t="inlineStr">
        <is>
          <t>420</t>
        </is>
      </c>
      <c r="B14" s="7" t="inlineStr">
        <is>
          <t>SGP PROPOSITO GENERAL FORZOSA INVERSION LIBRE INVERSIÓN SGP ONCE DOCEAVAS VIGENCIA ACTUAL MAS ULTIMA DOCEAVA VIGENCIA AN</t>
        </is>
      </c>
      <c r="C14" s="8">
        <f>SUMIF(INGRESOS!$R:$R,A14,INGRESOS!$L:$L)</f>
        <v/>
      </c>
      <c r="D14" s="8">
        <f>SUMIF(EGRESOS!$P:$P,A14,EGRESOS!$Y:$Y)</f>
        <v/>
      </c>
      <c r="E14" s="8">
        <f>C14-D14</f>
        <v/>
      </c>
      <c r="F14" s="8">
        <f>SUMIF(INGRESOS!$R:$R,A14,INGRESOS!$N:$N)</f>
        <v/>
      </c>
      <c r="G14" s="8">
        <f>SUMIF(EGRESOS!$P:$P,A14,EGRESOS!$AA:$AA)</f>
        <v/>
      </c>
      <c r="H14" s="8">
        <f>F14-G14</f>
        <v/>
      </c>
      <c r="I14" s="8">
        <f>SUMIF(EGRESOS!$P:$P,A14,EGRESOS!$AB:$AB)</f>
        <v/>
      </c>
      <c r="J14" s="8">
        <f>G14-I14</f>
        <v/>
      </c>
      <c r="K14" s="8">
        <f>SUMIF(EGRESOS!$P:$P,A14,EGRESOS!$AC:$AC)</f>
        <v/>
      </c>
      <c r="L14" s="8">
        <f>I14-K14</f>
        <v/>
      </c>
      <c r="M14" s="8">
        <f>H14+J14+L14</f>
        <v/>
      </c>
    </row>
    <row r="15">
      <c r="A15" s="7" t="inlineStr">
        <is>
          <t>151</t>
        </is>
      </c>
      <c r="B15" s="7" t="inlineStr">
        <is>
          <t>Estampilla adulto mayor</t>
        </is>
      </c>
      <c r="C15" s="8">
        <f>SUMIF(INGRESOS!$R:$R,A15,INGRESOS!$L:$L)</f>
        <v/>
      </c>
      <c r="D15" s="8">
        <f>SUMIF(EGRESOS!$P:$P,A15,EGRESOS!$Y:$Y)</f>
        <v/>
      </c>
      <c r="E15" s="8">
        <f>C15-D15</f>
        <v/>
      </c>
      <c r="F15" s="8">
        <f>SUMIF(INGRESOS!$R:$R,A15,INGRESOS!$N:$N)</f>
        <v/>
      </c>
      <c r="G15" s="8">
        <f>SUMIF(EGRESOS!$P:$P,A15,EGRESOS!$AA:$AA)</f>
        <v/>
      </c>
      <c r="H15" s="8">
        <f>F15-G15</f>
        <v/>
      </c>
      <c r="I15" s="8">
        <f>SUMIF(EGRESOS!$P:$P,A15,EGRESOS!$AB:$AB)</f>
        <v/>
      </c>
      <c r="J15" s="8">
        <f>G15-I15</f>
        <v/>
      </c>
      <c r="K15" s="8">
        <f>SUMIF(EGRESOS!$P:$P,A15,EGRESOS!$AC:$AC)</f>
        <v/>
      </c>
      <c r="L15" s="8">
        <f>I15-K15</f>
        <v/>
      </c>
      <c r="M15" s="8">
        <f>H15+J15+L15</f>
        <v/>
      </c>
    </row>
    <row r="16">
      <c r="A16" s="7" t="inlineStr">
        <is>
          <t>151.1</t>
        </is>
      </c>
      <c r="B16" s="7" t="inlineStr">
        <is>
          <t>RB ESTAMPILLA PRO ADULTO MAYOR</t>
        </is>
      </c>
      <c r="C16" s="8">
        <f>SUMIF(INGRESOS!$R:$R,A16,INGRESOS!$L:$L)</f>
        <v/>
      </c>
      <c r="D16" s="8">
        <f>SUMIF(EGRESOS!$P:$P,A16,EGRESOS!$Y:$Y)</f>
        <v/>
      </c>
      <c r="E16" s="8">
        <f>C16-D16</f>
        <v/>
      </c>
      <c r="F16" s="8">
        <f>SUMIF(INGRESOS!$R:$R,A16,INGRESOS!$N:$N)</f>
        <v/>
      </c>
      <c r="G16" s="8">
        <f>SUMIF(EGRESOS!$P:$P,A16,EGRESOS!$AA:$AA)</f>
        <v/>
      </c>
      <c r="H16" s="8">
        <f>F16-G16</f>
        <v/>
      </c>
      <c r="I16" s="8">
        <f>SUMIF(EGRESOS!$P:$P,A16,EGRESOS!$AB:$AB)</f>
        <v/>
      </c>
      <c r="J16" s="8">
        <f>G16-I16</f>
        <v/>
      </c>
      <c r="K16" s="8">
        <f>SUMIF(EGRESOS!$P:$P,A16,EGRESOS!$AC:$AC)</f>
        <v/>
      </c>
      <c r="L16" s="8">
        <f>I16-K16</f>
        <v/>
      </c>
      <c r="M16" s="8">
        <f>H16+J16+L16</f>
        <v/>
      </c>
    </row>
    <row r="17">
      <c r="A17" s="7" t="inlineStr">
        <is>
          <t>153</t>
        </is>
      </c>
      <c r="B17" s="7" t="inlineStr">
        <is>
          <t>Estampilla para la justicia familiar</t>
        </is>
      </c>
      <c r="C17" s="8">
        <f>SUMIF(INGRESOS!$R:$R,A17,INGRESOS!$L:$L)</f>
        <v/>
      </c>
      <c r="D17" s="8">
        <f>SUMIF(EGRESOS!$P:$P,A17,EGRESOS!$Y:$Y)</f>
        <v/>
      </c>
      <c r="E17" s="8">
        <f>C17-D17</f>
        <v/>
      </c>
      <c r="F17" s="8">
        <f>SUMIF(INGRESOS!$R:$R,A17,INGRESOS!$N:$N)</f>
        <v/>
      </c>
      <c r="G17" s="8">
        <f>SUMIF(EGRESOS!$P:$P,A17,EGRESOS!$AA:$AA)</f>
        <v/>
      </c>
      <c r="H17" s="8">
        <f>F17-G17</f>
        <v/>
      </c>
      <c r="I17" s="8">
        <f>SUMIF(EGRESOS!$P:$P,A17,EGRESOS!$AB:$AB)</f>
        <v/>
      </c>
      <c r="J17" s="8">
        <f>G17-I17</f>
        <v/>
      </c>
      <c r="K17" s="8">
        <f>SUMIF(EGRESOS!$P:$P,A17,EGRESOS!$AC:$AC)</f>
        <v/>
      </c>
      <c r="L17" s="8">
        <f>I17-K17</f>
        <v/>
      </c>
      <c r="M17" s="8">
        <f>H17+J17+L17</f>
        <v/>
      </c>
    </row>
    <row r="18">
      <c r="A18" s="7" t="inlineStr">
        <is>
          <t>670.25</t>
        </is>
      </c>
      <c r="B18" s="7" t="inlineStr">
        <is>
          <t>REND. FCROS. NOMINA PENSIONADOS FONPET</t>
        </is>
      </c>
      <c r="C18" s="8">
        <f>SUMIF(INGRESOS!$R:$R,A18,INGRESOS!$L:$L)</f>
        <v/>
      </c>
      <c r="D18" s="8">
        <f>SUMIF(EGRESOS!$P:$P,A18,EGRESOS!$Y:$Y)</f>
        <v/>
      </c>
      <c r="E18" s="8">
        <f>C18-D18</f>
        <v/>
      </c>
      <c r="F18" s="8">
        <f>SUMIF(INGRESOS!$R:$R,A18,INGRESOS!$N:$N)</f>
        <v/>
      </c>
      <c r="G18" s="8">
        <f>SUMIF(EGRESOS!$P:$P,A18,EGRESOS!$AA:$AA)</f>
        <v/>
      </c>
      <c r="H18" s="8">
        <f>F18-G18</f>
        <v/>
      </c>
      <c r="I18" s="8">
        <f>SUMIF(EGRESOS!$P:$P,A18,EGRESOS!$AB:$AB)</f>
        <v/>
      </c>
      <c r="J18" s="8">
        <f>G18-I18</f>
        <v/>
      </c>
      <c r="K18" s="8">
        <f>SUMIF(EGRESOS!$P:$P,A18,EGRESOS!$AC:$AC)</f>
        <v/>
      </c>
      <c r="L18" s="8">
        <f>I18-K18</f>
        <v/>
      </c>
      <c r="M18" s="8">
        <f>H18+J18+L18</f>
        <v/>
      </c>
    </row>
    <row r="19">
      <c r="A19" s="7" t="inlineStr">
        <is>
          <t>71.0.1</t>
        </is>
      </c>
      <c r="B19" s="7" t="inlineStr">
        <is>
          <t>PARA EL PAGO DE OBLIGACIONES PENSIONALES CORRIENTES</t>
        </is>
      </c>
      <c r="C19" s="8">
        <f>SUMIF(INGRESOS!$R:$R,A19,INGRESOS!$L:$L)</f>
        <v/>
      </c>
      <c r="D19" s="8">
        <f>SUMIF(EGRESOS!$P:$P,A19,EGRESOS!$Y:$Y)</f>
        <v/>
      </c>
      <c r="E19" s="8">
        <f>C19-D19</f>
        <v/>
      </c>
      <c r="F19" s="8">
        <f>SUMIF(INGRESOS!$R:$R,A19,INGRESOS!$N:$N)</f>
        <v/>
      </c>
      <c r="G19" s="8">
        <f>SUMIF(EGRESOS!$P:$P,A19,EGRESOS!$AA:$AA)</f>
        <v/>
      </c>
      <c r="H19" s="8">
        <f>F19-G19</f>
        <v/>
      </c>
      <c r="I19" s="8">
        <f>SUMIF(EGRESOS!$P:$P,A19,EGRESOS!$AB:$AB)</f>
        <v/>
      </c>
      <c r="J19" s="8">
        <f>G19-I19</f>
        <v/>
      </c>
      <c r="K19" s="8">
        <f>SUMIF(EGRESOS!$P:$P,A19,EGRESOS!$AC:$AC)</f>
        <v/>
      </c>
      <c r="L19" s="8">
        <f>I19-K19</f>
        <v/>
      </c>
      <c r="M19" s="8">
        <f>H19+J19+L19</f>
        <v/>
      </c>
    </row>
    <row r="20">
      <c r="A20" s="7" t="inlineStr">
        <is>
          <t>410</t>
        </is>
      </c>
      <c r="B20" s="7" t="inlineStr">
        <is>
          <t>SGP PROPOSITO GENERAL FORZOSA INVERSION LIBRE INVERSIÓN SALDOS NO EJECUTADOS NI INCORPORADOS VIGENCIAS ANTERIORES Y REIN</t>
        </is>
      </c>
      <c r="C20" s="8">
        <f>SUMIF(INGRESOS!$R:$R,A20,INGRESOS!$L:$L)</f>
        <v/>
      </c>
      <c r="D20" s="8">
        <f>SUMIF(EGRESOS!$P:$P,A20,EGRESOS!$Y:$Y)</f>
        <v/>
      </c>
      <c r="E20" s="8">
        <f>C20-D20</f>
        <v/>
      </c>
      <c r="F20" s="8">
        <f>SUMIF(INGRESOS!$R:$R,A20,INGRESOS!$N:$N)</f>
        <v/>
      </c>
      <c r="G20" s="8">
        <f>SUMIF(EGRESOS!$P:$P,A20,EGRESOS!$AA:$AA)</f>
        <v/>
      </c>
      <c r="H20" s="8">
        <f>F20-G20</f>
        <v/>
      </c>
      <c r="I20" s="8">
        <f>SUMIF(EGRESOS!$P:$P,A20,EGRESOS!$AB:$AB)</f>
        <v/>
      </c>
      <c r="J20" s="8">
        <f>G20-I20</f>
        <v/>
      </c>
      <c r="K20" s="8">
        <f>SUMIF(EGRESOS!$P:$P,A20,EGRESOS!$AC:$AC)</f>
        <v/>
      </c>
      <c r="L20" s="8">
        <f>I20-K20</f>
        <v/>
      </c>
      <c r="M20" s="8">
        <f>H20+J20+L20</f>
        <v/>
      </c>
    </row>
    <row r="21">
      <c r="A21" s="7" t="inlineStr">
        <is>
          <t>153.2</t>
        </is>
      </c>
      <c r="B21" s="7" t="inlineStr">
        <is>
          <t>RF Estampilla Justicia Familiar</t>
        </is>
      </c>
      <c r="C21" s="8">
        <f>SUMIF(INGRESOS!$R:$R,A21,INGRESOS!$L:$L)</f>
        <v/>
      </c>
      <c r="D21" s="8">
        <f>SUMIF(EGRESOS!$P:$P,A21,EGRESOS!$Y:$Y)</f>
        <v/>
      </c>
      <c r="E21" s="8">
        <f>C21-D21</f>
        <v/>
      </c>
      <c r="F21" s="8">
        <f>SUMIF(INGRESOS!$R:$R,A21,INGRESOS!$N:$N)</f>
        <v/>
      </c>
      <c r="G21" s="8">
        <f>SUMIF(EGRESOS!$P:$P,A21,EGRESOS!$AA:$AA)</f>
        <v/>
      </c>
      <c r="H21" s="8">
        <f>F21-G21</f>
        <v/>
      </c>
      <c r="I21" s="8">
        <f>SUMIF(EGRESOS!$P:$P,A21,EGRESOS!$AB:$AB)</f>
        <v/>
      </c>
      <c r="J21" s="8">
        <f>G21-I21</f>
        <v/>
      </c>
      <c r="K21" s="8">
        <f>SUMIF(EGRESOS!$P:$P,A21,EGRESOS!$AC:$AC)</f>
        <v/>
      </c>
      <c r="L21" s="8">
        <f>I21-K21</f>
        <v/>
      </c>
      <c r="M21" s="8">
        <f>H21+J21+L21</f>
        <v/>
      </c>
    </row>
    <row r="22">
      <c r="A22" s="7" t="inlineStr">
        <is>
          <t>360.1</t>
        </is>
      </c>
      <c r="B22" s="7" t="inlineStr">
        <is>
          <t>SGP LIBRE DESTINACION BALANCE</t>
        </is>
      </c>
      <c r="C22" s="8">
        <f>SUMIF(INGRESOS!$R:$R,A22,INGRESOS!$L:$L)</f>
        <v/>
      </c>
      <c r="D22" s="8">
        <f>SUMIF(EGRESOS!$P:$P,A22,EGRESOS!$Y:$Y)</f>
        <v/>
      </c>
      <c r="E22" s="8">
        <f>C22-D22</f>
        <v/>
      </c>
      <c r="F22" s="8">
        <f>SUMIF(INGRESOS!$R:$R,A22,INGRESOS!$N:$N)</f>
        <v/>
      </c>
      <c r="G22" s="8">
        <f>SUMIF(EGRESOS!$P:$P,A22,EGRESOS!$AA:$AA)</f>
        <v/>
      </c>
      <c r="H22" s="8">
        <f>F22-G22</f>
        <v/>
      </c>
      <c r="I22" s="8">
        <f>SUMIF(EGRESOS!$P:$P,A22,EGRESOS!$AB:$AB)</f>
        <v/>
      </c>
      <c r="J22" s="8">
        <f>G22-I22</f>
        <v/>
      </c>
      <c r="K22" s="8">
        <f>SUMIF(EGRESOS!$P:$P,A22,EGRESOS!$AC:$AC)</f>
        <v/>
      </c>
      <c r="L22" s="8">
        <f>I22-K22</f>
        <v/>
      </c>
      <c r="M22" s="8">
        <f>H22+J22+L22</f>
        <v/>
      </c>
    </row>
    <row r="23">
      <c r="A23" s="7" t="inlineStr">
        <is>
          <t>153.1</t>
        </is>
      </c>
      <c r="B23" s="7" t="inlineStr">
        <is>
          <t>RB ESTAMPILLA PARA LA JUSTICIA FAMILIAR</t>
        </is>
      </c>
      <c r="C23" s="8">
        <f>SUMIF(INGRESOS!$R:$R,A23,INGRESOS!$L:$L)</f>
        <v/>
      </c>
      <c r="D23" s="8">
        <f>SUMIF(EGRESOS!$P:$P,A23,EGRESOS!$Y:$Y)</f>
        <v/>
      </c>
      <c r="E23" s="8">
        <f>C23-D23</f>
        <v/>
      </c>
      <c r="F23" s="8">
        <f>SUMIF(INGRESOS!$R:$R,A23,INGRESOS!$N:$N)</f>
        <v/>
      </c>
      <c r="G23" s="8">
        <f>SUMIF(EGRESOS!$P:$P,A23,EGRESOS!$AA:$AA)</f>
        <v/>
      </c>
      <c r="H23" s="8">
        <f>F23-G23</f>
        <v/>
      </c>
      <c r="I23" s="8">
        <f>SUMIF(EGRESOS!$P:$P,A23,EGRESOS!$AB:$AB)</f>
        <v/>
      </c>
      <c r="J23" s="8">
        <f>G23-I23</f>
        <v/>
      </c>
      <c r="K23" s="8">
        <f>SUMIF(EGRESOS!$P:$P,A23,EGRESOS!$AC:$AC)</f>
        <v/>
      </c>
      <c r="L23" s="8">
        <f>I23-K23</f>
        <v/>
      </c>
      <c r="M23" s="8">
        <f>H23+J23+L23</f>
        <v/>
      </c>
    </row>
    <row r="24">
      <c r="A24" s="7" t="inlineStr">
        <is>
          <t>670.20</t>
        </is>
      </c>
      <c r="B24" s="7" t="inlineStr">
        <is>
          <t>REND. FCROS. COMPRA DE AREAS ESTRATEGICAS</t>
        </is>
      </c>
      <c r="C24" s="8">
        <f>SUMIF(INGRESOS!$R:$R,A24,INGRESOS!$L:$L)</f>
        <v/>
      </c>
      <c r="D24" s="8">
        <f>SUMIF(EGRESOS!$P:$P,A24,EGRESOS!$Y:$Y)</f>
        <v/>
      </c>
      <c r="E24" s="8">
        <f>C24-D24</f>
        <v/>
      </c>
      <c r="F24" s="8">
        <f>SUMIF(INGRESOS!$R:$R,A24,INGRESOS!$N:$N)</f>
        <v/>
      </c>
      <c r="G24" s="8">
        <f>SUMIF(EGRESOS!$P:$P,A24,EGRESOS!$AA:$AA)</f>
        <v/>
      </c>
      <c r="H24" s="8">
        <f>F24-G24</f>
        <v/>
      </c>
      <c r="I24" s="8">
        <f>SUMIF(EGRESOS!$P:$P,A24,EGRESOS!$AB:$AB)</f>
        <v/>
      </c>
      <c r="J24" s="8">
        <f>G24-I24</f>
        <v/>
      </c>
      <c r="K24" s="8">
        <f>SUMIF(EGRESOS!$P:$P,A24,EGRESOS!$AC:$AC)</f>
        <v/>
      </c>
      <c r="L24" s="8">
        <f>I24-K24</f>
        <v/>
      </c>
      <c r="M24" s="8">
        <f>H24+J24+L24</f>
        <v/>
      </c>
    </row>
    <row r="25">
      <c r="A25" s="7" t="inlineStr">
        <is>
          <t>100.1</t>
        </is>
      </c>
      <c r="B25" s="7" t="inlineStr">
        <is>
          <t>RECURSOS PROPIOS RB</t>
        </is>
      </c>
      <c r="C25" s="8">
        <f>SUMIF(INGRESOS!$R:$R,A25,INGRESOS!$L:$L)</f>
        <v/>
      </c>
      <c r="D25" s="8">
        <f>SUMIF(EGRESOS!$P:$P,A25,EGRESOS!$Y:$Y)</f>
        <v/>
      </c>
      <c r="E25" s="8">
        <f>C25-D25</f>
        <v/>
      </c>
      <c r="F25" s="8">
        <f>SUMIF(INGRESOS!$R:$R,A25,INGRESOS!$N:$N)</f>
        <v/>
      </c>
      <c r="G25" s="8">
        <f>SUMIF(EGRESOS!$P:$P,A25,EGRESOS!$AA:$AA)</f>
        <v/>
      </c>
      <c r="H25" s="8">
        <f>F25-G25</f>
        <v/>
      </c>
      <c r="I25" s="8">
        <f>SUMIF(EGRESOS!$P:$P,A25,EGRESOS!$AB:$AB)</f>
        <v/>
      </c>
      <c r="J25" s="8">
        <f>G25-I25</f>
        <v/>
      </c>
      <c r="K25" s="8">
        <f>SUMIF(EGRESOS!$P:$P,A25,EGRESOS!$AC:$AC)</f>
        <v/>
      </c>
      <c r="L25" s="8">
        <f>I25-K25</f>
        <v/>
      </c>
      <c r="M25" s="8">
        <f>H25+J25+L25</f>
        <v/>
      </c>
    </row>
    <row r="26">
      <c r="A26" s="7" t="inlineStr">
        <is>
          <t>670.20.1</t>
        </is>
      </c>
      <c r="B26" s="7" t="inlineStr">
        <is>
          <t>REND. FCROS. COMPRA DE AREAS ESTRATEGICAS RB</t>
        </is>
      </c>
      <c r="C26" s="8">
        <f>SUMIF(INGRESOS!$R:$R,A26,INGRESOS!$L:$L)</f>
        <v/>
      </c>
      <c r="D26" s="8">
        <f>SUMIF(EGRESOS!$P:$P,A26,EGRESOS!$Y:$Y)</f>
        <v/>
      </c>
      <c r="E26" s="8">
        <f>C26-D26</f>
        <v/>
      </c>
      <c r="F26" s="8">
        <f>SUMIF(INGRESOS!$R:$R,A26,INGRESOS!$N:$N)</f>
        <v/>
      </c>
      <c r="G26" s="8">
        <f>SUMIF(EGRESOS!$P:$P,A26,EGRESOS!$AA:$AA)</f>
        <v/>
      </c>
      <c r="H26" s="8">
        <f>F26-G26</f>
        <v/>
      </c>
      <c r="I26" s="8">
        <f>SUMIF(EGRESOS!$P:$P,A26,EGRESOS!$AB:$AB)</f>
        <v/>
      </c>
      <c r="J26" s="8">
        <f>G26-I26</f>
        <v/>
      </c>
      <c r="K26" s="8">
        <f>SUMIF(EGRESOS!$P:$P,A26,EGRESOS!$AC:$AC)</f>
        <v/>
      </c>
      <c r="L26" s="8">
        <f>I26-K26</f>
        <v/>
      </c>
      <c r="M26" s="8">
        <f>H26+J26+L26</f>
        <v/>
      </c>
    </row>
    <row r="27">
      <c r="A27" s="7" t="inlineStr">
        <is>
          <t>130</t>
        </is>
      </c>
      <c r="B27" s="7" t="inlineStr">
        <is>
          <t>SGP ALIMENTACION ESCOLAR ONCE DOCEAVAS VIGENCIA ACTUAL MAS ULTIMA DOCEAVA VIGENCIA ANTERIOR</t>
        </is>
      </c>
      <c r="C27" s="8">
        <f>SUMIF(INGRESOS!$R:$R,A27,INGRESOS!$L:$L)</f>
        <v/>
      </c>
      <c r="D27" s="8">
        <f>SUMIF(EGRESOS!$P:$P,A27,EGRESOS!$Y:$Y)</f>
        <v/>
      </c>
      <c r="E27" s="8">
        <f>C27-D27</f>
        <v/>
      </c>
      <c r="F27" s="8">
        <f>SUMIF(INGRESOS!$R:$R,A27,INGRESOS!$N:$N)</f>
        <v/>
      </c>
      <c r="G27" s="8">
        <f>SUMIF(EGRESOS!$P:$P,A27,EGRESOS!$AA:$AA)</f>
        <v/>
      </c>
      <c r="H27" s="8">
        <f>F27-G27</f>
        <v/>
      </c>
      <c r="I27" s="8">
        <f>SUMIF(EGRESOS!$P:$P,A27,EGRESOS!$AB:$AB)</f>
        <v/>
      </c>
      <c r="J27" s="8">
        <f>G27-I27</f>
        <v/>
      </c>
      <c r="K27" s="8">
        <f>SUMIF(EGRESOS!$P:$P,A27,EGRESOS!$AC:$AC)</f>
        <v/>
      </c>
      <c r="L27" s="8">
        <f>I27-K27</f>
        <v/>
      </c>
      <c r="M27" s="8">
        <f>H27+J27+L27</f>
        <v/>
      </c>
    </row>
    <row r="28">
      <c r="A28" s="7" t="inlineStr">
        <is>
          <t>130.1</t>
        </is>
      </c>
      <c r="B28" s="7" t="inlineStr">
        <is>
          <t>RB SGP ALIMENTACION ESCOLAR</t>
        </is>
      </c>
      <c r="C28" s="8">
        <f>SUMIF(INGRESOS!$R:$R,A28,INGRESOS!$L:$L)</f>
        <v/>
      </c>
      <c r="D28" s="8">
        <f>SUMIF(EGRESOS!$P:$P,A28,EGRESOS!$Y:$Y)</f>
        <v/>
      </c>
      <c r="E28" s="8">
        <f>C28-D28</f>
        <v/>
      </c>
      <c r="F28" s="8">
        <f>SUMIF(INGRESOS!$R:$R,A28,INGRESOS!$N:$N)</f>
        <v/>
      </c>
      <c r="G28" s="8">
        <f>SUMIF(EGRESOS!$P:$P,A28,EGRESOS!$AA:$AA)</f>
        <v/>
      </c>
      <c r="H28" s="8">
        <f>F28-G28</f>
        <v/>
      </c>
      <c r="I28" s="8">
        <f>SUMIF(EGRESOS!$P:$P,A28,EGRESOS!$AB:$AB)</f>
        <v/>
      </c>
      <c r="J28" s="8">
        <f>G28-I28</f>
        <v/>
      </c>
      <c r="K28" s="8">
        <f>SUMIF(EGRESOS!$P:$P,A28,EGRESOS!$AC:$AC)</f>
        <v/>
      </c>
      <c r="L28" s="8">
        <f>I28-K28</f>
        <v/>
      </c>
      <c r="M28" s="8">
        <f>H28+J28+L28</f>
        <v/>
      </c>
    </row>
    <row r="29">
      <c r="A29" s="7" t="inlineStr">
        <is>
          <t>230.1</t>
        </is>
      </c>
      <c r="B29" s="7" t="inlineStr">
        <is>
          <t>RB SGP EDUCACION CALIDAD</t>
        </is>
      </c>
      <c r="C29" s="8">
        <f>SUMIF(INGRESOS!$R:$R,A29,INGRESOS!$L:$L)</f>
        <v/>
      </c>
      <c r="D29" s="8">
        <f>SUMIF(EGRESOS!$P:$P,A29,EGRESOS!$Y:$Y)</f>
        <v/>
      </c>
      <c r="E29" s="8">
        <f>C29-D29</f>
        <v/>
      </c>
      <c r="F29" s="8">
        <f>SUMIF(INGRESOS!$R:$R,A29,INGRESOS!$N:$N)</f>
        <v/>
      </c>
      <c r="G29" s="8">
        <f>SUMIF(EGRESOS!$P:$P,A29,EGRESOS!$AA:$AA)</f>
        <v/>
      </c>
      <c r="H29" s="8">
        <f>F29-G29</f>
        <v/>
      </c>
      <c r="I29" s="8">
        <f>SUMIF(EGRESOS!$P:$P,A29,EGRESOS!$AB:$AB)</f>
        <v/>
      </c>
      <c r="J29" s="8">
        <f>G29-I29</f>
        <v/>
      </c>
      <c r="K29" s="8">
        <f>SUMIF(EGRESOS!$P:$P,A29,EGRESOS!$AC:$AC)</f>
        <v/>
      </c>
      <c r="L29" s="8">
        <f>I29-K29</f>
        <v/>
      </c>
      <c r="M29" s="8">
        <f>H29+J29+L29</f>
        <v/>
      </c>
    </row>
    <row r="30">
      <c r="A30" s="7" t="inlineStr">
        <is>
          <t>240.1</t>
        </is>
      </c>
      <c r="B30" s="7" t="inlineStr">
        <is>
          <t>SGP EDUCACION RENDIMIENTOS FINANCIEROS RB</t>
        </is>
      </c>
      <c r="C30" s="8">
        <f>SUMIF(INGRESOS!$R:$R,A30,INGRESOS!$L:$L)</f>
        <v/>
      </c>
      <c r="D30" s="8">
        <f>SUMIF(EGRESOS!$P:$P,A30,EGRESOS!$Y:$Y)</f>
        <v/>
      </c>
      <c r="E30" s="8">
        <f>C30-D30</f>
        <v/>
      </c>
      <c r="F30" s="8">
        <f>SUMIF(INGRESOS!$R:$R,A30,INGRESOS!$N:$N)</f>
        <v/>
      </c>
      <c r="G30" s="8">
        <f>SUMIF(EGRESOS!$P:$P,A30,EGRESOS!$AA:$AA)</f>
        <v/>
      </c>
      <c r="H30" s="8">
        <f>F30-G30</f>
        <v/>
      </c>
      <c r="I30" s="8">
        <f>SUMIF(EGRESOS!$P:$P,A30,EGRESOS!$AB:$AB)</f>
        <v/>
      </c>
      <c r="J30" s="8">
        <f>G30-I30</f>
        <v/>
      </c>
      <c r="K30" s="8">
        <f>SUMIF(EGRESOS!$P:$P,A30,EGRESOS!$AC:$AC)</f>
        <v/>
      </c>
      <c r="L30" s="8">
        <f>I30-K30</f>
        <v/>
      </c>
      <c r="M30" s="8">
        <f>H30+J30+L30</f>
        <v/>
      </c>
    </row>
    <row r="31">
      <c r="A31" s="7" t="inlineStr">
        <is>
          <t>430</t>
        </is>
      </c>
      <c r="B31" s="7" t="inlineStr">
        <is>
          <t>SGP PROPOSITO GENERAL RENDIMIENTOS FINANCIEROS</t>
        </is>
      </c>
      <c r="C31" s="8">
        <f>SUMIF(INGRESOS!$R:$R,A31,INGRESOS!$L:$L)</f>
        <v/>
      </c>
      <c r="D31" s="8">
        <f>SUMIF(EGRESOS!$P:$P,A31,EGRESOS!$Y:$Y)</f>
        <v/>
      </c>
      <c r="E31" s="8">
        <f>C31-D31</f>
        <v/>
      </c>
      <c r="F31" s="8">
        <f>SUMIF(INGRESOS!$R:$R,A31,INGRESOS!$N:$N)</f>
        <v/>
      </c>
      <c r="G31" s="8">
        <f>SUMIF(EGRESOS!$P:$P,A31,EGRESOS!$AA:$AA)</f>
        <v/>
      </c>
      <c r="H31" s="8">
        <f>F31-G31</f>
        <v/>
      </c>
      <c r="I31" s="8">
        <f>SUMIF(EGRESOS!$P:$P,A31,EGRESOS!$AB:$AB)</f>
        <v/>
      </c>
      <c r="J31" s="8">
        <f>G31-I31</f>
        <v/>
      </c>
      <c r="K31" s="8">
        <f>SUMIF(EGRESOS!$P:$P,A31,EGRESOS!$AC:$AC)</f>
        <v/>
      </c>
      <c r="L31" s="8">
        <f>I31-K31</f>
        <v/>
      </c>
      <c r="M31" s="8">
        <f>H31+J31+L31</f>
        <v/>
      </c>
    </row>
    <row r="32">
      <c r="A32" s="7" t="inlineStr">
        <is>
          <t>670.24</t>
        </is>
      </c>
      <c r="B32" s="7" t="inlineStr">
        <is>
          <t>REND. FCROS. LIBRE INVERSION</t>
        </is>
      </c>
      <c r="C32" s="8">
        <f>SUMIF(INGRESOS!$R:$R,A32,INGRESOS!$L:$L)</f>
        <v/>
      </c>
      <c r="D32" s="8">
        <f>SUMIF(EGRESOS!$P:$P,A32,EGRESOS!$Y:$Y)</f>
        <v/>
      </c>
      <c r="E32" s="8">
        <f>C32-D32</f>
        <v/>
      </c>
      <c r="F32" s="8">
        <f>SUMIF(INGRESOS!$R:$R,A32,INGRESOS!$N:$N)</f>
        <v/>
      </c>
      <c r="G32" s="8">
        <f>SUMIF(EGRESOS!$P:$P,A32,EGRESOS!$AA:$AA)</f>
        <v/>
      </c>
      <c r="H32" s="8">
        <f>F32-G32</f>
        <v/>
      </c>
      <c r="I32" s="8">
        <f>SUMIF(EGRESOS!$P:$P,A32,EGRESOS!$AB:$AB)</f>
        <v/>
      </c>
      <c r="J32" s="8">
        <f>G32-I32</f>
        <v/>
      </c>
      <c r="K32" s="8">
        <f>SUMIF(EGRESOS!$P:$P,A32,EGRESOS!$AC:$AC)</f>
        <v/>
      </c>
      <c r="L32" s="8">
        <f>I32-K32</f>
        <v/>
      </c>
      <c r="M32" s="8">
        <f>H32+J32+L32</f>
        <v/>
      </c>
    </row>
    <row r="33">
      <c r="A33" s="7" t="inlineStr">
        <is>
          <t>670.23</t>
        </is>
      </c>
      <c r="B33" s="7" t="inlineStr">
        <is>
          <t>REND. FCROS. PG DESAHORRO FONPET</t>
        </is>
      </c>
      <c r="C33" s="8">
        <f>SUMIF(INGRESOS!$R:$R,A33,INGRESOS!$L:$L)</f>
        <v/>
      </c>
      <c r="D33" s="8">
        <f>SUMIF(EGRESOS!$P:$P,A33,EGRESOS!$Y:$Y)</f>
        <v/>
      </c>
      <c r="E33" s="8">
        <f>C33-D33</f>
        <v/>
      </c>
      <c r="F33" s="8">
        <f>SUMIF(INGRESOS!$R:$R,A33,INGRESOS!$N:$N)</f>
        <v/>
      </c>
      <c r="G33" s="8">
        <f>SUMIF(EGRESOS!$P:$P,A33,EGRESOS!$AA:$AA)</f>
        <v/>
      </c>
      <c r="H33" s="8">
        <f>F33-G33</f>
        <v/>
      </c>
      <c r="I33" s="8">
        <f>SUMIF(EGRESOS!$P:$P,A33,EGRESOS!$AB:$AB)</f>
        <v/>
      </c>
      <c r="J33" s="8">
        <f>G33-I33</f>
        <v/>
      </c>
      <c r="K33" s="8">
        <f>SUMIF(EGRESOS!$P:$P,A33,EGRESOS!$AC:$AC)</f>
        <v/>
      </c>
      <c r="L33" s="8">
        <f>I33-K33</f>
        <v/>
      </c>
      <c r="M33" s="8">
        <f>H33+J33+L33</f>
        <v/>
      </c>
    </row>
    <row r="34">
      <c r="A34" s="7" t="inlineStr">
        <is>
          <t>510.1</t>
        </is>
      </c>
      <c r="B34" s="7" t="inlineStr">
        <is>
          <t>COF DPTAL</t>
        </is>
      </c>
      <c r="C34" s="8">
        <f>SUMIF(INGRESOS!$R:$R,A34,INGRESOS!$L:$L)</f>
        <v/>
      </c>
      <c r="D34" s="8">
        <f>SUMIF(EGRESOS!$P:$P,A34,EGRESOS!$Y:$Y)</f>
        <v/>
      </c>
      <c r="E34" s="8">
        <f>C34-D34</f>
        <v/>
      </c>
      <c r="F34" s="8">
        <f>SUMIF(INGRESOS!$R:$R,A34,INGRESOS!$N:$N)</f>
        <v/>
      </c>
      <c r="G34" s="8">
        <f>SUMIF(EGRESOS!$P:$P,A34,EGRESOS!$AA:$AA)</f>
        <v/>
      </c>
      <c r="H34" s="8">
        <f>F34-G34</f>
        <v/>
      </c>
      <c r="I34" s="8">
        <f>SUMIF(EGRESOS!$P:$P,A34,EGRESOS!$AB:$AB)</f>
        <v/>
      </c>
      <c r="J34" s="8">
        <f>G34-I34</f>
        <v/>
      </c>
      <c r="K34" s="8">
        <f>SUMIF(EGRESOS!$P:$P,A34,EGRESOS!$AC:$AC)</f>
        <v/>
      </c>
      <c r="L34" s="8">
        <f>I34-K34</f>
        <v/>
      </c>
      <c r="M34" s="8">
        <f>H34+J34+L34</f>
        <v/>
      </c>
    </row>
    <row r="35">
      <c r="A35" s="7" t="inlineStr">
        <is>
          <t>290</t>
        </is>
      </c>
      <c r="B35" s="7" t="inlineStr">
        <is>
          <t>SGP AGUA POTABLE Y SANEAMIENTO BASICO - ONCE DOCEAVAS VIGENCIA ACTUAL MAS ULTIMA DOCEAVA VIGENCIA ANTERIOR</t>
        </is>
      </c>
      <c r="C35" s="8">
        <f>SUMIF(INGRESOS!$R:$R,A35,INGRESOS!$L:$L)</f>
        <v/>
      </c>
      <c r="D35" s="8">
        <f>SUMIF(EGRESOS!$P:$P,A35,EGRESOS!$Y:$Y)</f>
        <v/>
      </c>
      <c r="E35" s="8">
        <f>C35-D35</f>
        <v/>
      </c>
      <c r="F35" s="8">
        <f>SUMIF(INGRESOS!$R:$R,A35,INGRESOS!$N:$N)</f>
        <v/>
      </c>
      <c r="G35" s="8">
        <f>SUMIF(EGRESOS!$P:$P,A35,EGRESOS!$AA:$AA)</f>
        <v/>
      </c>
      <c r="H35" s="8">
        <f>F35-G35</f>
        <v/>
      </c>
      <c r="I35" s="8">
        <f>SUMIF(EGRESOS!$P:$P,A35,EGRESOS!$AB:$AB)</f>
        <v/>
      </c>
      <c r="J35" s="8">
        <f>G35-I35</f>
        <v/>
      </c>
      <c r="K35" s="8">
        <f>SUMIF(EGRESOS!$P:$P,A35,EGRESOS!$AC:$AC)</f>
        <v/>
      </c>
      <c r="L35" s="8">
        <f>I35-K35</f>
        <v/>
      </c>
      <c r="M35" s="8">
        <f>H35+J35+L35</f>
        <v/>
      </c>
    </row>
    <row r="36">
      <c r="A36" s="7" t="inlineStr">
        <is>
          <t>300</t>
        </is>
      </c>
      <c r="B36" s="7" t="inlineStr">
        <is>
          <t>SGP AGUA POTABLE Y SANEAMIENTO BASICO - RENDIMIENTOS FINANCIEROS</t>
        </is>
      </c>
      <c r="C36" s="8">
        <f>SUMIF(INGRESOS!$R:$R,A36,INGRESOS!$L:$L)</f>
        <v/>
      </c>
      <c r="D36" s="8">
        <f>SUMIF(EGRESOS!$P:$P,A36,EGRESOS!$Y:$Y)</f>
        <v/>
      </c>
      <c r="E36" s="8">
        <f>C36-D36</f>
        <v/>
      </c>
      <c r="F36" s="8">
        <f>SUMIF(INGRESOS!$R:$R,A36,INGRESOS!$N:$N)</f>
        <v/>
      </c>
      <c r="G36" s="8">
        <f>SUMIF(EGRESOS!$P:$P,A36,EGRESOS!$AA:$AA)</f>
        <v/>
      </c>
      <c r="H36" s="8">
        <f>F36-G36</f>
        <v/>
      </c>
      <c r="I36" s="8">
        <f>SUMIF(EGRESOS!$P:$P,A36,EGRESOS!$AB:$AB)</f>
        <v/>
      </c>
      <c r="J36" s="8">
        <f>G36-I36</f>
        <v/>
      </c>
      <c r="K36" s="8">
        <f>SUMIF(EGRESOS!$P:$P,A36,EGRESOS!$AC:$AC)</f>
        <v/>
      </c>
      <c r="L36" s="8">
        <f>I36-K36</f>
        <v/>
      </c>
      <c r="M36" s="8">
        <f>H36+J36+L36</f>
        <v/>
      </c>
    </row>
    <row r="37">
      <c r="A37" s="7" t="inlineStr">
        <is>
          <t>280</t>
        </is>
      </c>
      <c r="B37" s="7" t="inlineStr">
        <is>
          <t>SGP AGUA POTABLE Y SANEAMIENTO BASICO - SALDOS NO EJECUTADOS VIGENCIAS ANTERIORES Y REINTEGROS</t>
        </is>
      </c>
      <c r="C37" s="8">
        <f>SUMIF(INGRESOS!$R:$R,A37,INGRESOS!$L:$L)</f>
        <v/>
      </c>
      <c r="D37" s="8">
        <f>SUMIF(EGRESOS!$P:$P,A37,EGRESOS!$Y:$Y)</f>
        <v/>
      </c>
      <c r="E37" s="8">
        <f>C37-D37</f>
        <v/>
      </c>
      <c r="F37" s="8">
        <f>SUMIF(INGRESOS!$R:$R,A37,INGRESOS!$N:$N)</f>
        <v/>
      </c>
      <c r="G37" s="8">
        <f>SUMIF(EGRESOS!$P:$P,A37,EGRESOS!$AA:$AA)</f>
        <v/>
      </c>
      <c r="H37" s="8">
        <f>F37-G37</f>
        <v/>
      </c>
      <c r="I37" s="8">
        <f>SUMIF(EGRESOS!$P:$P,A37,EGRESOS!$AB:$AB)</f>
        <v/>
      </c>
      <c r="J37" s="8">
        <f>G37-I37</f>
        <v/>
      </c>
      <c r="K37" s="8">
        <f>SUMIF(EGRESOS!$P:$P,A37,EGRESOS!$AC:$AC)</f>
        <v/>
      </c>
      <c r="L37" s="8">
        <f>I37-K37</f>
        <v/>
      </c>
      <c r="M37" s="8">
        <f>H37+J37+L37</f>
        <v/>
      </c>
    </row>
    <row r="38">
      <c r="A38" s="7" t="inlineStr">
        <is>
          <t>300.1</t>
        </is>
      </c>
      <c r="B38" s="7" t="inlineStr">
        <is>
          <t>SGP APSB - RENDIMIENTOS FINANCIEROS RB</t>
        </is>
      </c>
      <c r="C38" s="8">
        <f>SUMIF(INGRESOS!$R:$R,A38,INGRESOS!$L:$L)</f>
        <v/>
      </c>
      <c r="D38" s="8">
        <f>SUMIF(EGRESOS!$P:$P,A38,EGRESOS!$Y:$Y)</f>
        <v/>
      </c>
      <c r="E38" s="8">
        <f>C38-D38</f>
        <v/>
      </c>
      <c r="F38" s="8">
        <f>SUMIF(INGRESOS!$R:$R,A38,INGRESOS!$N:$N)</f>
        <v/>
      </c>
      <c r="G38" s="8">
        <f>SUMIF(EGRESOS!$P:$P,A38,EGRESOS!$AA:$AA)</f>
        <v/>
      </c>
      <c r="H38" s="8">
        <f>F38-G38</f>
        <v/>
      </c>
      <c r="I38" s="8">
        <f>SUMIF(EGRESOS!$P:$P,A38,EGRESOS!$AB:$AB)</f>
        <v/>
      </c>
      <c r="J38" s="8">
        <f>G38-I38</f>
        <v/>
      </c>
      <c r="K38" s="8">
        <f>SUMIF(EGRESOS!$P:$P,A38,EGRESOS!$AC:$AC)</f>
        <v/>
      </c>
      <c r="L38" s="8">
        <f>I38-K38</f>
        <v/>
      </c>
      <c r="M38" s="8">
        <f>H38+J38+L38</f>
        <v/>
      </c>
    </row>
    <row r="39">
      <c r="A39" s="7" t="inlineStr">
        <is>
          <t>670.17.1</t>
        </is>
      </c>
      <c r="B39" s="7" t="inlineStr">
        <is>
          <t>REND FCROS. DESEMBOLSO EMPRESTITO CIC RB</t>
        </is>
      </c>
      <c r="C39" s="8">
        <f>SUMIF(INGRESOS!$R:$R,A39,INGRESOS!$L:$L)</f>
        <v/>
      </c>
      <c r="D39" s="8">
        <f>SUMIF(EGRESOS!$P:$P,A39,EGRESOS!$Y:$Y)</f>
        <v/>
      </c>
      <c r="E39" s="8">
        <f>C39-D39</f>
        <v/>
      </c>
      <c r="F39" s="8">
        <f>SUMIF(INGRESOS!$R:$R,A39,INGRESOS!$N:$N)</f>
        <v/>
      </c>
      <c r="G39" s="8">
        <f>SUMIF(EGRESOS!$P:$P,A39,EGRESOS!$AA:$AA)</f>
        <v/>
      </c>
      <c r="H39" s="8">
        <f>F39-G39</f>
        <v/>
      </c>
      <c r="I39" s="8">
        <f>SUMIF(EGRESOS!$P:$P,A39,EGRESOS!$AB:$AB)</f>
        <v/>
      </c>
      <c r="J39" s="8">
        <f>G39-I39</f>
        <v/>
      </c>
      <c r="K39" s="8">
        <f>SUMIF(EGRESOS!$P:$P,A39,EGRESOS!$AC:$AC)</f>
        <v/>
      </c>
      <c r="L39" s="8">
        <f>I39-K39</f>
        <v/>
      </c>
      <c r="M39" s="8">
        <f>H39+J39+L39</f>
        <v/>
      </c>
    </row>
    <row r="40">
      <c r="A40" s="7" t="inlineStr">
        <is>
          <t>117</t>
        </is>
      </c>
      <c r="B40" s="7" t="inlineStr">
        <is>
          <t>TASA PRODEPORTE Y RECREACION</t>
        </is>
      </c>
      <c r="C40" s="8">
        <f>SUMIF(INGRESOS!$R:$R,A40,INGRESOS!$L:$L)</f>
        <v/>
      </c>
      <c r="D40" s="8">
        <f>SUMIF(EGRESOS!$P:$P,A40,EGRESOS!$Y:$Y)</f>
        <v/>
      </c>
      <c r="E40" s="8">
        <f>C40-D40</f>
        <v/>
      </c>
      <c r="F40" s="8">
        <f>SUMIF(INGRESOS!$R:$R,A40,INGRESOS!$N:$N)</f>
        <v/>
      </c>
      <c r="G40" s="8">
        <f>SUMIF(EGRESOS!$P:$P,A40,EGRESOS!$AA:$AA)</f>
        <v/>
      </c>
      <c r="H40" s="8">
        <f>F40-G40</f>
        <v/>
      </c>
      <c r="I40" s="8">
        <f>SUMIF(EGRESOS!$P:$P,A40,EGRESOS!$AB:$AB)</f>
        <v/>
      </c>
      <c r="J40" s="8">
        <f>G40-I40</f>
        <v/>
      </c>
      <c r="K40" s="8">
        <f>SUMIF(EGRESOS!$P:$P,A40,EGRESOS!$AC:$AC)</f>
        <v/>
      </c>
      <c r="L40" s="8">
        <f>I40-K40</f>
        <v/>
      </c>
      <c r="M40" s="8">
        <f>H40+J40+L40</f>
        <v/>
      </c>
    </row>
    <row r="41">
      <c r="A41" s="7" t="inlineStr">
        <is>
          <t>380</t>
        </is>
      </c>
      <c r="B41" s="7" t="inlineStr">
        <is>
          <t>SGP PROPOSITO GENERAL FORZOSA INVERSION DEPORTE SGP ONCE DOCEAVAS VIGENCIA ACTUAL MAS ULTIMA DOCEAVA VIGENCIA ANTERIOR</t>
        </is>
      </c>
      <c r="C41" s="8">
        <f>SUMIF(INGRESOS!$R:$R,A41,INGRESOS!$L:$L)</f>
        <v/>
      </c>
      <c r="D41" s="8">
        <f>SUMIF(EGRESOS!$P:$P,A41,EGRESOS!$Y:$Y)</f>
        <v/>
      </c>
      <c r="E41" s="8">
        <f>C41-D41</f>
        <v/>
      </c>
      <c r="F41" s="8">
        <f>SUMIF(INGRESOS!$R:$R,A41,INGRESOS!$N:$N)</f>
        <v/>
      </c>
      <c r="G41" s="8">
        <f>SUMIF(EGRESOS!$P:$P,A41,EGRESOS!$AA:$AA)</f>
        <v/>
      </c>
      <c r="H41" s="8">
        <f>F41-G41</f>
        <v/>
      </c>
      <c r="I41" s="8">
        <f>SUMIF(EGRESOS!$P:$P,A41,EGRESOS!$AB:$AB)</f>
        <v/>
      </c>
      <c r="J41" s="8">
        <f>G41-I41</f>
        <v/>
      </c>
      <c r="K41" s="8">
        <f>SUMIF(EGRESOS!$P:$P,A41,EGRESOS!$AC:$AC)</f>
        <v/>
      </c>
      <c r="L41" s="8">
        <f>I41-K41</f>
        <v/>
      </c>
      <c r="M41" s="8">
        <f>H41+J41+L41</f>
        <v/>
      </c>
    </row>
    <row r="42">
      <c r="A42" s="7" t="inlineStr">
        <is>
          <t>117.2</t>
        </is>
      </c>
      <c r="B42" s="7" t="inlineStr">
        <is>
          <t>RB RF TASA PRODEPORTE</t>
        </is>
      </c>
      <c r="C42" s="8">
        <f>SUMIF(INGRESOS!$R:$R,A42,INGRESOS!$L:$L)</f>
        <v/>
      </c>
      <c r="D42" s="8">
        <f>SUMIF(EGRESOS!$P:$P,A42,EGRESOS!$Y:$Y)</f>
        <v/>
      </c>
      <c r="E42" s="8">
        <f>C42-D42</f>
        <v/>
      </c>
      <c r="F42" s="8">
        <f>SUMIF(INGRESOS!$R:$R,A42,INGRESOS!$N:$N)</f>
        <v/>
      </c>
      <c r="G42" s="8">
        <f>SUMIF(EGRESOS!$P:$P,A42,EGRESOS!$AA:$AA)</f>
        <v/>
      </c>
      <c r="H42" s="8">
        <f>F42-G42</f>
        <v/>
      </c>
      <c r="I42" s="8">
        <f>SUMIF(EGRESOS!$P:$P,A42,EGRESOS!$AB:$AB)</f>
        <v/>
      </c>
      <c r="J42" s="8">
        <f>G42-I42</f>
        <v/>
      </c>
      <c r="K42" s="8">
        <f>SUMIF(EGRESOS!$P:$P,A42,EGRESOS!$AC:$AC)</f>
        <v/>
      </c>
      <c r="L42" s="8">
        <f>I42-K42</f>
        <v/>
      </c>
      <c r="M42" s="8">
        <f>H42+J42+L42</f>
        <v/>
      </c>
    </row>
    <row r="43">
      <c r="A43" s="7" t="inlineStr">
        <is>
          <t>370</t>
        </is>
      </c>
      <c r="B43" s="7" t="inlineStr">
        <is>
          <t>RB SGP DEPORTE SALDOS NO EJECUTADOS NI INCORPORADOS VIGENCIAS ANTERIORES Y REINTEGROS</t>
        </is>
      </c>
      <c r="C43" s="8">
        <f>SUMIF(INGRESOS!$R:$R,A43,INGRESOS!$L:$L)</f>
        <v/>
      </c>
      <c r="D43" s="8">
        <f>SUMIF(EGRESOS!$P:$P,A43,EGRESOS!$Y:$Y)</f>
        <v/>
      </c>
      <c r="E43" s="8">
        <f>C43-D43</f>
        <v/>
      </c>
      <c r="F43" s="8">
        <f>SUMIF(INGRESOS!$R:$R,A43,INGRESOS!$N:$N)</f>
        <v/>
      </c>
      <c r="G43" s="8">
        <f>SUMIF(EGRESOS!$P:$P,A43,EGRESOS!$AA:$AA)</f>
        <v/>
      </c>
      <c r="H43" s="8">
        <f>F43-G43</f>
        <v/>
      </c>
      <c r="I43" s="8">
        <f>SUMIF(EGRESOS!$P:$P,A43,EGRESOS!$AB:$AB)</f>
        <v/>
      </c>
      <c r="J43" s="8">
        <f>G43-I43</f>
        <v/>
      </c>
      <c r="K43" s="8">
        <f>SUMIF(EGRESOS!$P:$P,A43,EGRESOS!$AC:$AC)</f>
        <v/>
      </c>
      <c r="L43" s="8">
        <f>I43-K43</f>
        <v/>
      </c>
      <c r="M43" s="8">
        <f>H43+J43+L43</f>
        <v/>
      </c>
    </row>
    <row r="44">
      <c r="A44" s="7" t="inlineStr">
        <is>
          <t>117.1</t>
        </is>
      </c>
      <c r="B44" s="7" t="inlineStr">
        <is>
          <t>TASA PRODEPORTE RB</t>
        </is>
      </c>
      <c r="C44" s="8">
        <f>SUMIF(INGRESOS!$R:$R,A44,INGRESOS!$L:$L)</f>
        <v/>
      </c>
      <c r="D44" s="8">
        <f>SUMIF(EGRESOS!$P:$P,A44,EGRESOS!$Y:$Y)</f>
        <v/>
      </c>
      <c r="E44" s="8">
        <f>C44-D44</f>
        <v/>
      </c>
      <c r="F44" s="8">
        <f>SUMIF(INGRESOS!$R:$R,A44,INGRESOS!$N:$N)</f>
        <v/>
      </c>
      <c r="G44" s="8">
        <f>SUMIF(EGRESOS!$P:$P,A44,EGRESOS!$AA:$AA)</f>
        <v/>
      </c>
      <c r="H44" s="8">
        <f>F44-G44</f>
        <v/>
      </c>
      <c r="I44" s="8">
        <f>SUMIF(EGRESOS!$P:$P,A44,EGRESOS!$AB:$AB)</f>
        <v/>
      </c>
      <c r="J44" s="8">
        <f>G44-I44</f>
        <v/>
      </c>
      <c r="K44" s="8">
        <f>SUMIF(EGRESOS!$P:$P,A44,EGRESOS!$AC:$AC)</f>
        <v/>
      </c>
      <c r="L44" s="8">
        <f>I44-K44</f>
        <v/>
      </c>
      <c r="M44" s="8">
        <f>H44+J44+L44</f>
        <v/>
      </c>
    </row>
    <row r="45">
      <c r="A45" s="7" t="inlineStr">
        <is>
          <t>230</t>
        </is>
      </c>
      <c r="B45" s="7" t="inlineStr">
        <is>
          <t>SGP EDUCACION CALIDAD DOCE DOCEAVAS VIGENCIA ACTUAL</t>
        </is>
      </c>
      <c r="C45" s="8">
        <f>SUMIF(INGRESOS!$R:$R,A45,INGRESOS!$L:$L)</f>
        <v/>
      </c>
      <c r="D45" s="8">
        <f>SUMIF(EGRESOS!$P:$P,A45,EGRESOS!$Y:$Y)</f>
        <v/>
      </c>
      <c r="E45" s="8">
        <f>C45-D45</f>
        <v/>
      </c>
      <c r="F45" s="8">
        <f>SUMIF(INGRESOS!$R:$R,A45,INGRESOS!$N:$N)</f>
        <v/>
      </c>
      <c r="G45" s="8">
        <f>SUMIF(EGRESOS!$P:$P,A45,EGRESOS!$AA:$AA)</f>
        <v/>
      </c>
      <c r="H45" s="8">
        <f>F45-G45</f>
        <v/>
      </c>
      <c r="I45" s="8">
        <f>SUMIF(EGRESOS!$P:$P,A45,EGRESOS!$AB:$AB)</f>
        <v/>
      </c>
      <c r="J45" s="8">
        <f>G45-I45</f>
        <v/>
      </c>
      <c r="K45" s="8">
        <f>SUMIF(EGRESOS!$P:$P,A45,EGRESOS!$AC:$AC)</f>
        <v/>
      </c>
      <c r="L45" s="8">
        <f>I45-K45</f>
        <v/>
      </c>
      <c r="M45" s="8">
        <f>H45+J45+L45</f>
        <v/>
      </c>
    </row>
    <row r="46">
      <c r="A46" s="7" t="inlineStr">
        <is>
          <t>140</t>
        </is>
      </c>
      <c r="B46" s="7" t="inlineStr">
        <is>
          <t>SGP ALIMENTACION ESCOLAR RENDIMIENTOS FINANCIEROS</t>
        </is>
      </c>
      <c r="C46" s="8">
        <f>SUMIF(INGRESOS!$R:$R,A46,INGRESOS!$L:$L)</f>
        <v/>
      </c>
      <c r="D46" s="8">
        <f>SUMIF(EGRESOS!$P:$P,A46,EGRESOS!$Y:$Y)</f>
        <v/>
      </c>
      <c r="E46" s="8">
        <f>C46-D46</f>
        <v/>
      </c>
      <c r="F46" s="8">
        <f>SUMIF(INGRESOS!$R:$R,A46,INGRESOS!$N:$N)</f>
        <v/>
      </c>
      <c r="G46" s="8">
        <f>SUMIF(EGRESOS!$P:$P,A46,EGRESOS!$AA:$AA)</f>
        <v/>
      </c>
      <c r="H46" s="8">
        <f>F46-G46</f>
        <v/>
      </c>
      <c r="I46" s="8">
        <f>SUMIF(EGRESOS!$P:$P,A46,EGRESOS!$AB:$AB)</f>
        <v/>
      </c>
      <c r="J46" s="8">
        <f>G46-I46</f>
        <v/>
      </c>
      <c r="K46" s="8">
        <f>SUMIF(EGRESOS!$P:$P,A46,EGRESOS!$AC:$AC)</f>
        <v/>
      </c>
      <c r="L46" s="8">
        <f>I46-K46</f>
        <v/>
      </c>
      <c r="M46" s="8">
        <f>H46+J46+L46</f>
        <v/>
      </c>
    </row>
    <row r="47">
      <c r="A47" s="7" t="inlineStr">
        <is>
          <t>140.1</t>
        </is>
      </c>
      <c r="B47" s="7" t="inlineStr">
        <is>
          <t>BALANCE SGP ALIMENTACION ESCOLAR RENDIMIENTOS FINANCIEROS</t>
        </is>
      </c>
      <c r="C47" s="8">
        <f>SUMIF(INGRESOS!$R:$R,A47,INGRESOS!$L:$L)</f>
        <v/>
      </c>
      <c r="D47" s="8">
        <f>SUMIF(EGRESOS!$P:$P,A47,EGRESOS!$Y:$Y)</f>
        <v/>
      </c>
      <c r="E47" s="8">
        <f>C47-D47</f>
        <v/>
      </c>
      <c r="F47" s="8">
        <f>SUMIF(INGRESOS!$R:$R,A47,INGRESOS!$N:$N)</f>
        <v/>
      </c>
      <c r="G47" s="8">
        <f>SUMIF(EGRESOS!$P:$P,A47,EGRESOS!$AA:$AA)</f>
        <v/>
      </c>
      <c r="H47" s="8">
        <f>F47-G47</f>
        <v/>
      </c>
      <c r="I47" s="8">
        <f>SUMIF(EGRESOS!$P:$P,A47,EGRESOS!$AB:$AB)</f>
        <v/>
      </c>
      <c r="J47" s="8">
        <f>G47-I47</f>
        <v/>
      </c>
      <c r="K47" s="8">
        <f>SUMIF(EGRESOS!$P:$P,A47,EGRESOS!$AC:$AC)</f>
        <v/>
      </c>
      <c r="L47" s="8">
        <f>I47-K47</f>
        <v/>
      </c>
      <c r="M47" s="8">
        <f>H47+J47+L47</f>
        <v/>
      </c>
    </row>
    <row r="48">
      <c r="A48" s="7" t="inlineStr">
        <is>
          <t>670.19.1</t>
        </is>
      </c>
      <c r="B48" s="7" t="inlineStr">
        <is>
          <t>RB REND FCROS. TASA AL DEPORTE</t>
        </is>
      </c>
      <c r="C48" s="8">
        <f>SUMIF(INGRESOS!$R:$R,A48,INGRESOS!$L:$L)</f>
        <v/>
      </c>
      <c r="D48" s="8">
        <f>SUMIF(EGRESOS!$P:$P,A48,EGRESOS!$Y:$Y)</f>
        <v/>
      </c>
      <c r="E48" s="8">
        <f>C48-D48</f>
        <v/>
      </c>
      <c r="F48" s="8">
        <f>SUMIF(INGRESOS!$R:$R,A48,INGRESOS!$N:$N)</f>
        <v/>
      </c>
      <c r="G48" s="8">
        <f>SUMIF(EGRESOS!$P:$P,A48,EGRESOS!$AA:$AA)</f>
        <v/>
      </c>
      <c r="H48" s="8">
        <f>F48-G48</f>
        <v/>
      </c>
      <c r="I48" s="8">
        <f>SUMIF(EGRESOS!$P:$P,A48,EGRESOS!$AB:$AB)</f>
        <v/>
      </c>
      <c r="J48" s="8">
        <f>G48-I48</f>
        <v/>
      </c>
      <c r="K48" s="8">
        <f>SUMIF(EGRESOS!$P:$P,A48,EGRESOS!$AC:$AC)</f>
        <v/>
      </c>
      <c r="L48" s="8">
        <f>I48-K48</f>
        <v/>
      </c>
      <c r="M48" s="8">
        <f>H48+J48+L48</f>
        <v/>
      </c>
    </row>
    <row r="49">
      <c r="A49" s="7" t="inlineStr">
        <is>
          <t>690.</t>
        </is>
      </c>
      <c r="B49" s="7" t="inlineStr">
        <is>
          <t>CONCURSOS ECONOMICO DE ESTRATIFICACION</t>
        </is>
      </c>
      <c r="C49" s="8">
        <f>SUMIF(INGRESOS!$R:$R,A49,INGRESOS!$L:$L)</f>
        <v/>
      </c>
      <c r="D49" s="8">
        <f>SUMIF(EGRESOS!$P:$P,A49,EGRESOS!$Y:$Y)</f>
        <v/>
      </c>
      <c r="E49" s="8">
        <f>C49-D49</f>
        <v/>
      </c>
      <c r="F49" s="8">
        <f>SUMIF(INGRESOS!$R:$R,A49,INGRESOS!$N:$N)</f>
        <v/>
      </c>
      <c r="G49" s="8">
        <f>SUMIF(EGRESOS!$P:$P,A49,EGRESOS!$AA:$AA)</f>
        <v/>
      </c>
      <c r="H49" s="8">
        <f>F49-G49</f>
        <v/>
      </c>
      <c r="I49" s="8">
        <f>SUMIF(EGRESOS!$P:$P,A49,EGRESOS!$AB:$AB)</f>
        <v/>
      </c>
      <c r="J49" s="8">
        <f>G49-I49</f>
        <v/>
      </c>
      <c r="K49" s="8">
        <f>SUMIF(EGRESOS!$P:$P,A49,EGRESOS!$AC:$AC)</f>
        <v/>
      </c>
      <c r="L49" s="8">
        <f>I49-K49</f>
        <v/>
      </c>
      <c r="M49" s="8">
        <f>H49+J49+L49</f>
        <v/>
      </c>
    </row>
    <row r="50">
      <c r="A50" s="7" t="inlineStr">
        <is>
          <t>64.1.1</t>
        </is>
      </c>
      <c r="B50" s="7" t="inlineStr">
        <is>
          <t>CONVENIO COPORNOR RB</t>
        </is>
      </c>
      <c r="C50" s="8">
        <f>SUMIF(INGRESOS!$R:$R,A50,INGRESOS!$L:$L)</f>
        <v/>
      </c>
      <c r="D50" s="8">
        <f>SUMIF(EGRESOS!$P:$P,A50,EGRESOS!$Y:$Y)</f>
        <v/>
      </c>
      <c r="E50" s="8">
        <f>C50-D50</f>
        <v/>
      </c>
      <c r="F50" s="8">
        <f>SUMIF(INGRESOS!$R:$R,A50,INGRESOS!$N:$N)</f>
        <v/>
      </c>
      <c r="G50" s="8">
        <f>SUMIF(EGRESOS!$P:$P,A50,EGRESOS!$AA:$AA)</f>
        <v/>
      </c>
      <c r="H50" s="8">
        <f>F50-G50</f>
        <v/>
      </c>
      <c r="I50" s="8">
        <f>SUMIF(EGRESOS!$P:$P,A50,EGRESOS!$AB:$AB)</f>
        <v/>
      </c>
      <c r="J50" s="8">
        <f>G50-I50</f>
        <v/>
      </c>
      <c r="K50" s="8">
        <f>SUMIF(EGRESOS!$P:$P,A50,EGRESOS!$AC:$AC)</f>
        <v/>
      </c>
      <c r="L50" s="8">
        <f>I50-K50</f>
        <v/>
      </c>
      <c r="M50" s="8">
        <f>H50+J50+L50</f>
        <v/>
      </c>
    </row>
    <row r="51">
      <c r="A51" s="7" t="inlineStr">
        <is>
          <t>670.12.1</t>
        </is>
      </c>
      <c r="B51" s="7" t="inlineStr">
        <is>
          <t>REND. FCROS.BANCO DE SEMILLA UMATA L.I</t>
        </is>
      </c>
      <c r="C51" s="8">
        <f>SUMIF(INGRESOS!$R:$R,A51,INGRESOS!$L:$L)</f>
        <v/>
      </c>
      <c r="D51" s="8">
        <f>SUMIF(EGRESOS!$P:$P,A51,EGRESOS!$Y:$Y)</f>
        <v/>
      </c>
      <c r="E51" s="8">
        <f>C51-D51</f>
        <v/>
      </c>
      <c r="F51" s="8">
        <f>SUMIF(INGRESOS!$R:$R,A51,INGRESOS!$N:$N)</f>
        <v/>
      </c>
      <c r="G51" s="8">
        <f>SUMIF(EGRESOS!$P:$P,A51,EGRESOS!$AA:$AA)</f>
        <v/>
      </c>
      <c r="H51" s="8">
        <f>F51-G51</f>
        <v/>
      </c>
      <c r="I51" s="8">
        <f>SUMIF(EGRESOS!$P:$P,A51,EGRESOS!$AB:$AB)</f>
        <v/>
      </c>
      <c r="J51" s="8">
        <f>G51-I51</f>
        <v/>
      </c>
      <c r="K51" s="8">
        <f>SUMIF(EGRESOS!$P:$P,A51,EGRESOS!$AC:$AC)</f>
        <v/>
      </c>
      <c r="L51" s="8">
        <f>I51-K51</f>
        <v/>
      </c>
      <c r="M51" s="8">
        <f>H51+J51+L51</f>
        <v/>
      </c>
    </row>
    <row r="52">
      <c r="A52" s="7" t="inlineStr">
        <is>
          <t>115</t>
        </is>
      </c>
      <c r="B52" s="7" t="inlineStr">
        <is>
          <t>ALUMBRADO PUBLICO SSF</t>
        </is>
      </c>
      <c r="C52" s="8">
        <f>SUMIF(INGRESOS!$R:$R,A52,INGRESOS!$L:$L)</f>
        <v/>
      </c>
      <c r="D52" s="8">
        <f>SUMIF(EGRESOS!$P:$P,A52,EGRESOS!$Y:$Y)</f>
        <v/>
      </c>
      <c r="E52" s="8">
        <f>C52-D52</f>
        <v/>
      </c>
      <c r="F52" s="8">
        <f>SUMIF(INGRESOS!$R:$R,A52,INGRESOS!$N:$N)</f>
        <v/>
      </c>
      <c r="G52" s="8">
        <f>SUMIF(EGRESOS!$P:$P,A52,EGRESOS!$AA:$AA)</f>
        <v/>
      </c>
      <c r="H52" s="8">
        <f>F52-G52</f>
        <v/>
      </c>
      <c r="I52" s="8">
        <f>SUMIF(EGRESOS!$P:$P,A52,EGRESOS!$AB:$AB)</f>
        <v/>
      </c>
      <c r="J52" s="8">
        <f>G52-I52</f>
        <v/>
      </c>
      <c r="K52" s="8">
        <f>SUMIF(EGRESOS!$P:$P,A52,EGRESOS!$AC:$AC)</f>
        <v/>
      </c>
      <c r="L52" s="8">
        <f>I52-K52</f>
        <v/>
      </c>
      <c r="M52" s="8">
        <f>H52+J52+L52</f>
        <v/>
      </c>
    </row>
    <row r="53">
      <c r="A53" s="7" t="inlineStr">
        <is>
          <t>115.3</t>
        </is>
      </c>
      <c r="B53" s="7" t="inlineStr">
        <is>
          <t>RB IMPUESTO DE ALUMBRADO PUBLICO OSSF</t>
        </is>
      </c>
      <c r="C53" s="8">
        <f>SUMIF(INGRESOS!$R:$R,A53,INGRESOS!$L:$L)</f>
        <v/>
      </c>
      <c r="D53" s="8">
        <f>SUMIF(EGRESOS!$P:$P,A53,EGRESOS!$Y:$Y)</f>
        <v/>
      </c>
      <c r="E53" s="8">
        <f>C53-D53</f>
        <v/>
      </c>
      <c r="F53" s="8">
        <f>SUMIF(INGRESOS!$R:$R,A53,INGRESOS!$N:$N)</f>
        <v/>
      </c>
      <c r="G53" s="8">
        <f>SUMIF(EGRESOS!$P:$P,A53,EGRESOS!$AA:$AA)</f>
        <v/>
      </c>
      <c r="H53" s="8">
        <f>F53-G53</f>
        <v/>
      </c>
      <c r="I53" s="8">
        <f>SUMIF(EGRESOS!$P:$P,A53,EGRESOS!$AB:$AB)</f>
        <v/>
      </c>
      <c r="J53" s="8">
        <f>G53-I53</f>
        <v/>
      </c>
      <c r="K53" s="8">
        <f>SUMIF(EGRESOS!$P:$P,A53,EGRESOS!$AC:$AC)</f>
        <v/>
      </c>
      <c r="L53" s="8">
        <f>I53-K53</f>
        <v/>
      </c>
      <c r="M53" s="8">
        <f>H53+J53+L53</f>
        <v/>
      </c>
    </row>
    <row r="54">
      <c r="A54" s="7" t="inlineStr">
        <is>
          <t>231</t>
        </is>
      </c>
      <c r="B54" s="7" t="inlineStr">
        <is>
          <t>EDUCACION SGP CALIDAD GRATUIDAD</t>
        </is>
      </c>
      <c r="C54" s="8">
        <f>SUMIF(INGRESOS!$R:$R,A54,INGRESOS!$L:$L)</f>
        <v/>
      </c>
      <c r="D54" s="8">
        <f>SUMIF(EGRESOS!$P:$P,A54,EGRESOS!$Y:$Y)</f>
        <v/>
      </c>
      <c r="E54" s="8">
        <f>C54-D54</f>
        <v/>
      </c>
      <c r="F54" s="8">
        <f>SUMIF(INGRESOS!$R:$R,A54,INGRESOS!$N:$N)</f>
        <v/>
      </c>
      <c r="G54" s="8">
        <f>SUMIF(EGRESOS!$P:$P,A54,EGRESOS!$AA:$AA)</f>
        <v/>
      </c>
      <c r="H54" s="8">
        <f>F54-G54</f>
        <v/>
      </c>
      <c r="I54" s="8">
        <f>SUMIF(EGRESOS!$P:$P,A54,EGRESOS!$AB:$AB)</f>
        <v/>
      </c>
      <c r="J54" s="8">
        <f>G54-I54</f>
        <v/>
      </c>
      <c r="K54" s="8">
        <f>SUMIF(EGRESOS!$P:$P,A54,EGRESOS!$AC:$AC)</f>
        <v/>
      </c>
      <c r="L54" s="8">
        <f>I54-K54</f>
        <v/>
      </c>
      <c r="M54" s="8">
        <f>H54+J54+L54</f>
        <v/>
      </c>
    </row>
    <row r="55">
      <c r="A55" s="7" t="inlineStr">
        <is>
          <t>240</t>
        </is>
      </c>
      <c r="B55" s="7" t="inlineStr">
        <is>
          <t>SGP EDUCACION RENDIMIENTOS FINANCIEROS</t>
        </is>
      </c>
      <c r="C55" s="8">
        <f>SUMIF(INGRESOS!$R:$R,A55,INGRESOS!$L:$L)</f>
        <v/>
      </c>
      <c r="D55" s="8">
        <f>SUMIF(EGRESOS!$P:$P,A55,EGRESOS!$Y:$Y)</f>
        <v/>
      </c>
      <c r="E55" s="8">
        <f>C55-D55</f>
        <v/>
      </c>
      <c r="F55" s="8">
        <f>SUMIF(INGRESOS!$R:$R,A55,INGRESOS!$N:$N)</f>
        <v/>
      </c>
      <c r="G55" s="8">
        <f>SUMIF(EGRESOS!$P:$P,A55,EGRESOS!$AA:$AA)</f>
        <v/>
      </c>
      <c r="H55" s="8">
        <f>F55-G55</f>
        <v/>
      </c>
      <c r="I55" s="8">
        <f>SUMIF(EGRESOS!$P:$P,A55,EGRESOS!$AB:$AB)</f>
        <v/>
      </c>
      <c r="J55" s="8">
        <f>G55-I55</f>
        <v/>
      </c>
      <c r="K55" s="8">
        <f>SUMIF(EGRESOS!$P:$P,A55,EGRESOS!$AC:$AC)</f>
        <v/>
      </c>
      <c r="L55" s="8">
        <f>I55-K55</f>
        <v/>
      </c>
      <c r="M55" s="8">
        <f>H55+J55+L55</f>
        <v/>
      </c>
    </row>
    <row r="56">
      <c r="A56" s="7" t="inlineStr">
        <is>
          <t>400</t>
        </is>
      </c>
      <c r="B56" s="7" t="inlineStr">
        <is>
          <t>SGP PROPOSITO GENERAL FORZOSA INVERSION CULTURA SGP ONCE DOCEAVAS VIGENCIA ACTUAL MAS ULTIMA DOCEAVA VIGENCIA ANTERIOR</t>
        </is>
      </c>
      <c r="C56" s="8">
        <f>SUMIF(INGRESOS!$R:$R,A56,INGRESOS!$L:$L)</f>
        <v/>
      </c>
      <c r="D56" s="8">
        <f>SUMIF(EGRESOS!$P:$P,A56,EGRESOS!$Y:$Y)</f>
        <v/>
      </c>
      <c r="E56" s="8">
        <f>C56-D56</f>
        <v/>
      </c>
      <c r="F56" s="8">
        <f>SUMIF(INGRESOS!$R:$R,A56,INGRESOS!$N:$N)</f>
        <v/>
      </c>
      <c r="G56" s="8">
        <f>SUMIF(EGRESOS!$P:$P,A56,EGRESOS!$AA:$AA)</f>
        <v/>
      </c>
      <c r="H56" s="8">
        <f>F56-G56</f>
        <v/>
      </c>
      <c r="I56" s="8">
        <f>SUMIF(EGRESOS!$P:$P,A56,EGRESOS!$AB:$AB)</f>
        <v/>
      </c>
      <c r="J56" s="8">
        <f>G56-I56</f>
        <v/>
      </c>
      <c r="K56" s="8">
        <f>SUMIF(EGRESOS!$P:$P,A56,EGRESOS!$AC:$AC)</f>
        <v/>
      </c>
      <c r="L56" s="8">
        <f>I56-K56</f>
        <v/>
      </c>
      <c r="M56" s="8">
        <f>H56+J56+L56</f>
        <v/>
      </c>
    </row>
    <row r="57">
      <c r="A57" s="7" t="inlineStr">
        <is>
          <t>510.11</t>
        </is>
      </c>
      <c r="B57" s="7" t="inlineStr">
        <is>
          <t>MINISTERIO DE CULTURA</t>
        </is>
      </c>
      <c r="C57" s="8">
        <f>SUMIF(INGRESOS!$R:$R,A57,INGRESOS!$L:$L)</f>
        <v/>
      </c>
      <c r="D57" s="8">
        <f>SUMIF(EGRESOS!$P:$P,A57,EGRESOS!$Y:$Y)</f>
        <v/>
      </c>
      <c r="E57" s="8">
        <f>C57-D57</f>
        <v/>
      </c>
      <c r="F57" s="8">
        <f>SUMIF(INGRESOS!$R:$R,A57,INGRESOS!$N:$N)</f>
        <v/>
      </c>
      <c r="G57" s="8">
        <f>SUMIF(EGRESOS!$P:$P,A57,EGRESOS!$AA:$AA)</f>
        <v/>
      </c>
      <c r="H57" s="8">
        <f>F57-G57</f>
        <v/>
      </c>
      <c r="I57" s="8">
        <f>SUMIF(EGRESOS!$P:$P,A57,EGRESOS!$AB:$AB)</f>
        <v/>
      </c>
      <c r="J57" s="8">
        <f>G57-I57</f>
        <v/>
      </c>
      <c r="K57" s="8">
        <f>SUMIF(EGRESOS!$P:$P,A57,EGRESOS!$AC:$AC)</f>
        <v/>
      </c>
      <c r="L57" s="8">
        <f>I57-K57</f>
        <v/>
      </c>
      <c r="M57" s="8">
        <f>H57+J57+L57</f>
        <v/>
      </c>
    </row>
    <row r="58">
      <c r="A58" s="7" t="inlineStr">
        <is>
          <t>152.2</t>
        </is>
      </c>
      <c r="B58" s="7" t="inlineStr">
        <is>
          <t>RF Estampilla Procultura</t>
        </is>
      </c>
      <c r="C58" s="8">
        <f>SUMIF(INGRESOS!$R:$R,A58,INGRESOS!$L:$L)</f>
        <v/>
      </c>
      <c r="D58" s="8">
        <f>SUMIF(EGRESOS!$P:$P,A58,EGRESOS!$Y:$Y)</f>
        <v/>
      </c>
      <c r="E58" s="8">
        <f>C58-D58</f>
        <v/>
      </c>
      <c r="F58" s="8">
        <f>SUMIF(INGRESOS!$R:$R,A58,INGRESOS!$N:$N)</f>
        <v/>
      </c>
      <c r="G58" s="8">
        <f>SUMIF(EGRESOS!$P:$P,A58,EGRESOS!$AA:$AA)</f>
        <v/>
      </c>
      <c r="H58" s="8">
        <f>F58-G58</f>
        <v/>
      </c>
      <c r="I58" s="8">
        <f>SUMIF(EGRESOS!$P:$P,A58,EGRESOS!$AB:$AB)</f>
        <v/>
      </c>
      <c r="J58" s="8">
        <f>G58-I58</f>
        <v/>
      </c>
      <c r="K58" s="8">
        <f>SUMIF(EGRESOS!$P:$P,A58,EGRESOS!$AC:$AC)</f>
        <v/>
      </c>
      <c r="L58" s="8">
        <f>I58-K58</f>
        <v/>
      </c>
      <c r="M58" s="8">
        <f>H58+J58+L58</f>
        <v/>
      </c>
    </row>
    <row r="59">
      <c r="A59" s="7" t="inlineStr">
        <is>
          <t>430.2</t>
        </is>
      </c>
      <c r="B59" s="7" t="inlineStr">
        <is>
          <t>RF SGP Cultura</t>
        </is>
      </c>
      <c r="C59" s="8">
        <f>SUMIF(INGRESOS!$R:$R,A59,INGRESOS!$L:$L)</f>
        <v/>
      </c>
      <c r="D59" s="8">
        <f>SUMIF(EGRESOS!$P:$P,A59,EGRESOS!$Y:$Y)</f>
        <v/>
      </c>
      <c r="E59" s="8">
        <f>C59-D59</f>
        <v/>
      </c>
      <c r="F59" s="8">
        <f>SUMIF(INGRESOS!$R:$R,A59,INGRESOS!$N:$N)</f>
        <v/>
      </c>
      <c r="G59" s="8">
        <f>SUMIF(EGRESOS!$P:$P,A59,EGRESOS!$AA:$AA)</f>
        <v/>
      </c>
      <c r="H59" s="8">
        <f>F59-G59</f>
        <v/>
      </c>
      <c r="I59" s="8">
        <f>SUMIF(EGRESOS!$P:$P,A59,EGRESOS!$AB:$AB)</f>
        <v/>
      </c>
      <c r="J59" s="8">
        <f>G59-I59</f>
        <v/>
      </c>
      <c r="K59" s="8">
        <f>SUMIF(EGRESOS!$P:$P,A59,EGRESOS!$AC:$AC)</f>
        <v/>
      </c>
      <c r="L59" s="8">
        <f>I59-K59</f>
        <v/>
      </c>
      <c r="M59" s="8">
        <f>H59+J59+L59</f>
        <v/>
      </c>
    </row>
    <row r="60">
      <c r="A60" s="7" t="inlineStr">
        <is>
          <t>390</t>
        </is>
      </c>
      <c r="B60" s="7" t="inlineStr">
        <is>
          <t>SGP PROPOSITO GENERAL FORZOSA INVERSION CULTURA SALDOS NO EJECUTADOS NI INCORPORADOS VIGENCIAS ANTERIORES Y REINTEGROS</t>
        </is>
      </c>
      <c r="C60" s="8">
        <f>SUMIF(INGRESOS!$R:$R,A60,INGRESOS!$L:$L)</f>
        <v/>
      </c>
      <c r="D60" s="8">
        <f>SUMIF(EGRESOS!$P:$P,A60,EGRESOS!$Y:$Y)</f>
        <v/>
      </c>
      <c r="E60" s="8">
        <f>C60-D60</f>
        <v/>
      </c>
      <c r="F60" s="8">
        <f>SUMIF(INGRESOS!$R:$R,A60,INGRESOS!$N:$N)</f>
        <v/>
      </c>
      <c r="G60" s="8">
        <f>SUMIF(EGRESOS!$P:$P,A60,EGRESOS!$AA:$AA)</f>
        <v/>
      </c>
      <c r="H60" s="8">
        <f>F60-G60</f>
        <v/>
      </c>
      <c r="I60" s="8">
        <f>SUMIF(EGRESOS!$P:$P,A60,EGRESOS!$AB:$AB)</f>
        <v/>
      </c>
      <c r="J60" s="8">
        <f>G60-I60</f>
        <v/>
      </c>
      <c r="K60" s="8">
        <f>SUMIF(EGRESOS!$P:$P,A60,EGRESOS!$AC:$AC)</f>
        <v/>
      </c>
      <c r="L60" s="8">
        <f>I60-K60</f>
        <v/>
      </c>
      <c r="M60" s="8">
        <f>H60+J60+L60</f>
        <v/>
      </c>
    </row>
    <row r="61">
      <c r="A61" s="7" t="inlineStr">
        <is>
          <t>119</t>
        </is>
      </c>
      <c r="B61" s="7" t="inlineStr">
        <is>
          <t>PARTICIPACION DEGUELLO GANADO</t>
        </is>
      </c>
      <c r="C61" s="8">
        <f>SUMIF(INGRESOS!$R:$R,A61,INGRESOS!$L:$L)</f>
        <v/>
      </c>
      <c r="D61" s="8">
        <f>SUMIF(EGRESOS!$P:$P,A61,EGRESOS!$Y:$Y)</f>
        <v/>
      </c>
      <c r="E61" s="8">
        <f>C61-D61</f>
        <v/>
      </c>
      <c r="F61" s="8">
        <f>SUMIF(INGRESOS!$R:$R,A61,INGRESOS!$N:$N)</f>
        <v/>
      </c>
      <c r="G61" s="8">
        <f>SUMIF(EGRESOS!$P:$P,A61,EGRESOS!$AA:$AA)</f>
        <v/>
      </c>
      <c r="H61" s="8">
        <f>F61-G61</f>
        <v/>
      </c>
      <c r="I61" s="8">
        <f>SUMIF(EGRESOS!$P:$P,A61,EGRESOS!$AB:$AB)</f>
        <v/>
      </c>
      <c r="J61" s="8">
        <f>G61-I61</f>
        <v/>
      </c>
      <c r="K61" s="8">
        <f>SUMIF(EGRESOS!$P:$P,A61,EGRESOS!$AC:$AC)</f>
        <v/>
      </c>
      <c r="L61" s="8">
        <f>I61-K61</f>
        <v/>
      </c>
      <c r="M61" s="8">
        <f>H61+J61+L61</f>
        <v/>
      </c>
    </row>
    <row r="62">
      <c r="A62" s="7" t="inlineStr">
        <is>
          <t>670.13</t>
        </is>
      </c>
      <c r="B62" s="7" t="inlineStr">
        <is>
          <t>REND FCROS. SGP PRIMERA INFANCIA</t>
        </is>
      </c>
      <c r="C62" s="8">
        <f>SUMIF(INGRESOS!$R:$R,A62,INGRESOS!$L:$L)</f>
        <v/>
      </c>
      <c r="D62" s="8">
        <f>SUMIF(EGRESOS!$P:$P,A62,EGRESOS!$Y:$Y)</f>
        <v/>
      </c>
      <c r="E62" s="8">
        <f>C62-D62</f>
        <v/>
      </c>
      <c r="F62" s="8">
        <f>SUMIF(INGRESOS!$R:$R,A62,INGRESOS!$N:$N)</f>
        <v/>
      </c>
      <c r="G62" s="8">
        <f>SUMIF(EGRESOS!$P:$P,A62,EGRESOS!$AA:$AA)</f>
        <v/>
      </c>
      <c r="H62" s="8">
        <f>F62-G62</f>
        <v/>
      </c>
      <c r="I62" s="8">
        <f>SUMIF(EGRESOS!$P:$P,A62,EGRESOS!$AB:$AB)</f>
        <v/>
      </c>
      <c r="J62" s="8">
        <f>G62-I62</f>
        <v/>
      </c>
      <c r="K62" s="8">
        <f>SUMIF(EGRESOS!$P:$P,A62,EGRESOS!$AC:$AC)</f>
        <v/>
      </c>
      <c r="L62" s="8">
        <f>I62-K62</f>
        <v/>
      </c>
      <c r="M62" s="8">
        <f>H62+J62+L62</f>
        <v/>
      </c>
    </row>
    <row r="63">
      <c r="A63" s="7" t="inlineStr">
        <is>
          <t>151.2</t>
        </is>
      </c>
      <c r="B63" s="7" t="inlineStr">
        <is>
          <t xml:space="preserve">RF Estampilla Proadulto </t>
        </is>
      </c>
      <c r="C63" s="8">
        <f>SUMIF(INGRESOS!$R:$R,A63,INGRESOS!$L:$L)</f>
        <v/>
      </c>
      <c r="D63" s="8">
        <f>SUMIF(EGRESOS!$P:$P,A63,EGRESOS!$Y:$Y)</f>
        <v/>
      </c>
      <c r="E63" s="8">
        <f>C63-D63</f>
        <v/>
      </c>
      <c r="F63" s="8">
        <f>SUMIF(INGRESOS!$R:$R,A63,INGRESOS!$N:$N)</f>
        <v/>
      </c>
      <c r="G63" s="8">
        <f>SUMIF(EGRESOS!$P:$P,A63,EGRESOS!$AA:$AA)</f>
        <v/>
      </c>
      <c r="H63" s="8">
        <f>F63-G63</f>
        <v/>
      </c>
      <c r="I63" s="8">
        <f>SUMIF(EGRESOS!$P:$P,A63,EGRESOS!$AB:$AB)</f>
        <v/>
      </c>
      <c r="J63" s="8">
        <f>G63-I63</f>
        <v/>
      </c>
      <c r="K63" s="8">
        <f>SUMIF(EGRESOS!$P:$P,A63,EGRESOS!$AC:$AC)</f>
        <v/>
      </c>
      <c r="L63" s="8">
        <f>I63-K63</f>
        <v/>
      </c>
      <c r="M63" s="8">
        <f>H63+J63+L63</f>
        <v/>
      </c>
    </row>
    <row r="64">
      <c r="A64" s="7" t="inlineStr">
        <is>
          <t>119.1</t>
        </is>
      </c>
      <c r="B64" s="7" t="inlineStr">
        <is>
          <t>RB PARTICIPACION DEGUELLO GANADO</t>
        </is>
      </c>
      <c r="C64" s="8">
        <f>SUMIF(INGRESOS!$R:$R,A64,INGRESOS!$L:$L)</f>
        <v/>
      </c>
      <c r="D64" s="8">
        <f>SUMIF(EGRESOS!$P:$P,A64,EGRESOS!$Y:$Y)</f>
        <v/>
      </c>
      <c r="E64" s="8">
        <f>C64-D64</f>
        <v/>
      </c>
      <c r="F64" s="8">
        <f>SUMIF(INGRESOS!$R:$R,A64,INGRESOS!$N:$N)</f>
        <v/>
      </c>
      <c r="G64" s="8">
        <f>SUMIF(EGRESOS!$P:$P,A64,EGRESOS!$AA:$AA)</f>
        <v/>
      </c>
      <c r="H64" s="8">
        <f>F64-G64</f>
        <v/>
      </c>
      <c r="I64" s="8">
        <f>SUMIF(EGRESOS!$P:$P,A64,EGRESOS!$AB:$AB)</f>
        <v/>
      </c>
      <c r="J64" s="8">
        <f>G64-I64</f>
        <v/>
      </c>
      <c r="K64" s="8">
        <f>SUMIF(EGRESOS!$P:$P,A64,EGRESOS!$AC:$AC)</f>
        <v/>
      </c>
      <c r="L64" s="8">
        <f>I64-K64</f>
        <v/>
      </c>
      <c r="M64" s="8">
        <f>H64+J64+L64</f>
        <v/>
      </c>
    </row>
    <row r="65">
      <c r="A65" s="7" t="inlineStr">
        <is>
          <t>670.13.1</t>
        </is>
      </c>
      <c r="B65" s="7" t="inlineStr">
        <is>
          <t>REND FCROS. SGP PRIMERA INFANCIA RB</t>
        </is>
      </c>
      <c r="C65" s="8">
        <f>SUMIF(INGRESOS!$R:$R,A65,INGRESOS!$L:$L)</f>
        <v/>
      </c>
      <c r="D65" s="8">
        <f>SUMIF(EGRESOS!$P:$P,A65,EGRESOS!$Y:$Y)</f>
        <v/>
      </c>
      <c r="E65" s="8">
        <f>C65-D65</f>
        <v/>
      </c>
      <c r="F65" s="8">
        <f>SUMIF(INGRESOS!$R:$R,A65,INGRESOS!$N:$N)</f>
        <v/>
      </c>
      <c r="G65" s="8">
        <f>SUMIF(EGRESOS!$P:$P,A65,EGRESOS!$AA:$AA)</f>
        <v/>
      </c>
      <c r="H65" s="8">
        <f>F65-G65</f>
        <v/>
      </c>
      <c r="I65" s="8">
        <f>SUMIF(EGRESOS!$P:$P,A65,EGRESOS!$AB:$AB)</f>
        <v/>
      </c>
      <c r="J65" s="8">
        <f>G65-I65</f>
        <v/>
      </c>
      <c r="K65" s="8">
        <f>SUMIF(EGRESOS!$P:$P,A65,EGRESOS!$AC:$AC)</f>
        <v/>
      </c>
      <c r="L65" s="8">
        <f>I65-K65</f>
        <v/>
      </c>
      <c r="M65" s="8">
        <f>H65+J65+L65</f>
        <v/>
      </c>
    </row>
    <row r="66">
      <c r="A66" s="7" t="inlineStr">
        <is>
          <t>430.1</t>
        </is>
      </c>
      <c r="B66" s="7" t="inlineStr">
        <is>
          <t>SGP PROPOSITO GENERAL RENDIMIENTOS FINANCIEROS RB</t>
        </is>
      </c>
      <c r="C66" s="8">
        <f>SUMIF(INGRESOS!$R:$R,A66,INGRESOS!$L:$L)</f>
        <v/>
      </c>
      <c r="D66" s="8">
        <f>SUMIF(EGRESOS!$P:$P,A66,EGRESOS!$Y:$Y)</f>
        <v/>
      </c>
      <c r="E66" s="8">
        <f>C66-D66</f>
        <v/>
      </c>
      <c r="F66" s="8">
        <f>SUMIF(INGRESOS!$R:$R,A66,INGRESOS!$N:$N)</f>
        <v/>
      </c>
      <c r="G66" s="8">
        <f>SUMIF(EGRESOS!$P:$P,A66,EGRESOS!$AA:$AA)</f>
        <v/>
      </c>
      <c r="H66" s="8">
        <f>F66-G66</f>
        <v/>
      </c>
      <c r="I66" s="8">
        <f>SUMIF(EGRESOS!$P:$P,A66,EGRESOS!$AB:$AB)</f>
        <v/>
      </c>
      <c r="J66" s="8">
        <f>G66-I66</f>
        <v/>
      </c>
      <c r="K66" s="8">
        <f>SUMIF(EGRESOS!$P:$P,A66,EGRESOS!$AC:$AC)</f>
        <v/>
      </c>
      <c r="L66" s="8">
        <f>I66-K66</f>
        <v/>
      </c>
      <c r="M66" s="8">
        <f>H66+J66+L66</f>
        <v/>
      </c>
    </row>
    <row r="67">
      <c r="A67" s="7" t="inlineStr">
        <is>
          <t>676</t>
        </is>
      </c>
      <c r="B67" s="7" t="inlineStr">
        <is>
          <t>Contribucion especial sobre contratos de obras publicas</t>
        </is>
      </c>
      <c r="C67" s="8">
        <f>SUMIF(INGRESOS!$R:$R,A67,INGRESOS!$L:$L)</f>
        <v/>
      </c>
      <c r="D67" s="8">
        <f>SUMIF(EGRESOS!$P:$P,A67,EGRESOS!$Y:$Y)</f>
        <v/>
      </c>
      <c r="E67" s="8">
        <f>C67-D67</f>
        <v/>
      </c>
      <c r="F67" s="8">
        <f>SUMIF(INGRESOS!$R:$R,A67,INGRESOS!$N:$N)</f>
        <v/>
      </c>
      <c r="G67" s="8">
        <f>SUMIF(EGRESOS!$P:$P,A67,EGRESOS!$AA:$AA)</f>
        <v/>
      </c>
      <c r="H67" s="8">
        <f>F67-G67</f>
        <v/>
      </c>
      <c r="I67" s="8">
        <f>SUMIF(EGRESOS!$P:$P,A67,EGRESOS!$AB:$AB)</f>
        <v/>
      </c>
      <c r="J67" s="8">
        <f>G67-I67</f>
        <v/>
      </c>
      <c r="K67" s="8">
        <f>SUMIF(EGRESOS!$P:$P,A67,EGRESOS!$AC:$AC)</f>
        <v/>
      </c>
      <c r="L67" s="8">
        <f>I67-K67</f>
        <v/>
      </c>
      <c r="M67" s="8">
        <f>H67+J67+L67</f>
        <v/>
      </c>
    </row>
    <row r="68">
      <c r="A68" s="7" t="inlineStr">
        <is>
          <t>676.2</t>
        </is>
      </c>
      <c r="B68" s="7" t="inlineStr">
        <is>
          <t>RF Contribución de Seguridad</t>
        </is>
      </c>
      <c r="C68" s="8">
        <f>SUMIF(INGRESOS!$R:$R,A68,INGRESOS!$L:$L)</f>
        <v/>
      </c>
      <c r="D68" s="8">
        <f>SUMIF(EGRESOS!$P:$P,A68,EGRESOS!$Y:$Y)</f>
        <v/>
      </c>
      <c r="E68" s="8">
        <f>C68-D68</f>
        <v/>
      </c>
      <c r="F68" s="8">
        <f>SUMIF(INGRESOS!$R:$R,A68,INGRESOS!$N:$N)</f>
        <v/>
      </c>
      <c r="G68" s="8">
        <f>SUMIF(EGRESOS!$P:$P,A68,EGRESOS!$AA:$AA)</f>
        <v/>
      </c>
      <c r="H68" s="8">
        <f>F68-G68</f>
        <v/>
      </c>
      <c r="I68" s="8">
        <f>SUMIF(EGRESOS!$P:$P,A68,EGRESOS!$AB:$AB)</f>
        <v/>
      </c>
      <c r="J68" s="8">
        <f>G68-I68</f>
        <v/>
      </c>
      <c r="K68" s="8">
        <f>SUMIF(EGRESOS!$P:$P,A68,EGRESOS!$AC:$AC)</f>
        <v/>
      </c>
      <c r="L68" s="8">
        <f>I68-K68</f>
        <v/>
      </c>
      <c r="M68" s="8">
        <f>H68+J68+L68</f>
        <v/>
      </c>
    </row>
    <row r="69">
      <c r="A69" s="7" t="inlineStr">
        <is>
          <t>670</t>
        </is>
      </c>
      <c r="B69" s="7" t="inlineStr">
        <is>
          <t>OTROS RECURSOS DE CAPITAL. RENDIMIENTOS FINANCIEROS VENTA DE ACTIVOS DONACIONES RECURSOS DE BALANCE DE INGRESOS CORRIENT</t>
        </is>
      </c>
      <c r="C69" s="8">
        <f>SUMIF(INGRESOS!$R:$R,A69,INGRESOS!$L:$L)</f>
        <v/>
      </c>
      <c r="D69" s="8">
        <f>SUMIF(EGRESOS!$P:$P,A69,EGRESOS!$Y:$Y)</f>
        <v/>
      </c>
      <c r="E69" s="8">
        <f>C69-D69</f>
        <v/>
      </c>
      <c r="F69" s="8">
        <f>SUMIF(INGRESOS!$R:$R,A69,INGRESOS!$N:$N)</f>
        <v/>
      </c>
      <c r="G69" s="8">
        <f>SUMIF(EGRESOS!$P:$P,A69,EGRESOS!$AA:$AA)</f>
        <v/>
      </c>
      <c r="H69" s="8">
        <f>F69-G69</f>
        <v/>
      </c>
      <c r="I69" s="8">
        <f>SUMIF(EGRESOS!$P:$P,A69,EGRESOS!$AB:$AB)</f>
        <v/>
      </c>
      <c r="J69" s="8">
        <f>G69-I69</f>
        <v/>
      </c>
      <c r="K69" s="8">
        <f>SUMIF(EGRESOS!$P:$P,A69,EGRESOS!$AC:$AC)</f>
        <v/>
      </c>
      <c r="L69" s="8">
        <f>I69-K69</f>
        <v/>
      </c>
      <c r="M69" s="8">
        <f>H69+J69+L69</f>
        <v/>
      </c>
    </row>
    <row r="70">
      <c r="A70" s="7" t="inlineStr">
        <is>
          <t>676.1</t>
        </is>
      </c>
      <c r="B70" s="7" t="inlineStr">
        <is>
          <t>BALANCE CONTRIBUCIÓN SOBRE CONTRATOS DE OBRAS PÚBLICAS</t>
        </is>
      </c>
      <c r="C70" s="8">
        <f>SUMIF(INGRESOS!$R:$R,A70,INGRESOS!$L:$L)</f>
        <v/>
      </c>
      <c r="D70" s="8">
        <f>SUMIF(EGRESOS!$P:$P,A70,EGRESOS!$Y:$Y)</f>
        <v/>
      </c>
      <c r="E70" s="8">
        <f>C70-D70</f>
        <v/>
      </c>
      <c r="F70" s="8">
        <f>SUMIF(INGRESOS!$R:$R,A70,INGRESOS!$N:$N)</f>
        <v/>
      </c>
      <c r="G70" s="8">
        <f>SUMIF(EGRESOS!$P:$P,A70,EGRESOS!$AA:$AA)</f>
        <v/>
      </c>
      <c r="H70" s="8">
        <f>F70-G70</f>
        <v/>
      </c>
      <c r="I70" s="8">
        <f>SUMIF(EGRESOS!$P:$P,A70,EGRESOS!$AB:$AB)</f>
        <v/>
      </c>
      <c r="J70" s="8">
        <f>G70-I70</f>
        <v/>
      </c>
      <c r="K70" s="8">
        <f>SUMIF(EGRESOS!$P:$P,A70,EGRESOS!$AC:$AC)</f>
        <v/>
      </c>
      <c r="L70" s="8">
        <f>I70-K70</f>
        <v/>
      </c>
      <c r="M70" s="8">
        <f>H70+J70+L70</f>
        <v/>
      </c>
    </row>
    <row r="71">
      <c r="A71" s="7" t="inlineStr">
        <is>
          <t>24.2</t>
        </is>
      </c>
      <c r="B71" s="7" t="inlineStr">
        <is>
          <t>RB CONTRIBUCION GESTION DEL RIESGO</t>
        </is>
      </c>
      <c r="C71" s="8">
        <f>SUMIF(INGRESOS!$R:$R,A71,INGRESOS!$L:$L)</f>
        <v/>
      </c>
      <c r="D71" s="8">
        <f>SUMIF(EGRESOS!$P:$P,A71,EGRESOS!$Y:$Y)</f>
        <v/>
      </c>
      <c r="E71" s="8">
        <f>C71-D71</f>
        <v/>
      </c>
      <c r="F71" s="8">
        <f>SUMIF(INGRESOS!$R:$R,A71,INGRESOS!$N:$N)</f>
        <v/>
      </c>
      <c r="G71" s="8">
        <f>SUMIF(EGRESOS!$P:$P,A71,EGRESOS!$AA:$AA)</f>
        <v/>
      </c>
      <c r="H71" s="8">
        <f>F71-G71</f>
        <v/>
      </c>
      <c r="I71" s="8">
        <f>SUMIF(EGRESOS!$P:$P,A71,EGRESOS!$AB:$AB)</f>
        <v/>
      </c>
      <c r="J71" s="8">
        <f>G71-I71</f>
        <v/>
      </c>
      <c r="K71" s="8">
        <f>SUMIF(EGRESOS!$P:$P,A71,EGRESOS!$AC:$AC)</f>
        <v/>
      </c>
      <c r="L71" s="8">
        <f>I71-K71</f>
        <v/>
      </c>
      <c r="M71" s="8">
        <f>H71+J71+L71</f>
        <v/>
      </c>
    </row>
    <row r="72">
      <c r="A72" s="7" t="inlineStr">
        <is>
          <t>670.1.1</t>
        </is>
      </c>
      <c r="B72" s="7" t="inlineStr">
        <is>
          <t>RENDIMIENTOS FINANCIEROS LIBRE DESTINACION RB</t>
        </is>
      </c>
      <c r="C72" s="8">
        <f>SUMIF(INGRESOS!$R:$R,A72,INGRESOS!$L:$L)</f>
        <v/>
      </c>
      <c r="D72" s="8">
        <f>SUMIF(EGRESOS!$P:$P,A72,EGRESOS!$Y:$Y)</f>
        <v/>
      </c>
      <c r="E72" s="8">
        <f>C72-D72</f>
        <v/>
      </c>
      <c r="F72" s="8">
        <f>SUMIF(INGRESOS!$R:$R,A72,INGRESOS!$N:$N)</f>
        <v/>
      </c>
      <c r="G72" s="8">
        <f>SUMIF(EGRESOS!$P:$P,A72,EGRESOS!$AA:$AA)</f>
        <v/>
      </c>
      <c r="H72" s="8">
        <f>F72-G72</f>
        <v/>
      </c>
      <c r="I72" s="8">
        <f>SUMIF(EGRESOS!$P:$P,A72,EGRESOS!$AB:$AB)</f>
        <v/>
      </c>
      <c r="J72" s="8">
        <f>G72-I72</f>
        <v/>
      </c>
      <c r="K72" s="8">
        <f>SUMIF(EGRESOS!$P:$P,A72,EGRESOS!$AC:$AC)</f>
        <v/>
      </c>
      <c r="L72" s="8">
        <f>I72-K72</f>
        <v/>
      </c>
      <c r="M72" s="8">
        <f>H72+J72+L72</f>
        <v/>
      </c>
    </row>
    <row r="73">
      <c r="A73" s="7" t="inlineStr">
        <is>
          <t>260</t>
        </is>
      </c>
      <c r="B73" s="7" t="inlineStr">
        <is>
          <t>SGP SALUD REGIMEN SUBSIDIADO ONCE DOCEAVAS VIGENCIA ACTUAL MAS ULTIMA DOCEAVA VIGENCIA ANTERIOR</t>
        </is>
      </c>
      <c r="C73" s="8">
        <f>SUMIF(INGRESOS!$R:$R,A73,INGRESOS!$L:$L)</f>
        <v/>
      </c>
      <c r="D73" s="8">
        <f>SUMIF(EGRESOS!$P:$P,A73,EGRESOS!$Y:$Y)</f>
        <v/>
      </c>
      <c r="E73" s="8">
        <f>C73-D73</f>
        <v/>
      </c>
      <c r="F73" s="8">
        <f>SUMIF(INGRESOS!$R:$R,A73,INGRESOS!$N:$N)</f>
        <v/>
      </c>
      <c r="G73" s="8">
        <f>SUMIF(EGRESOS!$P:$P,A73,EGRESOS!$AA:$AA)</f>
        <v/>
      </c>
      <c r="H73" s="8">
        <f>F73-G73</f>
        <v/>
      </c>
      <c r="I73" s="8">
        <f>SUMIF(EGRESOS!$P:$P,A73,EGRESOS!$AB:$AB)</f>
        <v/>
      </c>
      <c r="J73" s="8">
        <f>G73-I73</f>
        <v/>
      </c>
      <c r="K73" s="8">
        <f>SUMIF(EGRESOS!$P:$P,A73,EGRESOS!$AC:$AC)</f>
        <v/>
      </c>
      <c r="L73" s="8">
        <f>I73-K73</f>
        <v/>
      </c>
      <c r="M73" s="8">
        <f>H73+J73+L73</f>
        <v/>
      </c>
    </row>
    <row r="74">
      <c r="A74" s="7" t="inlineStr">
        <is>
          <t>630</t>
        </is>
      </c>
      <c r="B74" s="7" t="inlineStr">
        <is>
          <t>COLJUEGOS</t>
        </is>
      </c>
      <c r="C74" s="8">
        <f>SUMIF(INGRESOS!$R:$R,A74,INGRESOS!$L:$L)</f>
        <v/>
      </c>
      <c r="D74" s="8">
        <f>SUMIF(EGRESOS!$P:$P,A74,EGRESOS!$Y:$Y)</f>
        <v/>
      </c>
      <c r="E74" s="8">
        <f>C74-D74</f>
        <v/>
      </c>
      <c r="F74" s="8">
        <f>SUMIF(INGRESOS!$R:$R,A74,INGRESOS!$N:$N)</f>
        <v/>
      </c>
      <c r="G74" s="8">
        <f>SUMIF(EGRESOS!$P:$P,A74,EGRESOS!$AA:$AA)</f>
        <v/>
      </c>
      <c r="H74" s="8">
        <f>F74-G74</f>
        <v/>
      </c>
      <c r="I74" s="8">
        <f>SUMIF(EGRESOS!$P:$P,A74,EGRESOS!$AB:$AB)</f>
        <v/>
      </c>
      <c r="J74" s="8">
        <f>G74-I74</f>
        <v/>
      </c>
      <c r="K74" s="8">
        <f>SUMIF(EGRESOS!$P:$P,A74,EGRESOS!$AC:$AC)</f>
        <v/>
      </c>
      <c r="L74" s="8">
        <f>I74-K74</f>
        <v/>
      </c>
      <c r="M74" s="8">
        <f>H74+J74+L74</f>
        <v/>
      </c>
    </row>
    <row r="75">
      <c r="A75" s="7" t="inlineStr">
        <is>
          <t>600</t>
        </is>
      </c>
      <c r="B75" s="7" t="inlineStr">
        <is>
          <t>ADRES</t>
        </is>
      </c>
      <c r="C75" s="8">
        <f>SUMIF(INGRESOS!$R:$R,A75,INGRESOS!$L:$L)</f>
        <v/>
      </c>
      <c r="D75" s="8">
        <f>SUMIF(EGRESOS!$P:$P,A75,EGRESOS!$Y:$Y)</f>
        <v/>
      </c>
      <c r="E75" s="8">
        <f>C75-D75</f>
        <v/>
      </c>
      <c r="F75" s="8">
        <f>SUMIF(INGRESOS!$R:$R,A75,INGRESOS!$N:$N)</f>
        <v/>
      </c>
      <c r="G75" s="8">
        <f>SUMIF(EGRESOS!$P:$P,A75,EGRESOS!$AA:$AA)</f>
        <v/>
      </c>
      <c r="H75" s="8">
        <f>F75-G75</f>
        <v/>
      </c>
      <c r="I75" s="8">
        <f>SUMIF(EGRESOS!$P:$P,A75,EGRESOS!$AB:$AB)</f>
        <v/>
      </c>
      <c r="J75" s="8">
        <f>G75-I75</f>
        <v/>
      </c>
      <c r="K75" s="8">
        <f>SUMIF(EGRESOS!$P:$P,A75,EGRESOS!$AC:$AC)</f>
        <v/>
      </c>
      <c r="L75" s="8">
        <f>I75-K75</f>
        <v/>
      </c>
      <c r="M75" s="8">
        <f>H75+J75+L75</f>
        <v/>
      </c>
    </row>
    <row r="76">
      <c r="A76" s="7" t="inlineStr">
        <is>
          <t>680</t>
        </is>
      </c>
      <c r="B76" s="7" t="inlineStr">
        <is>
          <t>OTRAS FUENTES DIFERENTES A LAS ANTERIORES</t>
        </is>
      </c>
      <c r="C76" s="8">
        <f>SUMIF(INGRESOS!$R:$R,A76,INGRESOS!$L:$L)</f>
        <v/>
      </c>
      <c r="D76" s="8">
        <f>SUMIF(EGRESOS!$P:$P,A76,EGRESOS!$Y:$Y)</f>
        <v/>
      </c>
      <c r="E76" s="8">
        <f>C76-D76</f>
        <v/>
      </c>
      <c r="F76" s="8">
        <f>SUMIF(INGRESOS!$R:$R,A76,INGRESOS!$N:$N)</f>
        <v/>
      </c>
      <c r="G76" s="8">
        <f>SUMIF(EGRESOS!$P:$P,A76,EGRESOS!$AA:$AA)</f>
        <v/>
      </c>
      <c r="H76" s="8">
        <f>F76-G76</f>
        <v/>
      </c>
      <c r="I76" s="8">
        <f>SUMIF(EGRESOS!$P:$P,A76,EGRESOS!$AB:$AB)</f>
        <v/>
      </c>
      <c r="J76" s="8">
        <f>G76-I76</f>
        <v/>
      </c>
      <c r="K76" s="8">
        <f>SUMIF(EGRESOS!$P:$P,A76,EGRESOS!$AC:$AC)</f>
        <v/>
      </c>
      <c r="L76" s="8">
        <f>I76-K76</f>
        <v/>
      </c>
      <c r="M76" s="8">
        <f>H76+J76+L76</f>
        <v/>
      </c>
    </row>
    <row r="77">
      <c r="A77" s="7" t="inlineStr">
        <is>
          <t>510</t>
        </is>
      </c>
      <c r="B77" s="7" t="inlineStr">
        <is>
          <t>COFINANCIACION DEPARTAMENTAL</t>
        </is>
      </c>
      <c r="C77" s="8">
        <f>SUMIF(INGRESOS!$R:$R,A77,INGRESOS!$L:$L)</f>
        <v/>
      </c>
      <c r="D77" s="8">
        <f>SUMIF(EGRESOS!$P:$P,A77,EGRESOS!$Y:$Y)</f>
        <v/>
      </c>
      <c r="E77" s="8">
        <f>C77-D77</f>
        <v/>
      </c>
      <c r="F77" s="8">
        <f>SUMIF(INGRESOS!$R:$R,A77,INGRESOS!$N:$N)</f>
        <v/>
      </c>
      <c r="G77" s="8">
        <f>SUMIF(EGRESOS!$P:$P,A77,EGRESOS!$AA:$AA)</f>
        <v/>
      </c>
      <c r="H77" s="8">
        <f>F77-G77</f>
        <v/>
      </c>
      <c r="I77" s="8">
        <f>SUMIF(EGRESOS!$P:$P,A77,EGRESOS!$AB:$AB)</f>
        <v/>
      </c>
      <c r="J77" s="8">
        <f>G77-I77</f>
        <v/>
      </c>
      <c r="K77" s="8">
        <f>SUMIF(EGRESOS!$P:$P,A77,EGRESOS!$AC:$AC)</f>
        <v/>
      </c>
      <c r="L77" s="8">
        <f>I77-K77</f>
        <v/>
      </c>
      <c r="M77" s="8">
        <f>H77+J77+L77</f>
        <v/>
      </c>
    </row>
    <row r="78">
      <c r="A78" s="7" t="inlineStr">
        <is>
          <t>670.22</t>
        </is>
      </c>
      <c r="B78" s="7" t="inlineStr">
        <is>
          <t>REND. FCROS. REGIMEN SUBSIDIADO EN SALUD</t>
        </is>
      </c>
      <c r="C78" s="8">
        <f>SUMIF(INGRESOS!$R:$R,A78,INGRESOS!$L:$L)</f>
        <v/>
      </c>
      <c r="D78" s="8">
        <f>SUMIF(EGRESOS!$P:$P,A78,EGRESOS!$Y:$Y)</f>
        <v/>
      </c>
      <c r="E78" s="8">
        <f>C78-D78</f>
        <v/>
      </c>
      <c r="F78" s="8">
        <f>SUMIF(INGRESOS!$R:$R,A78,INGRESOS!$N:$N)</f>
        <v/>
      </c>
      <c r="G78" s="8">
        <f>SUMIF(EGRESOS!$P:$P,A78,EGRESOS!$AA:$AA)</f>
        <v/>
      </c>
      <c r="H78" s="8">
        <f>F78-G78</f>
        <v/>
      </c>
      <c r="I78" s="8">
        <f>SUMIF(EGRESOS!$P:$P,A78,EGRESOS!$AB:$AB)</f>
        <v/>
      </c>
      <c r="J78" s="8">
        <f>G78-I78</f>
        <v/>
      </c>
      <c r="K78" s="8">
        <f>SUMIF(EGRESOS!$P:$P,A78,EGRESOS!$AC:$AC)</f>
        <v/>
      </c>
      <c r="L78" s="8">
        <f>I78-K78</f>
        <v/>
      </c>
      <c r="M78" s="8">
        <f>H78+J78+L78</f>
        <v/>
      </c>
    </row>
    <row r="79">
      <c r="A79" s="7" t="inlineStr">
        <is>
          <t>631</t>
        </is>
      </c>
      <c r="B79" s="7" t="inlineStr">
        <is>
          <t>Coljuegos 25%</t>
        </is>
      </c>
      <c r="C79" s="8">
        <f>SUMIF(INGRESOS!$R:$R,A79,INGRESOS!$L:$L)</f>
        <v/>
      </c>
      <c r="D79" s="8">
        <f>SUMIF(EGRESOS!$P:$P,A79,EGRESOS!$Y:$Y)</f>
        <v/>
      </c>
      <c r="E79" s="8">
        <f>C79-D79</f>
        <v/>
      </c>
      <c r="F79" s="8">
        <f>SUMIF(INGRESOS!$R:$R,A79,INGRESOS!$N:$N)</f>
        <v/>
      </c>
      <c r="G79" s="8">
        <f>SUMIF(EGRESOS!$P:$P,A79,EGRESOS!$AA:$AA)</f>
        <v/>
      </c>
      <c r="H79" s="8">
        <f>F79-G79</f>
        <v/>
      </c>
      <c r="I79" s="8">
        <f>SUMIF(EGRESOS!$P:$P,A79,EGRESOS!$AB:$AB)</f>
        <v/>
      </c>
      <c r="J79" s="8">
        <f>G79-I79</f>
        <v/>
      </c>
      <c r="K79" s="8">
        <f>SUMIF(EGRESOS!$P:$P,A79,EGRESOS!$AC:$AC)</f>
        <v/>
      </c>
      <c r="L79" s="8">
        <f>I79-K79</f>
        <v/>
      </c>
      <c r="M79" s="8">
        <f>H79+J79+L79</f>
        <v/>
      </c>
    </row>
    <row r="80">
      <c r="A80" s="7" t="inlineStr">
        <is>
          <t>631.2</t>
        </is>
      </c>
      <c r="B80" s="7" t="inlineStr">
        <is>
          <t>RF Coljuegos 25%</t>
        </is>
      </c>
      <c r="C80" s="8">
        <f>SUMIF(INGRESOS!$R:$R,A80,INGRESOS!$L:$L)</f>
        <v/>
      </c>
      <c r="D80" s="8">
        <f>SUMIF(EGRESOS!$P:$P,A80,EGRESOS!$Y:$Y)</f>
        <v/>
      </c>
      <c r="E80" s="8">
        <f>C80-D80</f>
        <v/>
      </c>
      <c r="F80" s="8">
        <f>SUMIF(INGRESOS!$R:$R,A80,INGRESOS!$N:$N)</f>
        <v/>
      </c>
      <c r="G80" s="8">
        <f>SUMIF(EGRESOS!$P:$P,A80,EGRESOS!$AA:$AA)</f>
        <v/>
      </c>
      <c r="H80" s="8">
        <f>F80-G80</f>
        <v/>
      </c>
      <c r="I80" s="8">
        <f>SUMIF(EGRESOS!$P:$P,A80,EGRESOS!$AB:$AB)</f>
        <v/>
      </c>
      <c r="J80" s="8">
        <f>G80-I80</f>
        <v/>
      </c>
      <c r="K80" s="8">
        <f>SUMIF(EGRESOS!$P:$P,A80,EGRESOS!$AC:$AC)</f>
        <v/>
      </c>
      <c r="L80" s="8">
        <f>I80-K80</f>
        <v/>
      </c>
      <c r="M80" s="8">
        <f>H80+J80+L80</f>
        <v/>
      </c>
    </row>
    <row r="81">
      <c r="A81" s="7" t="inlineStr">
        <is>
          <t>261</t>
        </is>
      </c>
      <c r="B81" s="7" t="inlineStr">
        <is>
          <t>SGP SALUD PUBLICA ONCE DOCEAVAS VIGENCIA ACTUAL MAS ULTIMA DOCEAVA VIGENCIA ANTERIOR</t>
        </is>
      </c>
      <c r="C81" s="8">
        <f>SUMIF(INGRESOS!$R:$R,A81,INGRESOS!$L:$L)</f>
        <v/>
      </c>
      <c r="D81" s="8">
        <f>SUMIF(EGRESOS!$P:$P,A81,EGRESOS!$Y:$Y)</f>
        <v/>
      </c>
      <c r="E81" s="8">
        <f>C81-D81</f>
        <v/>
      </c>
      <c r="F81" s="8">
        <f>SUMIF(INGRESOS!$R:$R,A81,INGRESOS!$N:$N)</f>
        <v/>
      </c>
      <c r="G81" s="8">
        <f>SUMIF(EGRESOS!$P:$P,A81,EGRESOS!$AA:$AA)</f>
        <v/>
      </c>
      <c r="H81" s="8">
        <f>F81-G81</f>
        <v/>
      </c>
      <c r="I81" s="8">
        <f>SUMIF(EGRESOS!$P:$P,A81,EGRESOS!$AB:$AB)</f>
        <v/>
      </c>
      <c r="J81" s="8">
        <f>G81-I81</f>
        <v/>
      </c>
      <c r="K81" s="8">
        <f>SUMIF(EGRESOS!$P:$P,A81,EGRESOS!$AC:$AC)</f>
        <v/>
      </c>
      <c r="L81" s="8">
        <f>I81-K81</f>
        <v/>
      </c>
      <c r="M81" s="8">
        <f>H81+J81+L81</f>
        <v/>
      </c>
    </row>
    <row r="82">
      <c r="A82" s="7" t="inlineStr">
        <is>
          <t>270</t>
        </is>
      </c>
      <c r="B82" s="7" t="inlineStr">
        <is>
          <t>SGP SALUD PUBLICA - RENDIMIENTOS FINANCIEROS RB</t>
        </is>
      </c>
      <c r="C82" s="8">
        <f>SUMIF(INGRESOS!$R:$R,A82,INGRESOS!$L:$L)</f>
        <v/>
      </c>
      <c r="D82" s="8">
        <f>SUMIF(EGRESOS!$P:$P,A82,EGRESOS!$Y:$Y)</f>
        <v/>
      </c>
      <c r="E82" s="8">
        <f>C82-D82</f>
        <v/>
      </c>
      <c r="F82" s="8">
        <f>SUMIF(INGRESOS!$R:$R,A82,INGRESOS!$N:$N)</f>
        <v/>
      </c>
      <c r="G82" s="8">
        <f>SUMIF(EGRESOS!$P:$P,A82,EGRESOS!$AA:$AA)</f>
        <v/>
      </c>
      <c r="H82" s="8">
        <f>F82-G82</f>
        <v/>
      </c>
      <c r="I82" s="8">
        <f>SUMIF(EGRESOS!$P:$P,A82,EGRESOS!$AB:$AB)</f>
        <v/>
      </c>
      <c r="J82" s="8">
        <f>G82-I82</f>
        <v/>
      </c>
      <c r="K82" s="8">
        <f>SUMIF(EGRESOS!$P:$P,A82,EGRESOS!$AC:$AC)</f>
        <v/>
      </c>
      <c r="L82" s="8">
        <f>I82-K82</f>
        <v/>
      </c>
      <c r="M82" s="8">
        <f>H82+J82+L82</f>
        <v/>
      </c>
    </row>
    <row r="83">
      <c r="A83" s="7" t="inlineStr">
        <is>
          <t>670.9</t>
        </is>
      </c>
      <c r="B83" s="7" t="inlineStr">
        <is>
          <t>REND. FCROS. OTROS GASTOS EN SALUD</t>
        </is>
      </c>
      <c r="C83" s="8">
        <f>SUMIF(INGRESOS!$R:$R,A83,INGRESOS!$L:$L)</f>
        <v/>
      </c>
      <c r="D83" s="8">
        <f>SUMIF(EGRESOS!$P:$P,A83,EGRESOS!$Y:$Y)</f>
        <v/>
      </c>
      <c r="E83" s="8">
        <f>C83-D83</f>
        <v/>
      </c>
      <c r="F83" s="8">
        <f>SUMIF(INGRESOS!$R:$R,A83,INGRESOS!$N:$N)</f>
        <v/>
      </c>
      <c r="G83" s="8">
        <f>SUMIF(EGRESOS!$P:$P,A83,EGRESOS!$AA:$AA)</f>
        <v/>
      </c>
      <c r="H83" s="8">
        <f>F83-G83</f>
        <v/>
      </c>
      <c r="I83" s="8">
        <f>SUMIF(EGRESOS!$P:$P,A83,EGRESOS!$AB:$AB)</f>
        <v/>
      </c>
      <c r="J83" s="8">
        <f>G83-I83</f>
        <v/>
      </c>
      <c r="K83" s="8">
        <f>SUMIF(EGRESOS!$P:$P,A83,EGRESOS!$AC:$AC)</f>
        <v/>
      </c>
      <c r="L83" s="8">
        <f>I83-K83</f>
        <v/>
      </c>
      <c r="M83" s="8">
        <f>H83+J83+L83</f>
        <v/>
      </c>
    </row>
    <row r="84">
      <c r="A84" s="7" t="inlineStr">
        <is>
          <t>270.2</t>
        </is>
      </c>
      <c r="B84" s="7" t="inlineStr">
        <is>
          <t>RB RF REGIMEN SUBSIDIADO</t>
        </is>
      </c>
      <c r="C84" s="8">
        <f>SUMIF(INGRESOS!$R:$R,A84,INGRESOS!$L:$L)</f>
        <v/>
      </c>
      <c r="D84" s="8">
        <f>SUMIF(EGRESOS!$P:$P,A84,EGRESOS!$Y:$Y)</f>
        <v/>
      </c>
      <c r="E84" s="8">
        <f>C84-D84</f>
        <v/>
      </c>
      <c r="F84" s="8">
        <f>SUMIF(INGRESOS!$R:$R,A84,INGRESOS!$N:$N)</f>
        <v/>
      </c>
      <c r="G84" s="8">
        <f>SUMIF(EGRESOS!$P:$P,A84,EGRESOS!$AA:$AA)</f>
        <v/>
      </c>
      <c r="H84" s="8">
        <f>F84-G84</f>
        <v/>
      </c>
      <c r="I84" s="8">
        <f>SUMIF(EGRESOS!$P:$P,A84,EGRESOS!$AB:$AB)</f>
        <v/>
      </c>
      <c r="J84" s="8">
        <f>G84-I84</f>
        <v/>
      </c>
      <c r="K84" s="8">
        <f>SUMIF(EGRESOS!$P:$P,A84,EGRESOS!$AC:$AC)</f>
        <v/>
      </c>
      <c r="L84" s="8">
        <f>I84-K84</f>
        <v/>
      </c>
      <c r="M84" s="8">
        <f>H84+J84+L84</f>
        <v/>
      </c>
    </row>
    <row r="85">
      <c r="A85" s="7" t="inlineStr">
        <is>
          <t>250</t>
        </is>
      </c>
      <c r="B85" s="7" t="inlineStr">
        <is>
          <t>SGP SALUD PUBLICA SALDOS NO EJECUTADOS VIGENCIAS ANTERIORES Y REINTEGROS</t>
        </is>
      </c>
      <c r="C85" s="8">
        <f>SUMIF(INGRESOS!$R:$R,A85,INGRESOS!$L:$L)</f>
        <v/>
      </c>
      <c r="D85" s="8">
        <f>SUMIF(EGRESOS!$P:$P,A85,EGRESOS!$Y:$Y)</f>
        <v/>
      </c>
      <c r="E85" s="8">
        <f>C85-D85</f>
        <v/>
      </c>
      <c r="F85" s="8">
        <f>SUMIF(INGRESOS!$R:$R,A85,INGRESOS!$N:$N)</f>
        <v/>
      </c>
      <c r="G85" s="8">
        <f>SUMIF(EGRESOS!$P:$P,A85,EGRESOS!$AA:$AA)</f>
        <v/>
      </c>
      <c r="H85" s="8">
        <f>F85-G85</f>
        <v/>
      </c>
      <c r="I85" s="8">
        <f>SUMIF(EGRESOS!$P:$P,A85,EGRESOS!$AB:$AB)</f>
        <v/>
      </c>
      <c r="J85" s="8">
        <f>G85-I85</f>
        <v/>
      </c>
      <c r="K85" s="8">
        <f>SUMIF(EGRESOS!$P:$P,A85,EGRESOS!$AC:$AC)</f>
        <v/>
      </c>
      <c r="L85" s="8">
        <f>I85-K85</f>
        <v/>
      </c>
      <c r="M85" s="8">
        <f>H85+J85+L85</f>
        <v/>
      </c>
    </row>
    <row r="86">
      <c r="A86" s="7" t="inlineStr">
        <is>
          <t>630.1</t>
        </is>
      </c>
      <c r="B86" s="7" t="inlineStr">
        <is>
          <t>COLJUEGOS RB</t>
        </is>
      </c>
      <c r="C86" s="8">
        <f>SUMIF(INGRESOS!$R:$R,A86,INGRESOS!$L:$L)</f>
        <v/>
      </c>
      <c r="D86" s="8">
        <f>SUMIF(EGRESOS!$P:$P,A86,EGRESOS!$Y:$Y)</f>
        <v/>
      </c>
      <c r="E86" s="8">
        <f>C86-D86</f>
        <v/>
      </c>
      <c r="F86" s="8">
        <f>SUMIF(INGRESOS!$R:$R,A86,INGRESOS!$N:$N)</f>
        <v/>
      </c>
      <c r="G86" s="8">
        <f>SUMIF(EGRESOS!$P:$P,A86,EGRESOS!$AA:$AA)</f>
        <v/>
      </c>
      <c r="H86" s="8">
        <f>F86-G86</f>
        <v/>
      </c>
      <c r="I86" s="8">
        <f>SUMIF(EGRESOS!$P:$P,A86,EGRESOS!$AB:$AB)</f>
        <v/>
      </c>
      <c r="J86" s="8">
        <f>G86-I86</f>
        <v/>
      </c>
      <c r="K86" s="8">
        <f>SUMIF(EGRESOS!$P:$P,A86,EGRESOS!$AC:$AC)</f>
        <v/>
      </c>
      <c r="L86" s="8">
        <f>I86-K86</f>
        <v/>
      </c>
      <c r="M86" s="8">
        <f>H86+J86+L86</f>
        <v/>
      </c>
    </row>
    <row r="87">
      <c r="A87" s="7" t="inlineStr">
        <is>
          <t>670.11.1</t>
        </is>
      </c>
      <c r="B87" s="7" t="inlineStr">
        <is>
          <t>REND. FCROS. OTROS GASTOS EN SALUD RB</t>
        </is>
      </c>
      <c r="C87" s="8">
        <f>SUMIF(INGRESOS!$R:$R,A87,INGRESOS!$L:$L)</f>
        <v/>
      </c>
      <c r="D87" s="8">
        <f>SUMIF(EGRESOS!$P:$P,A87,EGRESOS!$Y:$Y)</f>
        <v/>
      </c>
      <c r="E87" s="8">
        <f>C87-D87</f>
        <v/>
      </c>
      <c r="F87" s="8">
        <f>SUMIF(INGRESOS!$R:$R,A87,INGRESOS!$N:$N)</f>
        <v/>
      </c>
      <c r="G87" s="8">
        <f>SUMIF(EGRESOS!$P:$P,A87,EGRESOS!$AA:$AA)</f>
        <v/>
      </c>
      <c r="H87" s="8">
        <f>F87-G87</f>
        <v/>
      </c>
      <c r="I87" s="8">
        <f>SUMIF(EGRESOS!$P:$P,A87,EGRESOS!$AB:$AB)</f>
        <v/>
      </c>
      <c r="J87" s="8">
        <f>G87-I87</f>
        <v/>
      </c>
      <c r="K87" s="8">
        <f>SUMIF(EGRESOS!$P:$P,A87,EGRESOS!$AC:$AC)</f>
        <v/>
      </c>
      <c r="L87" s="8">
        <f>I87-K87</f>
        <v/>
      </c>
      <c r="M87" s="8">
        <f>H87+J87+L87</f>
        <v/>
      </c>
    </row>
    <row r="88">
      <c r="A88" s="7" t="inlineStr">
        <is>
          <t>670.3.1</t>
        </is>
      </c>
      <c r="B88" s="7" t="inlineStr">
        <is>
          <t>RB REND. FCROS COLJUEGOS 25%</t>
        </is>
      </c>
      <c r="C88" s="8">
        <f>SUMIF(INGRESOS!$R:$R,A88,INGRESOS!$L:$L)</f>
        <v/>
      </c>
      <c r="D88" s="8">
        <f>SUMIF(EGRESOS!$P:$P,A88,EGRESOS!$Y:$Y)</f>
        <v/>
      </c>
      <c r="E88" s="8">
        <f>C88-D88</f>
        <v/>
      </c>
      <c r="F88" s="8">
        <f>SUMIF(INGRESOS!$R:$R,A88,INGRESOS!$N:$N)</f>
        <v/>
      </c>
      <c r="G88" s="8">
        <f>SUMIF(EGRESOS!$P:$P,A88,EGRESOS!$AA:$AA)</f>
        <v/>
      </c>
      <c r="H88" s="8">
        <f>F88-G88</f>
        <v/>
      </c>
      <c r="I88" s="8">
        <f>SUMIF(EGRESOS!$P:$P,A88,EGRESOS!$AB:$AB)</f>
        <v/>
      </c>
      <c r="J88" s="8">
        <f>G88-I88</f>
        <v/>
      </c>
      <c r="K88" s="8">
        <f>SUMIF(EGRESOS!$P:$P,A88,EGRESOS!$AC:$AC)</f>
        <v/>
      </c>
      <c r="L88" s="8">
        <f>I88-K88</f>
        <v/>
      </c>
      <c r="M88" s="8">
        <f>H88+J88+L88</f>
        <v/>
      </c>
    </row>
    <row r="89">
      <c r="A89" s="7" t="inlineStr">
        <is>
          <t>292.1</t>
        </is>
      </c>
      <c r="B89" s="7" t="inlineStr">
        <is>
          <t>Transferencia AAA ACUEDUCTO</t>
        </is>
      </c>
      <c r="C89" s="8">
        <f>SUMIF(INGRESOS!$R:$R,A89,INGRESOS!$L:$L)</f>
        <v/>
      </c>
      <c r="D89" s="8">
        <f>SUMIF(EGRESOS!$P:$P,A89,EGRESOS!$Y:$Y)</f>
        <v/>
      </c>
      <c r="E89" s="8">
        <f>C89-D89</f>
        <v/>
      </c>
      <c r="F89" s="8">
        <f>SUMIF(INGRESOS!$R:$R,A89,INGRESOS!$N:$N)</f>
        <v/>
      </c>
      <c r="G89" s="8">
        <f>SUMIF(EGRESOS!$P:$P,A89,EGRESOS!$AA:$AA)</f>
        <v/>
      </c>
      <c r="H89" s="8">
        <f>F89-G89</f>
        <v/>
      </c>
      <c r="I89" s="8">
        <f>SUMIF(EGRESOS!$P:$P,A89,EGRESOS!$AB:$AB)</f>
        <v/>
      </c>
      <c r="J89" s="8">
        <f>G89-I89</f>
        <v/>
      </c>
      <c r="K89" s="8">
        <f>SUMIF(EGRESOS!$P:$P,A89,EGRESOS!$AC:$AC)</f>
        <v/>
      </c>
      <c r="L89" s="8">
        <f>I89-K89</f>
        <v/>
      </c>
      <c r="M89" s="8">
        <f>H89+J89+L89</f>
        <v/>
      </c>
    </row>
    <row r="90">
      <c r="A90" s="7" t="inlineStr">
        <is>
          <t>104</t>
        </is>
      </c>
      <c r="B90" s="7" t="inlineStr">
        <is>
          <t>RECURSOS PROPIOS AAA</t>
        </is>
      </c>
      <c r="C90" s="8">
        <f>SUMIF(INGRESOS!$R:$R,A90,INGRESOS!$L:$L)</f>
        <v/>
      </c>
      <c r="D90" s="8">
        <f>SUMIF(EGRESOS!$P:$P,A90,EGRESOS!$Y:$Y)</f>
        <v/>
      </c>
      <c r="E90" s="8">
        <f>C90-D90</f>
        <v/>
      </c>
      <c r="F90" s="8">
        <f>SUMIF(INGRESOS!$R:$R,A90,INGRESOS!$N:$N)</f>
        <v/>
      </c>
      <c r="G90" s="8">
        <f>SUMIF(EGRESOS!$P:$P,A90,EGRESOS!$AA:$AA)</f>
        <v/>
      </c>
      <c r="H90" s="8">
        <f>F90-G90</f>
        <v/>
      </c>
      <c r="I90" s="8">
        <f>SUMIF(EGRESOS!$P:$P,A90,EGRESOS!$AB:$AB)</f>
        <v/>
      </c>
      <c r="J90" s="8">
        <f>G90-I90</f>
        <v/>
      </c>
      <c r="K90" s="8">
        <f>SUMIF(EGRESOS!$P:$P,A90,EGRESOS!$AC:$AC)</f>
        <v/>
      </c>
      <c r="L90" s="8">
        <f>I90-K90</f>
        <v/>
      </c>
      <c r="M90" s="8">
        <f>H90+J90+L90</f>
        <v/>
      </c>
    </row>
    <row r="91">
      <c r="A91" s="7" t="inlineStr">
        <is>
          <t>292.2</t>
        </is>
      </c>
      <c r="B91" s="7" t="inlineStr">
        <is>
          <t>Transferencia AAA ALCANTARILLADO</t>
        </is>
      </c>
      <c r="C91" s="8">
        <f>SUMIF(INGRESOS!$R:$R,A91,INGRESOS!$L:$L)</f>
        <v/>
      </c>
      <c r="D91" s="8">
        <f>SUMIF(EGRESOS!$P:$P,A91,EGRESOS!$Y:$Y)</f>
        <v/>
      </c>
      <c r="E91" s="8">
        <f>C91-D91</f>
        <v/>
      </c>
      <c r="F91" s="8">
        <f>SUMIF(INGRESOS!$R:$R,A91,INGRESOS!$N:$N)</f>
        <v/>
      </c>
      <c r="G91" s="8">
        <f>SUMIF(EGRESOS!$P:$P,A91,EGRESOS!$AA:$AA)</f>
        <v/>
      </c>
      <c r="H91" s="8">
        <f>F91-G91</f>
        <v/>
      </c>
      <c r="I91" s="8">
        <f>SUMIF(EGRESOS!$P:$P,A91,EGRESOS!$AB:$AB)</f>
        <v/>
      </c>
      <c r="J91" s="8">
        <f>G91-I91</f>
        <v/>
      </c>
      <c r="K91" s="8">
        <f>SUMIF(EGRESOS!$P:$P,A91,EGRESOS!$AC:$AC)</f>
        <v/>
      </c>
      <c r="L91" s="8">
        <f>I91-K91</f>
        <v/>
      </c>
      <c r="M91" s="8">
        <f>H91+J91+L91</f>
        <v/>
      </c>
    </row>
    <row r="92">
      <c r="A92" s="7" t="inlineStr">
        <is>
          <t>292.3</t>
        </is>
      </c>
      <c r="B92" s="7" t="inlineStr">
        <is>
          <t>Transferencia AAA ASEO</t>
        </is>
      </c>
      <c r="C92" s="8">
        <f>SUMIF(INGRESOS!$R:$R,A92,INGRESOS!$L:$L)</f>
        <v/>
      </c>
      <c r="D92" s="8">
        <f>SUMIF(EGRESOS!$P:$P,A92,EGRESOS!$Y:$Y)</f>
        <v/>
      </c>
      <c r="E92" s="8">
        <f>C92-D92</f>
        <v/>
      </c>
      <c r="F92" s="8">
        <f>SUMIF(INGRESOS!$R:$R,A92,INGRESOS!$N:$N)</f>
        <v/>
      </c>
      <c r="G92" s="8">
        <f>SUMIF(EGRESOS!$P:$P,A92,EGRESOS!$AA:$AA)</f>
        <v/>
      </c>
      <c r="H92" s="8">
        <f>F92-G92</f>
        <v/>
      </c>
      <c r="I92" s="8">
        <f>SUMIF(EGRESOS!$P:$P,A92,EGRESOS!$AB:$AB)</f>
        <v/>
      </c>
      <c r="J92" s="8">
        <f>G92-I92</f>
        <v/>
      </c>
      <c r="K92" s="8">
        <f>SUMIF(EGRESOS!$P:$P,A92,EGRESOS!$AC:$AC)</f>
        <v/>
      </c>
      <c r="L92" s="8">
        <f>I92-K92</f>
        <v/>
      </c>
      <c r="M92" s="8">
        <f>H92+J92+L92</f>
        <v/>
      </c>
    </row>
    <row r="93">
      <c r="A93" s="7" t="inlineStr">
        <is>
          <t>292.1.1</t>
        </is>
      </c>
      <c r="B93" s="7" t="inlineStr">
        <is>
          <t>TRANSFERENCIA AAA ACUEDUCTO RB</t>
        </is>
      </c>
      <c r="C93" s="8">
        <f>SUMIF(INGRESOS!$R:$R,A93,INGRESOS!$L:$L)</f>
        <v/>
      </c>
      <c r="D93" s="8">
        <f>SUMIF(EGRESOS!$P:$P,A93,EGRESOS!$Y:$Y)</f>
        <v/>
      </c>
      <c r="E93" s="8">
        <f>C93-D93</f>
        <v/>
      </c>
      <c r="F93" s="8">
        <f>SUMIF(INGRESOS!$R:$R,A93,INGRESOS!$N:$N)</f>
        <v/>
      </c>
      <c r="G93" s="8">
        <f>SUMIF(EGRESOS!$P:$P,A93,EGRESOS!$AA:$AA)</f>
        <v/>
      </c>
      <c r="H93" s="8">
        <f>F93-G93</f>
        <v/>
      </c>
      <c r="I93" s="8">
        <f>SUMIF(EGRESOS!$P:$P,A93,EGRESOS!$AB:$AB)</f>
        <v/>
      </c>
      <c r="J93" s="8">
        <f>G93-I93</f>
        <v/>
      </c>
      <c r="K93" s="8">
        <f>SUMIF(EGRESOS!$P:$P,A93,EGRESOS!$AC:$AC)</f>
        <v/>
      </c>
      <c r="L93" s="8">
        <f>I93-K93</f>
        <v/>
      </c>
      <c r="M93" s="8">
        <f>H93+J93+L93</f>
        <v/>
      </c>
    </row>
    <row r="94">
      <c r="A94" s="7" t="inlineStr">
        <is>
          <t>292.3.1</t>
        </is>
      </c>
      <c r="B94" s="7" t="inlineStr">
        <is>
          <t>TRANSFERENCIA AAA ASEO RB</t>
        </is>
      </c>
      <c r="C94" s="8">
        <f>SUMIF(INGRESOS!$R:$R,A94,INGRESOS!$L:$L)</f>
        <v/>
      </c>
      <c r="D94" s="8">
        <f>SUMIF(EGRESOS!$P:$P,A94,EGRESOS!$Y:$Y)</f>
        <v/>
      </c>
      <c r="E94" s="8">
        <f>C94-D94</f>
        <v/>
      </c>
      <c r="F94" s="8">
        <f>SUMIF(INGRESOS!$R:$R,A94,INGRESOS!$N:$N)</f>
        <v/>
      </c>
      <c r="G94" s="8">
        <f>SUMIF(EGRESOS!$P:$P,A94,EGRESOS!$AA:$AA)</f>
        <v/>
      </c>
      <c r="H94" s="8">
        <f>F94-G94</f>
        <v/>
      </c>
      <c r="I94" s="8">
        <f>SUMIF(EGRESOS!$P:$P,A94,EGRESOS!$AB:$AB)</f>
        <v/>
      </c>
      <c r="J94" s="8">
        <f>G94-I94</f>
        <v/>
      </c>
      <c r="K94" s="8">
        <f>SUMIF(EGRESOS!$P:$P,A94,EGRESOS!$AC:$AC)</f>
        <v/>
      </c>
      <c r="L94" s="8">
        <f>I94-K94</f>
        <v/>
      </c>
      <c r="M94" s="8">
        <f>H94+J94+L94</f>
        <v/>
      </c>
    </row>
    <row r="95">
      <c r="A95" s="7" t="inlineStr">
        <is>
          <t>292.2.1</t>
        </is>
      </c>
      <c r="B95" s="7" t="inlineStr">
        <is>
          <t>TRANSFERENCIA AAA ALCANTARILLADO RB</t>
        </is>
      </c>
      <c r="C95" s="8">
        <f>SUMIF(INGRESOS!$R:$R,A95,INGRESOS!$L:$L)</f>
        <v/>
      </c>
      <c r="D95" s="8">
        <f>SUMIF(EGRESOS!$P:$P,A95,EGRESOS!$Y:$Y)</f>
        <v/>
      </c>
      <c r="E95" s="8">
        <f>C95-D95</f>
        <v/>
      </c>
      <c r="F95" s="8">
        <f>SUMIF(INGRESOS!$R:$R,A95,INGRESOS!$N:$N)</f>
        <v/>
      </c>
      <c r="G95" s="8">
        <f>SUMIF(EGRESOS!$P:$P,A95,EGRESOS!$AA:$AA)</f>
        <v/>
      </c>
      <c r="H95" s="8">
        <f>F95-G95</f>
        <v/>
      </c>
      <c r="I95" s="8">
        <f>SUMIF(EGRESOS!$P:$P,A95,EGRESOS!$AB:$AB)</f>
        <v/>
      </c>
      <c r="J95" s="8">
        <f>G95-I95</f>
        <v/>
      </c>
      <c r="K95" s="8">
        <f>SUMIF(EGRESOS!$P:$P,A95,EGRESOS!$AC:$AC)</f>
        <v/>
      </c>
      <c r="L95" s="8">
        <f>I95-K95</f>
        <v/>
      </c>
      <c r="M95" s="8">
        <f>H95+J95+L95</f>
        <v/>
      </c>
    </row>
  </sheetData>
  <conditionalFormatting sqref="C2:M95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</cols>
  <sheetData>
    <row r="1">
      <c r="A1" s="7" t="inlineStr">
        <is>
          <t>CONCEPTO</t>
        </is>
      </c>
      <c r="B1" s="7" t="inlineStr">
        <is>
          <t>VALOR</t>
        </is>
      </c>
    </row>
    <row r="2">
      <c r="A2" s="7" t="inlineStr">
        <is>
          <t>Recaudo hoja INGRESOS</t>
        </is>
      </c>
      <c r="B2" s="8">
        <f>INGRESOS!N2</f>
        <v/>
      </c>
    </row>
    <row r="3">
      <c r="A3" s="7" t="inlineStr">
        <is>
          <t>Suma recaudo hoja CRUCE INFORMACION</t>
        </is>
      </c>
      <c r="B3" s="8">
        <f>SUM('CRUCE INFORMACION'!F:F)</f>
        <v/>
      </c>
    </row>
    <row r="4">
      <c r="A4" s="7" t="inlineStr">
        <is>
          <t>Diferencia</t>
        </is>
      </c>
      <c r="B4" s="8">
        <f>B2-B3</f>
        <v/>
      </c>
    </row>
    <row r="5">
      <c r="A5" s="7" t="inlineStr">
        <is>
          <t>Resultado</t>
        </is>
      </c>
      <c r="B5" s="7">
        <f>IF(ABS(B4)&lt;0.01,"Los datos coinciden","Los datos no coinciden, faltan productos")</f>
        <v/>
      </c>
    </row>
    <row r="8">
      <c r="A8" s="7" t="inlineStr">
        <is>
          <t>VALIDACION PRESUPUESTO DEFINITIVO</t>
        </is>
      </c>
      <c r="B8" s="7" t="inlineStr">
        <is>
          <t>VALOR</t>
        </is>
      </c>
    </row>
    <row r="9">
      <c r="A9" s="7" t="inlineStr">
        <is>
          <t>Presupuesto Definitivo INGRESOS</t>
        </is>
      </c>
      <c r="B9" s="8">
        <f>INGRESOS!L2</f>
        <v/>
      </c>
    </row>
    <row r="10">
      <c r="A10" s="7" t="inlineStr">
        <is>
          <t>Suma Presupuesto Definitivo CRUCE</t>
        </is>
      </c>
      <c r="B10" s="8">
        <f>SUM('CRUCE INFORMACION'!C:C)</f>
        <v/>
      </c>
    </row>
    <row r="11">
      <c r="A11" s="7" t="inlineStr">
        <is>
          <t>Diferencia</t>
        </is>
      </c>
      <c r="B11" s="8">
        <f>B9-B10</f>
        <v/>
      </c>
    </row>
    <row r="12">
      <c r="A12" s="7" t="inlineStr">
        <is>
          <t>Resultado</t>
        </is>
      </c>
      <c r="B12" s="7">
        <f>IF(ABS(B11)&lt;0.01,"Los datos coinciden","Los datos no coinciden, falta un producto")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2026-06-10T22:36:32Z</dcterms:created>
  <dcterms:modified xsi:type="dcterms:W3CDTF">2026-06-10T22:36:32Z</dcterms:modified>
</cp:coreProperties>
</file>