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diegomunoz/Desktop/Pagina Web/"/>
    </mc:Choice>
  </mc:AlternateContent>
  <xr:revisionPtr revIDLastSave="0" documentId="13_ncr:1_{473C63B1-9D79-C441-934C-A4497F668C97}" xr6:coauthVersionLast="47" xr6:coauthVersionMax="47" xr10:uidLastSave="{00000000-0000-0000-0000-000000000000}"/>
  <bookViews>
    <workbookView xWindow="0" yWindow="660" windowWidth="29400" windowHeight="16940" activeTab="3" xr2:uid="{00000000-000D-0000-FFFF-FFFF00000000}"/>
  </bookViews>
  <sheets>
    <sheet name="INGRESOS" sheetId="1" r:id="rId1"/>
    <sheet name="EGRESOS" sheetId="2" r:id="rId2"/>
    <sheet name="CRUCE INFORMACION" sheetId="3" r:id="rId3"/>
    <sheet name="INFORME RAPIDO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2" i="4"/>
  <c r="K95" i="3"/>
  <c r="I95" i="3"/>
  <c r="G95" i="3"/>
  <c r="F95" i="3"/>
  <c r="D95" i="3"/>
  <c r="C95" i="3"/>
  <c r="K94" i="3"/>
  <c r="I94" i="3"/>
  <c r="G94" i="3"/>
  <c r="F94" i="3"/>
  <c r="D94" i="3"/>
  <c r="C94" i="3"/>
  <c r="K93" i="3"/>
  <c r="I93" i="3"/>
  <c r="G93" i="3"/>
  <c r="F93" i="3"/>
  <c r="D93" i="3"/>
  <c r="C93" i="3"/>
  <c r="K92" i="3"/>
  <c r="I92" i="3"/>
  <c r="G92" i="3"/>
  <c r="F92" i="3"/>
  <c r="D92" i="3"/>
  <c r="C92" i="3"/>
  <c r="K91" i="3"/>
  <c r="I91" i="3"/>
  <c r="G91" i="3"/>
  <c r="F91" i="3"/>
  <c r="D91" i="3"/>
  <c r="C91" i="3"/>
  <c r="K90" i="3"/>
  <c r="I90" i="3"/>
  <c r="G90" i="3"/>
  <c r="F90" i="3"/>
  <c r="D90" i="3"/>
  <c r="C90" i="3"/>
  <c r="K89" i="3"/>
  <c r="I89" i="3"/>
  <c r="G89" i="3"/>
  <c r="F89" i="3"/>
  <c r="D89" i="3"/>
  <c r="C89" i="3"/>
  <c r="K88" i="3"/>
  <c r="I88" i="3"/>
  <c r="G88" i="3"/>
  <c r="F88" i="3"/>
  <c r="D88" i="3"/>
  <c r="C88" i="3"/>
  <c r="K87" i="3"/>
  <c r="I87" i="3"/>
  <c r="G87" i="3"/>
  <c r="F87" i="3"/>
  <c r="D87" i="3"/>
  <c r="C87" i="3"/>
  <c r="K86" i="3"/>
  <c r="I86" i="3"/>
  <c r="G86" i="3"/>
  <c r="F86" i="3"/>
  <c r="D86" i="3"/>
  <c r="C86" i="3"/>
  <c r="K85" i="3"/>
  <c r="I85" i="3"/>
  <c r="G85" i="3"/>
  <c r="F85" i="3"/>
  <c r="D85" i="3"/>
  <c r="C85" i="3"/>
  <c r="K84" i="3"/>
  <c r="I84" i="3"/>
  <c r="G84" i="3"/>
  <c r="F84" i="3"/>
  <c r="D84" i="3"/>
  <c r="C84" i="3"/>
  <c r="K83" i="3"/>
  <c r="I83" i="3"/>
  <c r="G83" i="3"/>
  <c r="F83" i="3"/>
  <c r="D83" i="3"/>
  <c r="C83" i="3"/>
  <c r="K82" i="3"/>
  <c r="I82" i="3"/>
  <c r="G82" i="3"/>
  <c r="F82" i="3"/>
  <c r="D82" i="3"/>
  <c r="C82" i="3"/>
  <c r="K81" i="3"/>
  <c r="I81" i="3"/>
  <c r="G81" i="3"/>
  <c r="F81" i="3"/>
  <c r="D81" i="3"/>
  <c r="C81" i="3"/>
  <c r="K80" i="3"/>
  <c r="I80" i="3"/>
  <c r="G80" i="3"/>
  <c r="F80" i="3"/>
  <c r="D80" i="3"/>
  <c r="C80" i="3"/>
  <c r="K79" i="3"/>
  <c r="I79" i="3"/>
  <c r="G79" i="3"/>
  <c r="F79" i="3"/>
  <c r="D79" i="3"/>
  <c r="C79" i="3"/>
  <c r="K78" i="3"/>
  <c r="I78" i="3"/>
  <c r="G78" i="3"/>
  <c r="F78" i="3"/>
  <c r="D78" i="3"/>
  <c r="C78" i="3"/>
  <c r="K77" i="3"/>
  <c r="I77" i="3"/>
  <c r="G77" i="3"/>
  <c r="F77" i="3"/>
  <c r="D77" i="3"/>
  <c r="C77" i="3"/>
  <c r="K76" i="3"/>
  <c r="I76" i="3"/>
  <c r="G76" i="3"/>
  <c r="F76" i="3"/>
  <c r="D76" i="3"/>
  <c r="C76" i="3"/>
  <c r="K75" i="3"/>
  <c r="I75" i="3"/>
  <c r="G75" i="3"/>
  <c r="F75" i="3"/>
  <c r="D75" i="3"/>
  <c r="C75" i="3"/>
  <c r="K74" i="3"/>
  <c r="I74" i="3"/>
  <c r="G74" i="3"/>
  <c r="F74" i="3"/>
  <c r="D74" i="3"/>
  <c r="C74" i="3"/>
  <c r="K73" i="3"/>
  <c r="I73" i="3"/>
  <c r="G73" i="3"/>
  <c r="F73" i="3"/>
  <c r="D73" i="3"/>
  <c r="C73" i="3"/>
  <c r="K72" i="3"/>
  <c r="I72" i="3"/>
  <c r="G72" i="3"/>
  <c r="F72" i="3"/>
  <c r="D72" i="3"/>
  <c r="C72" i="3"/>
  <c r="K71" i="3"/>
  <c r="I71" i="3"/>
  <c r="G71" i="3"/>
  <c r="F71" i="3"/>
  <c r="D71" i="3"/>
  <c r="C71" i="3"/>
  <c r="K70" i="3"/>
  <c r="I70" i="3"/>
  <c r="G70" i="3"/>
  <c r="F70" i="3"/>
  <c r="D70" i="3"/>
  <c r="C70" i="3"/>
  <c r="K69" i="3"/>
  <c r="I69" i="3"/>
  <c r="G69" i="3"/>
  <c r="F69" i="3"/>
  <c r="D69" i="3"/>
  <c r="C69" i="3"/>
  <c r="K68" i="3"/>
  <c r="I68" i="3"/>
  <c r="G68" i="3"/>
  <c r="F68" i="3"/>
  <c r="D68" i="3"/>
  <c r="C68" i="3"/>
  <c r="K67" i="3"/>
  <c r="I67" i="3"/>
  <c r="G67" i="3"/>
  <c r="F67" i="3"/>
  <c r="D67" i="3"/>
  <c r="C67" i="3"/>
  <c r="K66" i="3"/>
  <c r="I66" i="3"/>
  <c r="G66" i="3"/>
  <c r="F66" i="3"/>
  <c r="D66" i="3"/>
  <c r="C66" i="3"/>
  <c r="K65" i="3"/>
  <c r="I65" i="3"/>
  <c r="G65" i="3"/>
  <c r="F65" i="3"/>
  <c r="D65" i="3"/>
  <c r="C65" i="3"/>
  <c r="K64" i="3"/>
  <c r="I64" i="3"/>
  <c r="G64" i="3"/>
  <c r="F64" i="3"/>
  <c r="D64" i="3"/>
  <c r="C64" i="3"/>
  <c r="K63" i="3"/>
  <c r="I63" i="3"/>
  <c r="G63" i="3"/>
  <c r="F63" i="3"/>
  <c r="D63" i="3"/>
  <c r="C63" i="3"/>
  <c r="K62" i="3"/>
  <c r="I62" i="3"/>
  <c r="G62" i="3"/>
  <c r="F62" i="3"/>
  <c r="D62" i="3"/>
  <c r="C62" i="3"/>
  <c r="K61" i="3"/>
  <c r="I61" i="3"/>
  <c r="G61" i="3"/>
  <c r="F61" i="3"/>
  <c r="D61" i="3"/>
  <c r="C61" i="3"/>
  <c r="K60" i="3"/>
  <c r="I60" i="3"/>
  <c r="G60" i="3"/>
  <c r="F60" i="3"/>
  <c r="D60" i="3"/>
  <c r="C60" i="3"/>
  <c r="K59" i="3"/>
  <c r="I59" i="3"/>
  <c r="G59" i="3"/>
  <c r="F59" i="3"/>
  <c r="D59" i="3"/>
  <c r="C59" i="3"/>
  <c r="K58" i="3"/>
  <c r="I58" i="3"/>
  <c r="G58" i="3"/>
  <c r="F58" i="3"/>
  <c r="D58" i="3"/>
  <c r="C58" i="3"/>
  <c r="K57" i="3"/>
  <c r="I57" i="3"/>
  <c r="G57" i="3"/>
  <c r="F57" i="3"/>
  <c r="D57" i="3"/>
  <c r="C57" i="3"/>
  <c r="K56" i="3"/>
  <c r="I56" i="3"/>
  <c r="G56" i="3"/>
  <c r="F56" i="3"/>
  <c r="D56" i="3"/>
  <c r="C56" i="3"/>
  <c r="K55" i="3"/>
  <c r="I55" i="3"/>
  <c r="G55" i="3"/>
  <c r="F55" i="3"/>
  <c r="D55" i="3"/>
  <c r="C55" i="3"/>
  <c r="K54" i="3"/>
  <c r="I54" i="3"/>
  <c r="G54" i="3"/>
  <c r="F54" i="3"/>
  <c r="D54" i="3"/>
  <c r="C54" i="3"/>
  <c r="K53" i="3"/>
  <c r="I53" i="3"/>
  <c r="G53" i="3"/>
  <c r="F53" i="3"/>
  <c r="D53" i="3"/>
  <c r="C53" i="3"/>
  <c r="K52" i="3"/>
  <c r="I52" i="3"/>
  <c r="G52" i="3"/>
  <c r="F52" i="3"/>
  <c r="D52" i="3"/>
  <c r="C52" i="3"/>
  <c r="K51" i="3"/>
  <c r="I51" i="3"/>
  <c r="G51" i="3"/>
  <c r="F51" i="3"/>
  <c r="D51" i="3"/>
  <c r="C51" i="3"/>
  <c r="K50" i="3"/>
  <c r="I50" i="3"/>
  <c r="G50" i="3"/>
  <c r="F50" i="3"/>
  <c r="D50" i="3"/>
  <c r="C50" i="3"/>
  <c r="K49" i="3"/>
  <c r="I49" i="3"/>
  <c r="G49" i="3"/>
  <c r="F49" i="3"/>
  <c r="D49" i="3"/>
  <c r="C49" i="3"/>
  <c r="K48" i="3"/>
  <c r="I48" i="3"/>
  <c r="G48" i="3"/>
  <c r="F48" i="3"/>
  <c r="D48" i="3"/>
  <c r="C48" i="3"/>
  <c r="K47" i="3"/>
  <c r="I47" i="3"/>
  <c r="G47" i="3"/>
  <c r="F47" i="3"/>
  <c r="D47" i="3"/>
  <c r="C47" i="3"/>
  <c r="K46" i="3"/>
  <c r="I46" i="3"/>
  <c r="G46" i="3"/>
  <c r="F46" i="3"/>
  <c r="D46" i="3"/>
  <c r="C46" i="3"/>
  <c r="K45" i="3"/>
  <c r="I45" i="3"/>
  <c r="G45" i="3"/>
  <c r="F45" i="3"/>
  <c r="D45" i="3"/>
  <c r="C45" i="3"/>
  <c r="K44" i="3"/>
  <c r="I44" i="3"/>
  <c r="G44" i="3"/>
  <c r="F44" i="3"/>
  <c r="D44" i="3"/>
  <c r="C44" i="3"/>
  <c r="K43" i="3"/>
  <c r="I43" i="3"/>
  <c r="G43" i="3"/>
  <c r="F43" i="3"/>
  <c r="D43" i="3"/>
  <c r="C43" i="3"/>
  <c r="K42" i="3"/>
  <c r="I42" i="3"/>
  <c r="G42" i="3"/>
  <c r="F42" i="3"/>
  <c r="D42" i="3"/>
  <c r="C42" i="3"/>
  <c r="K41" i="3"/>
  <c r="I41" i="3"/>
  <c r="G41" i="3"/>
  <c r="F41" i="3"/>
  <c r="D41" i="3"/>
  <c r="C41" i="3"/>
  <c r="K40" i="3"/>
  <c r="I40" i="3"/>
  <c r="G40" i="3"/>
  <c r="F40" i="3"/>
  <c r="D40" i="3"/>
  <c r="C40" i="3"/>
  <c r="K39" i="3"/>
  <c r="I39" i="3"/>
  <c r="G39" i="3"/>
  <c r="F39" i="3"/>
  <c r="D39" i="3"/>
  <c r="C39" i="3"/>
  <c r="K38" i="3"/>
  <c r="I38" i="3"/>
  <c r="G38" i="3"/>
  <c r="F38" i="3"/>
  <c r="D38" i="3"/>
  <c r="C38" i="3"/>
  <c r="K37" i="3"/>
  <c r="I37" i="3"/>
  <c r="G37" i="3"/>
  <c r="F37" i="3"/>
  <c r="D37" i="3"/>
  <c r="C37" i="3"/>
  <c r="K36" i="3"/>
  <c r="I36" i="3"/>
  <c r="G36" i="3"/>
  <c r="F36" i="3"/>
  <c r="D36" i="3"/>
  <c r="C36" i="3"/>
  <c r="K35" i="3"/>
  <c r="I35" i="3"/>
  <c r="G35" i="3"/>
  <c r="F35" i="3"/>
  <c r="D35" i="3"/>
  <c r="C35" i="3"/>
  <c r="K34" i="3"/>
  <c r="I34" i="3"/>
  <c r="G34" i="3"/>
  <c r="F34" i="3"/>
  <c r="D34" i="3"/>
  <c r="C34" i="3"/>
  <c r="K33" i="3"/>
  <c r="I33" i="3"/>
  <c r="G33" i="3"/>
  <c r="F33" i="3"/>
  <c r="D33" i="3"/>
  <c r="C33" i="3"/>
  <c r="K32" i="3"/>
  <c r="I32" i="3"/>
  <c r="G32" i="3"/>
  <c r="F32" i="3"/>
  <c r="D32" i="3"/>
  <c r="C32" i="3"/>
  <c r="K31" i="3"/>
  <c r="I31" i="3"/>
  <c r="G31" i="3"/>
  <c r="F31" i="3"/>
  <c r="D31" i="3"/>
  <c r="C31" i="3"/>
  <c r="K30" i="3"/>
  <c r="I30" i="3"/>
  <c r="G30" i="3"/>
  <c r="F30" i="3"/>
  <c r="D30" i="3"/>
  <c r="C30" i="3"/>
  <c r="K29" i="3"/>
  <c r="I29" i="3"/>
  <c r="G29" i="3"/>
  <c r="F29" i="3"/>
  <c r="D29" i="3"/>
  <c r="C29" i="3"/>
  <c r="K28" i="3"/>
  <c r="I28" i="3"/>
  <c r="G28" i="3"/>
  <c r="F28" i="3"/>
  <c r="D28" i="3"/>
  <c r="C28" i="3"/>
  <c r="K27" i="3"/>
  <c r="I27" i="3"/>
  <c r="G27" i="3"/>
  <c r="F27" i="3"/>
  <c r="D27" i="3"/>
  <c r="C27" i="3"/>
  <c r="K26" i="3"/>
  <c r="I26" i="3"/>
  <c r="G26" i="3"/>
  <c r="F26" i="3"/>
  <c r="D26" i="3"/>
  <c r="C26" i="3"/>
  <c r="K25" i="3"/>
  <c r="I25" i="3"/>
  <c r="G25" i="3"/>
  <c r="F25" i="3"/>
  <c r="D25" i="3"/>
  <c r="C25" i="3"/>
  <c r="K24" i="3"/>
  <c r="I24" i="3"/>
  <c r="G24" i="3"/>
  <c r="F24" i="3"/>
  <c r="D24" i="3"/>
  <c r="C24" i="3"/>
  <c r="K23" i="3"/>
  <c r="I23" i="3"/>
  <c r="G23" i="3"/>
  <c r="F23" i="3"/>
  <c r="D23" i="3"/>
  <c r="C23" i="3"/>
  <c r="K22" i="3"/>
  <c r="I22" i="3"/>
  <c r="G22" i="3"/>
  <c r="F22" i="3"/>
  <c r="D22" i="3"/>
  <c r="C22" i="3"/>
  <c r="K21" i="3"/>
  <c r="I21" i="3"/>
  <c r="G21" i="3"/>
  <c r="F21" i="3"/>
  <c r="D21" i="3"/>
  <c r="C21" i="3"/>
  <c r="K20" i="3"/>
  <c r="I20" i="3"/>
  <c r="G20" i="3"/>
  <c r="F20" i="3"/>
  <c r="D20" i="3"/>
  <c r="C20" i="3"/>
  <c r="K19" i="3"/>
  <c r="I19" i="3"/>
  <c r="G19" i="3"/>
  <c r="F19" i="3"/>
  <c r="D19" i="3"/>
  <c r="C19" i="3"/>
  <c r="K18" i="3"/>
  <c r="I18" i="3"/>
  <c r="G18" i="3"/>
  <c r="F18" i="3"/>
  <c r="D18" i="3"/>
  <c r="C18" i="3"/>
  <c r="K17" i="3"/>
  <c r="I17" i="3"/>
  <c r="G17" i="3"/>
  <c r="F17" i="3"/>
  <c r="D17" i="3"/>
  <c r="C17" i="3"/>
  <c r="K16" i="3"/>
  <c r="I16" i="3"/>
  <c r="G16" i="3"/>
  <c r="F16" i="3"/>
  <c r="D16" i="3"/>
  <c r="C16" i="3"/>
  <c r="K15" i="3"/>
  <c r="I15" i="3"/>
  <c r="G15" i="3"/>
  <c r="F15" i="3"/>
  <c r="D15" i="3"/>
  <c r="C15" i="3"/>
  <c r="K14" i="3"/>
  <c r="I14" i="3"/>
  <c r="G14" i="3"/>
  <c r="F14" i="3"/>
  <c r="D14" i="3"/>
  <c r="C14" i="3"/>
  <c r="K13" i="3"/>
  <c r="I13" i="3"/>
  <c r="G13" i="3"/>
  <c r="F13" i="3"/>
  <c r="D13" i="3"/>
  <c r="C13" i="3"/>
  <c r="K12" i="3"/>
  <c r="I12" i="3"/>
  <c r="G12" i="3"/>
  <c r="F12" i="3"/>
  <c r="D12" i="3"/>
  <c r="C12" i="3"/>
  <c r="K11" i="3"/>
  <c r="I11" i="3"/>
  <c r="G11" i="3"/>
  <c r="F11" i="3"/>
  <c r="D11" i="3"/>
  <c r="C11" i="3"/>
  <c r="K10" i="3"/>
  <c r="I10" i="3"/>
  <c r="G10" i="3"/>
  <c r="F10" i="3"/>
  <c r="D10" i="3"/>
  <c r="C10" i="3"/>
  <c r="K9" i="3"/>
  <c r="I9" i="3"/>
  <c r="G9" i="3"/>
  <c r="F9" i="3"/>
  <c r="D9" i="3"/>
  <c r="C9" i="3"/>
  <c r="K8" i="3"/>
  <c r="I8" i="3"/>
  <c r="G8" i="3"/>
  <c r="F8" i="3"/>
  <c r="D8" i="3"/>
  <c r="C8" i="3"/>
  <c r="K7" i="3"/>
  <c r="I7" i="3"/>
  <c r="G7" i="3"/>
  <c r="F7" i="3"/>
  <c r="D7" i="3"/>
  <c r="C7" i="3"/>
  <c r="K6" i="3"/>
  <c r="I6" i="3"/>
  <c r="G6" i="3"/>
  <c r="F6" i="3"/>
  <c r="D6" i="3"/>
  <c r="C6" i="3"/>
  <c r="K5" i="3"/>
  <c r="I5" i="3"/>
  <c r="G5" i="3"/>
  <c r="F5" i="3"/>
  <c r="D5" i="3"/>
  <c r="C5" i="3"/>
  <c r="K4" i="3"/>
  <c r="I4" i="3"/>
  <c r="G4" i="3"/>
  <c r="F4" i="3"/>
  <c r="D4" i="3"/>
  <c r="C4" i="3"/>
  <c r="K3" i="3"/>
  <c r="I3" i="3"/>
  <c r="G3" i="3"/>
  <c r="F3" i="3"/>
  <c r="D3" i="3"/>
  <c r="C3" i="3"/>
  <c r="K2" i="3"/>
  <c r="I2" i="3"/>
  <c r="G2" i="3"/>
  <c r="F2" i="3"/>
  <c r="D2" i="3"/>
  <c r="C2" i="3"/>
  <c r="B10" i="4" l="1"/>
  <c r="B3" i="4"/>
  <c r="L95" i="3"/>
  <c r="J95" i="3"/>
  <c r="H95" i="3"/>
  <c r="M95" i="3" s="1"/>
  <c r="E95" i="3"/>
  <c r="L94" i="3"/>
  <c r="J94" i="3"/>
  <c r="H94" i="3"/>
  <c r="M94" i="3" s="1"/>
  <c r="E94" i="3"/>
  <c r="L93" i="3"/>
  <c r="J93" i="3"/>
  <c r="H93" i="3"/>
  <c r="M93" i="3" s="1"/>
  <c r="E93" i="3"/>
  <c r="L92" i="3"/>
  <c r="J92" i="3"/>
  <c r="H92" i="3"/>
  <c r="M92" i="3" s="1"/>
  <c r="E92" i="3"/>
  <c r="L91" i="3"/>
  <c r="J91" i="3"/>
  <c r="H91" i="3"/>
  <c r="M91" i="3" s="1"/>
  <c r="E91" i="3"/>
  <c r="L90" i="3"/>
  <c r="J90" i="3"/>
  <c r="H90" i="3"/>
  <c r="M90" i="3" s="1"/>
  <c r="E90" i="3"/>
  <c r="L89" i="3"/>
  <c r="J89" i="3"/>
  <c r="H89" i="3"/>
  <c r="M89" i="3" s="1"/>
  <c r="E89" i="3"/>
  <c r="L88" i="3"/>
  <c r="J88" i="3"/>
  <c r="H88" i="3"/>
  <c r="M88" i="3" s="1"/>
  <c r="E88" i="3"/>
  <c r="L87" i="3"/>
  <c r="J87" i="3"/>
  <c r="H87" i="3"/>
  <c r="M87" i="3" s="1"/>
  <c r="E87" i="3"/>
  <c r="L86" i="3"/>
  <c r="J86" i="3"/>
  <c r="H86" i="3"/>
  <c r="M86" i="3" s="1"/>
  <c r="E86" i="3"/>
  <c r="L85" i="3"/>
  <c r="J85" i="3"/>
  <c r="H85" i="3"/>
  <c r="M85" i="3" s="1"/>
  <c r="E85" i="3"/>
  <c r="H83" i="3"/>
  <c r="E83" i="3"/>
  <c r="L82" i="3"/>
  <c r="J82" i="3"/>
  <c r="H82" i="3"/>
  <c r="M82" i="3" s="1"/>
  <c r="E82" i="3"/>
  <c r="L81" i="3"/>
  <c r="H81" i="3"/>
  <c r="L80" i="3"/>
  <c r="H80" i="3"/>
  <c r="E80" i="3"/>
  <c r="H79" i="3"/>
  <c r="E79" i="3"/>
  <c r="L77" i="3"/>
  <c r="L76" i="3"/>
  <c r="J76" i="3"/>
  <c r="H76" i="3"/>
  <c r="M76" i="3" s="1"/>
  <c r="L75" i="3"/>
  <c r="J75" i="3"/>
  <c r="E75" i="3"/>
  <c r="E74" i="3"/>
  <c r="L73" i="3"/>
  <c r="J73" i="3"/>
  <c r="H73" i="3"/>
  <c r="M73" i="3" s="1"/>
  <c r="E73" i="3"/>
  <c r="L84" i="3"/>
  <c r="J84" i="3"/>
  <c r="H84" i="3"/>
  <c r="M84" i="3" s="1"/>
  <c r="E84" i="3"/>
  <c r="L83" i="3"/>
  <c r="J83" i="3"/>
  <c r="J81" i="3"/>
  <c r="L79" i="3"/>
  <c r="H77" i="3"/>
  <c r="E77" i="3"/>
  <c r="L72" i="3"/>
  <c r="J72" i="3"/>
  <c r="H72" i="3"/>
  <c r="M72" i="3" s="1"/>
  <c r="E72" i="3"/>
  <c r="L71" i="3"/>
  <c r="J71" i="3"/>
  <c r="H71" i="3"/>
  <c r="M71" i="3" s="1"/>
  <c r="E71" i="3"/>
  <c r="L70" i="3"/>
  <c r="J70" i="3"/>
  <c r="H70" i="3"/>
  <c r="M70" i="3" s="1"/>
  <c r="E70" i="3"/>
  <c r="L69" i="3"/>
  <c r="J69" i="3"/>
  <c r="H69" i="3"/>
  <c r="M69" i="3" s="1"/>
  <c r="E69" i="3"/>
  <c r="L68" i="3"/>
  <c r="J68" i="3"/>
  <c r="H68" i="3"/>
  <c r="M68" i="3" s="1"/>
  <c r="E68" i="3"/>
  <c r="L67" i="3"/>
  <c r="J67" i="3"/>
  <c r="H67" i="3"/>
  <c r="M67" i="3" s="1"/>
  <c r="E67" i="3"/>
  <c r="L66" i="3"/>
  <c r="J66" i="3"/>
  <c r="H66" i="3"/>
  <c r="M66" i="3" s="1"/>
  <c r="E66" i="3"/>
  <c r="L65" i="3"/>
  <c r="J65" i="3"/>
  <c r="H65" i="3"/>
  <c r="M65" i="3" s="1"/>
  <c r="E65" i="3"/>
  <c r="L64" i="3"/>
  <c r="J64" i="3"/>
  <c r="H64" i="3"/>
  <c r="M64" i="3" s="1"/>
  <c r="E64" i="3"/>
  <c r="L63" i="3"/>
  <c r="J63" i="3"/>
  <c r="H63" i="3"/>
  <c r="M63" i="3" s="1"/>
  <c r="E63" i="3"/>
  <c r="L62" i="3"/>
  <c r="J62" i="3"/>
  <c r="H62" i="3"/>
  <c r="M62" i="3" s="1"/>
  <c r="E62" i="3"/>
  <c r="L61" i="3"/>
  <c r="J61" i="3"/>
  <c r="H61" i="3"/>
  <c r="E50" i="3"/>
  <c r="L49" i="3"/>
  <c r="J49" i="3"/>
  <c r="H49" i="3"/>
  <c r="M49" i="3" s="1"/>
  <c r="H26" i="3"/>
  <c r="M26" i="3" s="1"/>
  <c r="L25" i="3"/>
  <c r="L23" i="3"/>
  <c r="H23" i="3"/>
  <c r="M23" i="3" s="1"/>
  <c r="J22" i="3"/>
  <c r="E22" i="3"/>
  <c r="E20" i="3"/>
  <c r="L19" i="3"/>
  <c r="E19" i="3"/>
  <c r="H18" i="3"/>
  <c r="L14" i="3"/>
  <c r="J14" i="3"/>
  <c r="E61" i="3"/>
  <c r="L60" i="3"/>
  <c r="J60" i="3"/>
  <c r="H60" i="3"/>
  <c r="M60" i="3" s="1"/>
  <c r="E60" i="3"/>
  <c r="L59" i="3"/>
  <c r="J59" i="3"/>
  <c r="H59" i="3"/>
  <c r="M59" i="3" s="1"/>
  <c r="E59" i="3"/>
  <c r="L58" i="3"/>
  <c r="J58" i="3"/>
  <c r="H58" i="3"/>
  <c r="M58" i="3" s="1"/>
  <c r="E58" i="3"/>
  <c r="L57" i="3"/>
  <c r="J57" i="3"/>
  <c r="H57" i="3"/>
  <c r="M57" i="3" s="1"/>
  <c r="E57" i="3"/>
  <c r="L56" i="3"/>
  <c r="J56" i="3"/>
  <c r="H56" i="3"/>
  <c r="M56" i="3" s="1"/>
  <c r="E56" i="3"/>
  <c r="L55" i="3"/>
  <c r="J55" i="3"/>
  <c r="H55" i="3"/>
  <c r="M55" i="3" s="1"/>
  <c r="E55" i="3"/>
  <c r="L54" i="3"/>
  <c r="J54" i="3"/>
  <c r="H54" i="3"/>
  <c r="M54" i="3" s="1"/>
  <c r="E54" i="3"/>
  <c r="L53" i="3"/>
  <c r="J53" i="3"/>
  <c r="H53" i="3"/>
  <c r="M53" i="3" s="1"/>
  <c r="E53" i="3"/>
  <c r="L52" i="3"/>
  <c r="J52" i="3"/>
  <c r="H52" i="3"/>
  <c r="M52" i="3" s="1"/>
  <c r="E52" i="3"/>
  <c r="L51" i="3"/>
  <c r="J51" i="3"/>
  <c r="H51" i="3"/>
  <c r="M51" i="3" s="1"/>
  <c r="E51" i="3"/>
  <c r="L50" i="3"/>
  <c r="J50" i="3"/>
  <c r="H50" i="3"/>
  <c r="M50" i="3" s="1"/>
  <c r="E27" i="3"/>
  <c r="L26" i="3"/>
  <c r="J26" i="3"/>
  <c r="E26" i="3"/>
  <c r="E24" i="3"/>
  <c r="J23" i="3"/>
  <c r="J21" i="3"/>
  <c r="H20" i="3"/>
  <c r="M20" i="3" s="1"/>
  <c r="E49" i="3"/>
  <c r="L48" i="3"/>
  <c r="J48" i="3"/>
  <c r="H48" i="3"/>
  <c r="M48" i="3" s="1"/>
  <c r="E48" i="3"/>
  <c r="L47" i="3"/>
  <c r="J47" i="3"/>
  <c r="H47" i="3"/>
  <c r="M47" i="3" s="1"/>
  <c r="E47" i="3"/>
  <c r="L46" i="3"/>
  <c r="J46" i="3"/>
  <c r="H46" i="3"/>
  <c r="M46" i="3" s="1"/>
  <c r="E46" i="3"/>
  <c r="L45" i="3"/>
  <c r="J45" i="3"/>
  <c r="H45" i="3"/>
  <c r="M45" i="3" s="1"/>
  <c r="E45" i="3"/>
  <c r="L44" i="3"/>
  <c r="J44" i="3"/>
  <c r="H44" i="3"/>
  <c r="M44" i="3" s="1"/>
  <c r="E44" i="3"/>
  <c r="L43" i="3"/>
  <c r="J43" i="3"/>
  <c r="H43" i="3"/>
  <c r="M43" i="3" s="1"/>
  <c r="E43" i="3"/>
  <c r="L42" i="3"/>
  <c r="J42" i="3"/>
  <c r="H42" i="3"/>
  <c r="M42" i="3" s="1"/>
  <c r="E42" i="3"/>
  <c r="L41" i="3"/>
  <c r="J41" i="3"/>
  <c r="H41" i="3"/>
  <c r="M41" i="3" s="1"/>
  <c r="E41" i="3"/>
  <c r="L40" i="3"/>
  <c r="J40" i="3"/>
  <c r="H40" i="3"/>
  <c r="M40" i="3" s="1"/>
  <c r="E40" i="3"/>
  <c r="L39" i="3"/>
  <c r="J39" i="3"/>
  <c r="H39" i="3"/>
  <c r="M39" i="3" s="1"/>
  <c r="E39" i="3"/>
  <c r="L38" i="3"/>
  <c r="J38" i="3"/>
  <c r="H38" i="3"/>
  <c r="M38" i="3" s="1"/>
  <c r="E38" i="3"/>
  <c r="L37" i="3"/>
  <c r="J37" i="3"/>
  <c r="J27" i="3"/>
  <c r="E23" i="3"/>
  <c r="L22" i="3"/>
  <c r="H22" i="3"/>
  <c r="L21" i="3"/>
  <c r="H19" i="3"/>
  <c r="M19" i="3" s="1"/>
  <c r="L18" i="3"/>
  <c r="J18" i="3"/>
  <c r="H17" i="3"/>
  <c r="M17" i="3" s="1"/>
  <c r="H37" i="3"/>
  <c r="M37" i="3" s="1"/>
  <c r="E37" i="3"/>
  <c r="L36" i="3"/>
  <c r="J36" i="3"/>
  <c r="H36" i="3"/>
  <c r="M36" i="3" s="1"/>
  <c r="E36" i="3"/>
  <c r="L35" i="3"/>
  <c r="J35" i="3"/>
  <c r="H35" i="3"/>
  <c r="M35" i="3" s="1"/>
  <c r="E35" i="3"/>
  <c r="L34" i="3"/>
  <c r="J34" i="3"/>
  <c r="H34" i="3"/>
  <c r="M34" i="3" s="1"/>
  <c r="E34" i="3"/>
  <c r="L33" i="3"/>
  <c r="J33" i="3"/>
  <c r="H33" i="3"/>
  <c r="M33" i="3" s="1"/>
  <c r="E33" i="3"/>
  <c r="L32" i="3"/>
  <c r="J32" i="3"/>
  <c r="H32" i="3"/>
  <c r="M32" i="3" s="1"/>
  <c r="E32" i="3"/>
  <c r="L31" i="3"/>
  <c r="J31" i="3"/>
  <c r="H31" i="3"/>
  <c r="M31" i="3" s="1"/>
  <c r="E31" i="3"/>
  <c r="L30" i="3"/>
  <c r="J30" i="3"/>
  <c r="H30" i="3"/>
  <c r="M30" i="3" s="1"/>
  <c r="E30" i="3"/>
  <c r="L29" i="3"/>
  <c r="J29" i="3"/>
  <c r="H29" i="3"/>
  <c r="E29" i="3"/>
  <c r="L28" i="3"/>
  <c r="J28" i="3"/>
  <c r="H28" i="3"/>
  <c r="M28" i="3" s="1"/>
  <c r="E28" i="3"/>
  <c r="L27" i="3"/>
  <c r="H27" i="3"/>
  <c r="H21" i="3"/>
  <c r="L20" i="3"/>
  <c r="E17" i="3"/>
  <c r="L16" i="3"/>
  <c r="J16" i="3"/>
  <c r="H16" i="3"/>
  <c r="M16" i="3" s="1"/>
  <c r="E16" i="3"/>
  <c r="E15" i="3"/>
  <c r="J74" i="3"/>
  <c r="J25" i="3"/>
  <c r="H25" i="3"/>
  <c r="E25" i="3"/>
  <c r="L24" i="3"/>
  <c r="J24" i="3"/>
  <c r="H24" i="3"/>
  <c r="M24" i="3" s="1"/>
  <c r="E21" i="3"/>
  <c r="J20" i="3"/>
  <c r="J19" i="3"/>
  <c r="E18" i="3"/>
  <c r="L17" i="3"/>
  <c r="J17" i="3"/>
  <c r="L15" i="3"/>
  <c r="J15" i="3"/>
  <c r="H15" i="3"/>
  <c r="M15" i="3" s="1"/>
  <c r="H14" i="3"/>
  <c r="M14" i="3" s="1"/>
  <c r="E14" i="3"/>
  <c r="L74" i="3"/>
  <c r="H74" i="3"/>
  <c r="M74" i="3" s="1"/>
  <c r="L13" i="3"/>
  <c r="J13" i="3"/>
  <c r="H13" i="3"/>
  <c r="M13" i="3" s="1"/>
  <c r="E13" i="3"/>
  <c r="L12" i="3"/>
  <c r="J12" i="3"/>
  <c r="H12" i="3"/>
  <c r="M12" i="3" s="1"/>
  <c r="E12" i="3"/>
  <c r="L11" i="3"/>
  <c r="J11" i="3"/>
  <c r="H11" i="3"/>
  <c r="E11" i="3"/>
  <c r="L10" i="3"/>
  <c r="J10" i="3"/>
  <c r="H10" i="3"/>
  <c r="M10" i="3" s="1"/>
  <c r="E10" i="3"/>
  <c r="L9" i="3"/>
  <c r="J9" i="3"/>
  <c r="H9" i="3"/>
  <c r="M9" i="3" s="1"/>
  <c r="E9" i="3"/>
  <c r="L8" i="3"/>
  <c r="J8" i="3"/>
  <c r="H8" i="3"/>
  <c r="M8" i="3" s="1"/>
  <c r="E8" i="3"/>
  <c r="L7" i="3"/>
  <c r="J7" i="3"/>
  <c r="H7" i="3"/>
  <c r="E7" i="3"/>
  <c r="L6" i="3"/>
  <c r="J6" i="3"/>
  <c r="H6" i="3"/>
  <c r="E6" i="3"/>
  <c r="L5" i="3"/>
  <c r="J5" i="3"/>
  <c r="H5" i="3"/>
  <c r="M5" i="3" s="1"/>
  <c r="E5" i="3"/>
  <c r="L4" i="3"/>
  <c r="J4" i="3"/>
  <c r="H4" i="3"/>
  <c r="M4" i="3" s="1"/>
  <c r="E4" i="3"/>
  <c r="L3" i="3"/>
  <c r="J3" i="3"/>
  <c r="H3" i="3"/>
  <c r="M3" i="3" s="1"/>
  <c r="E3" i="3"/>
  <c r="L2" i="3"/>
  <c r="J2" i="3"/>
  <c r="H2" i="3"/>
  <c r="M2" i="3" s="1"/>
  <c r="E2" i="3"/>
  <c r="E81" i="3"/>
  <c r="J80" i="3"/>
  <c r="J79" i="3"/>
  <c r="L78" i="3"/>
  <c r="J78" i="3"/>
  <c r="H78" i="3"/>
  <c r="M78" i="3" s="1"/>
  <c r="E78" i="3"/>
  <c r="J77" i="3"/>
  <c r="E76" i="3"/>
  <c r="H75" i="3"/>
  <c r="M75" i="3" s="1"/>
  <c r="B11" i="4" l="1"/>
  <c r="B12" i="4" s="1"/>
  <c r="B4" i="4"/>
  <c r="B5" i="4" s="1"/>
  <c r="M80" i="3"/>
  <c r="M79" i="3"/>
  <c r="M77" i="3"/>
  <c r="M83" i="3"/>
  <c r="M81" i="3"/>
  <c r="M18" i="3"/>
  <c r="M61" i="3"/>
  <c r="M22" i="3"/>
  <c r="M29" i="3"/>
  <c r="M27" i="3"/>
  <c r="M21" i="3"/>
  <c r="M25" i="3"/>
  <c r="M7" i="3"/>
  <c r="M6" i="3"/>
  <c r="M11" i="3"/>
</calcChain>
</file>

<file path=xl/sharedStrings.xml><?xml version="1.0" encoding="utf-8"?>
<sst xmlns="http://schemas.openxmlformats.org/spreadsheetml/2006/main" count="12738" uniqueCount="1908">
  <si>
    <t>RUBRO</t>
  </si>
  <si>
    <t>NOMBRE</t>
  </si>
  <si>
    <t>SSF</t>
  </si>
  <si>
    <t>DETALLE SECTORIAL</t>
  </si>
  <si>
    <t>PRESUPUESTO INICIAL</t>
  </si>
  <si>
    <t>ADICIONES</t>
  </si>
  <si>
    <t>REDUCCIONES</t>
  </si>
  <si>
    <t>CREDITOS</t>
  </si>
  <si>
    <t>CONTRACRED.</t>
  </si>
  <si>
    <t>LIBERACIONES</t>
  </si>
  <si>
    <t>APLAZAM.</t>
  </si>
  <si>
    <t>PRESUPUESTO  DEFINITIVO</t>
  </si>
  <si>
    <t>RECONOCIM.</t>
  </si>
  <si>
    <t>RECAUDOS</t>
  </si>
  <si>
    <t>PORCENTAJE EJECUTADO</t>
  </si>
  <si>
    <t>NO AFORADO</t>
  </si>
  <si>
    <t>SALDO POR EJECUTAR</t>
  </si>
  <si>
    <t>FUENTE DE RECURSO</t>
  </si>
  <si>
    <t>1</t>
  </si>
  <si>
    <t>Ingresos</t>
  </si>
  <si>
    <t>C</t>
  </si>
  <si>
    <t>37.84 %</t>
  </si>
  <si>
    <t>00</t>
  </si>
  <si>
    <t>1.1</t>
  </si>
  <si>
    <t>Ingresos corrientes</t>
  </si>
  <si>
    <t>42.03 %</t>
  </si>
  <si>
    <t>1.1.01</t>
  </si>
  <si>
    <t>Ingresos tributarios</t>
  </si>
  <si>
    <t>44.07 %</t>
  </si>
  <si>
    <t>1.1.01.01</t>
  </si>
  <si>
    <t>Impuestos directos</t>
  </si>
  <si>
    <t>94.31 %</t>
  </si>
  <si>
    <t>1.1.01.01.014</t>
  </si>
  <si>
    <t xml:space="preserve">Sobretasa ambiental </t>
  </si>
  <si>
    <t>78.25 %</t>
  </si>
  <si>
    <t>1.1.01.01.014.01</t>
  </si>
  <si>
    <t>Sobretasa ambiental - urbano</t>
  </si>
  <si>
    <t>65.89 %</t>
  </si>
  <si>
    <t>101.2</t>
  </si>
  <si>
    <t>1.1.01.01.014.02</t>
  </si>
  <si>
    <t>Sobretasa ambiental -rural</t>
  </si>
  <si>
    <t>89.32 %</t>
  </si>
  <si>
    <t>1.1.01.01.200</t>
  </si>
  <si>
    <t>Impuesto predial unificado</t>
  </si>
  <si>
    <t>99.58 %</t>
  </si>
  <si>
    <t>1.1.01.01.200.01</t>
  </si>
  <si>
    <t>Impuesto predial unificado - urbano</t>
  </si>
  <si>
    <t>84.3 %</t>
  </si>
  <si>
    <t>100</t>
  </si>
  <si>
    <t>1.1.01.01.200.02</t>
  </si>
  <si>
    <t>Impuesto predial unificado - rural</t>
  </si>
  <si>
    <t>114.74 %</t>
  </si>
  <si>
    <t>1.1.01.02</t>
  </si>
  <si>
    <t>Impuestos indirectos</t>
  </si>
  <si>
    <t>30.89 %</t>
  </si>
  <si>
    <t>1.1.01.02.109</t>
  </si>
  <si>
    <t xml:space="preserve">Sobretasa a la gasolina </t>
  </si>
  <si>
    <t>26.32 %</t>
  </si>
  <si>
    <t>1.1.01.02.200</t>
  </si>
  <si>
    <t>Impuesto de industria y comercio</t>
  </si>
  <si>
    <t>24.44 %</t>
  </si>
  <si>
    <t>1.1.01.02.200.01</t>
  </si>
  <si>
    <t>Impuesto de industria y comercio - sobre actividades comerciales</t>
  </si>
  <si>
    <t>24.14 %</t>
  </si>
  <si>
    <t>1.1.01.02.200.02</t>
  </si>
  <si>
    <t>Impuesto de industria y comercio - sobre actividades industriales</t>
  </si>
  <si>
    <t>0 %</t>
  </si>
  <si>
    <t>1.1.01.02.200.03</t>
  </si>
  <si>
    <t>Impuesto de industria y comercio - sobre actividades de servicios</t>
  </si>
  <si>
    <t>36.07 %</t>
  </si>
  <si>
    <t>1.1.01.02.201</t>
  </si>
  <si>
    <t>Impuesto complementario de avisos y tableros</t>
  </si>
  <si>
    <t>1.1.01.02.202</t>
  </si>
  <si>
    <t>Impuesto a la publicidad exterior visual</t>
  </si>
  <si>
    <t>1.1.01.02.204</t>
  </si>
  <si>
    <t>Impuesto de delineacion</t>
  </si>
  <si>
    <t>1.1.01.02.209</t>
  </si>
  <si>
    <t>Impuesto al degãœello de ganado menor</t>
  </si>
  <si>
    <t>1.1.01.02.211</t>
  </si>
  <si>
    <t>Impuesto de alumbrado publico</t>
  </si>
  <si>
    <t>115</t>
  </si>
  <si>
    <t>1.1.01.02.212</t>
  </si>
  <si>
    <t>Sobretasa bomberil</t>
  </si>
  <si>
    <t>114</t>
  </si>
  <si>
    <t>1.1.01.02.218</t>
  </si>
  <si>
    <t>Tasa prodeporte y recreacion</t>
  </si>
  <si>
    <t>31.39 %</t>
  </si>
  <si>
    <t>117</t>
  </si>
  <si>
    <t>1.1.01.02.300</t>
  </si>
  <si>
    <t>Estampillas</t>
  </si>
  <si>
    <t>47.29 %</t>
  </si>
  <si>
    <t>1.1.01.02.300.01</t>
  </si>
  <si>
    <t>Estampilla para el bienestar del adulto mayor</t>
  </si>
  <si>
    <t>47.43 %</t>
  </si>
  <si>
    <t>151</t>
  </si>
  <si>
    <t>1.1.01.02.300.55</t>
  </si>
  <si>
    <t>Estampilla pro cultura</t>
  </si>
  <si>
    <t>49.03 %</t>
  </si>
  <si>
    <t>152</t>
  </si>
  <si>
    <t>1.1.01.02.300.61</t>
  </si>
  <si>
    <t>Estampilla para la justicia familiar</t>
  </si>
  <si>
    <t>45.01 %</t>
  </si>
  <si>
    <t>153</t>
  </si>
  <si>
    <t>1.1.02</t>
  </si>
  <si>
    <t>Ingresos no tributarios</t>
  </si>
  <si>
    <t>41.94 %</t>
  </si>
  <si>
    <t>1.1.02.01</t>
  </si>
  <si>
    <t>Contribuciones</t>
  </si>
  <si>
    <t>50.43 %</t>
  </si>
  <si>
    <t>1.1.02.01.005</t>
  </si>
  <si>
    <t>Contribuciones diversas</t>
  </si>
  <si>
    <t>1.1.02.01.005.59</t>
  </si>
  <si>
    <t>Contribucion especial sobre contratos de obras publicas</t>
  </si>
  <si>
    <t>60.91 %</t>
  </si>
  <si>
    <t>676</t>
  </si>
  <si>
    <t>1.1.02.01.005.65</t>
  </si>
  <si>
    <t>Concursos económico - estratificacion</t>
  </si>
  <si>
    <t>1.1.02.01.005.65.01</t>
  </si>
  <si>
    <t>Concursos económico - estratificacion (USP)</t>
  </si>
  <si>
    <t>690.</t>
  </si>
  <si>
    <t>1.1.02.01.005.65.02</t>
  </si>
  <si>
    <t>Concursos económico - estratificacion (CENS)</t>
  </si>
  <si>
    <t>1.1.02.01.005.65.03</t>
  </si>
  <si>
    <t>Concursos económico - estratificacion (GRENCOL)</t>
  </si>
  <si>
    <t>1.1.02.02</t>
  </si>
  <si>
    <t>Tasas y derechos administrativos</t>
  </si>
  <si>
    <t>55.93 %</t>
  </si>
  <si>
    <t>1.1.02.02.015</t>
  </si>
  <si>
    <t>Certificaciones y constancias</t>
  </si>
  <si>
    <t>1.1.02.02.015.01</t>
  </si>
  <si>
    <t>Certificaciones y constancias-Expedición de certificados, paz y salvos entre otros</t>
  </si>
  <si>
    <t>1.1.02.03</t>
  </si>
  <si>
    <t>Multas, sanciones e intereses de mora</t>
  </si>
  <si>
    <t>72.98 %</t>
  </si>
  <si>
    <t>1.1.02.03.001</t>
  </si>
  <si>
    <t>Multas y sanciones</t>
  </si>
  <si>
    <t>1.1.02.03.001.11</t>
  </si>
  <si>
    <t>Sanciones tributarias</t>
  </si>
  <si>
    <t>1.1.02.03.001.11.01</t>
  </si>
  <si>
    <t>Impuesto de Industria y Comercio</t>
  </si>
  <si>
    <t>1.1.02.03.001.20</t>
  </si>
  <si>
    <t>Multas codigo nacional de seguridad y convivencia ciudadana</t>
  </si>
  <si>
    <t>1.1.02.03.001.20.01</t>
  </si>
  <si>
    <t>Multas codigo nacional de seguridad y convivencia ciudadana - multas generales</t>
  </si>
  <si>
    <t>138</t>
  </si>
  <si>
    <t>1.1.02.03.001.20.02</t>
  </si>
  <si>
    <t>Multas codigo nacional de seguridad y convivencia ciudadana - multas especiales</t>
  </si>
  <si>
    <t>1.1.02.03.002</t>
  </si>
  <si>
    <t>Intereses de mora</t>
  </si>
  <si>
    <t>84.73 %</t>
  </si>
  <si>
    <t>1.1.02.03.002.01</t>
  </si>
  <si>
    <t>3682.22 %</t>
  </si>
  <si>
    <t>1.1.02.03.002.02</t>
  </si>
  <si>
    <t>Impuesto Predial Unificado</t>
  </si>
  <si>
    <t>1.1.02.05</t>
  </si>
  <si>
    <t>Venta de bienes y servicios</t>
  </si>
  <si>
    <t>45.39 %</t>
  </si>
  <si>
    <t>1.1.02.05.001</t>
  </si>
  <si>
    <t>Ventas de establecimientos de mercado</t>
  </si>
  <si>
    <t>1.1.02.05.001.06</t>
  </si>
  <si>
    <t>Comercio y distribucion; alojamiento; servicios de suministro de comidas y bebidas; servicios de transporte; y servicios de distribucion de electricidad, gas y agua</t>
  </si>
  <si>
    <t>47.02 %</t>
  </si>
  <si>
    <t>1.1.02.05.001.06.01</t>
  </si>
  <si>
    <t>Servicios públicos - Acueducto</t>
  </si>
  <si>
    <t>59.14 %</t>
  </si>
  <si>
    <t>104</t>
  </si>
  <si>
    <t>1.1.02.05.001.06.02</t>
  </si>
  <si>
    <t>Servicios públicos - Alcantarillado</t>
  </si>
  <si>
    <t>49.65 %</t>
  </si>
  <si>
    <t>1.1.02.05.001.06.03</t>
  </si>
  <si>
    <t>Servicios públicos - Aseo</t>
  </si>
  <si>
    <t>47.82 %</t>
  </si>
  <si>
    <t>1.1.02.05.001.06.04</t>
  </si>
  <si>
    <t>Subsidio acueducto</t>
  </si>
  <si>
    <t>1 - IFSR Acueducto</t>
  </si>
  <si>
    <t>41.69 %</t>
  </si>
  <si>
    <t>292.1</t>
  </si>
  <si>
    <t>1.1.02.05.001.06.05</t>
  </si>
  <si>
    <t>Subsidio alcantarillado</t>
  </si>
  <si>
    <t>2 - IFSR Alcantarillado</t>
  </si>
  <si>
    <t>41.32 %</t>
  </si>
  <si>
    <t>292.2</t>
  </si>
  <si>
    <t>1.1.02.05.001.06.06</t>
  </si>
  <si>
    <t>Subsidio aseo</t>
  </si>
  <si>
    <t>3 - IFSR Aseo</t>
  </si>
  <si>
    <t>41.82 %</t>
  </si>
  <si>
    <t>292.3</t>
  </si>
  <si>
    <t>1.1.02.05.001.07</t>
  </si>
  <si>
    <t>Servicios financieros y servicios conexos; servicios inmobiliarios; y servicios de arrendamiento y leasing</t>
  </si>
  <si>
    <t>1.1.02.05.001.07.01</t>
  </si>
  <si>
    <t>Plaza de mercado</t>
  </si>
  <si>
    <t>1.1.02.05.001.07.02</t>
  </si>
  <si>
    <t>Arrendamientos complejo deportivo</t>
  </si>
  <si>
    <t>1.1.02.06</t>
  </si>
  <si>
    <t>Transferencias corrientes</t>
  </si>
  <si>
    <t>41.86 %</t>
  </si>
  <si>
    <t>1.1.02.06.001</t>
  </si>
  <si>
    <t>Sistema general de participaciones</t>
  </si>
  <si>
    <t>35.71 %</t>
  </si>
  <si>
    <t>1.1.02.06.001.01</t>
  </si>
  <si>
    <t>Participacion para educacion</t>
  </si>
  <si>
    <t>44.99 %</t>
  </si>
  <si>
    <t>1.1.02.06.001.01.03</t>
  </si>
  <si>
    <t>Calidad</t>
  </si>
  <si>
    <t>1.1.02.06.001.01.03.01</t>
  </si>
  <si>
    <t>Calidad por matricula oficial</t>
  </si>
  <si>
    <t>35.84 %</t>
  </si>
  <si>
    <t>230</t>
  </si>
  <si>
    <t>1.1.02.06.001.01.03.02</t>
  </si>
  <si>
    <t>Calidad por gratuidad</t>
  </si>
  <si>
    <t>48.54 %</t>
  </si>
  <si>
    <t>231</t>
  </si>
  <si>
    <t>1.1.02.06.001.02</t>
  </si>
  <si>
    <t>Participacion para salud</t>
  </si>
  <si>
    <t>40.5 %</t>
  </si>
  <si>
    <t>1.1.02.06.001.02.01</t>
  </si>
  <si>
    <t xml:space="preserve">Regimen subsidiado </t>
  </si>
  <si>
    <t>9 - FLS Aseguramiento</t>
  </si>
  <si>
    <t>41.3 %</t>
  </si>
  <si>
    <t>260</t>
  </si>
  <si>
    <t>1.1.02.06.001.02.02</t>
  </si>
  <si>
    <t>Salud publica</t>
  </si>
  <si>
    <t>5 - FLS Salud publica</t>
  </si>
  <si>
    <t>30.48 %</t>
  </si>
  <si>
    <t>261</t>
  </si>
  <si>
    <t>1.1.02.06.001.03</t>
  </si>
  <si>
    <t>Participacion para proposito general</t>
  </si>
  <si>
    <t>31.38 %</t>
  </si>
  <si>
    <t>1.1.02.06.001.03.01</t>
  </si>
  <si>
    <t>Deporte y recreacion</t>
  </si>
  <si>
    <t>32.2 %</t>
  </si>
  <si>
    <t>380</t>
  </si>
  <si>
    <t>1.1.02.06.001.03.02</t>
  </si>
  <si>
    <t>Cultura</t>
  </si>
  <si>
    <t>400</t>
  </si>
  <si>
    <t>1.1.02.06.001.03.03</t>
  </si>
  <si>
    <t>Proposito general libre inversion</t>
  </si>
  <si>
    <t>31.31 %</t>
  </si>
  <si>
    <t>420</t>
  </si>
  <si>
    <t>1.1.02.06.001.03.04</t>
  </si>
  <si>
    <t>Proposito general libre destinacion municipios categorias 4, 5 y 6</t>
  </si>
  <si>
    <t>31.4 %</t>
  </si>
  <si>
    <t>360</t>
  </si>
  <si>
    <t>1.1.02.06.001.04</t>
  </si>
  <si>
    <t>Asignaciones especiales</t>
  </si>
  <si>
    <t>31.51 %</t>
  </si>
  <si>
    <t>1.1.02.06.001.04.01</t>
  </si>
  <si>
    <t>Programas de alimentacion escolar</t>
  </si>
  <si>
    <t>130</t>
  </si>
  <si>
    <t>1.1.02.06.001.05</t>
  </si>
  <si>
    <t>Agua potable y saneamiento basico</t>
  </si>
  <si>
    <t>32.33 %</t>
  </si>
  <si>
    <t>290</t>
  </si>
  <si>
    <t>1.1.02.06.003</t>
  </si>
  <si>
    <t>Participaciones distintas del sgp</t>
  </si>
  <si>
    <t>20.59 %</t>
  </si>
  <si>
    <t>1.1.02.06.003.01</t>
  </si>
  <si>
    <t>Participacion en impuestos</t>
  </si>
  <si>
    <t>1.1.02.06.003.01.02</t>
  </si>
  <si>
    <t>Participacion del impuesto sobre vehiculos automotores</t>
  </si>
  <si>
    <t>1.1.02.06.003.01.08</t>
  </si>
  <si>
    <t>Participacion del impuesto al deguello de ganado mayor en los terminos que lo defina la ordenanza</t>
  </si>
  <si>
    <t>31.15 %</t>
  </si>
  <si>
    <t>119</t>
  </si>
  <si>
    <t>1.1.02.06.006</t>
  </si>
  <si>
    <t>TRANSFERENCIAS DE OTRAS ENTIDADES DEL GOBIERNO GENERAL</t>
  </si>
  <si>
    <t>1.1.02.06.006.06</t>
  </si>
  <si>
    <t>OTRAS UNIDADES DE GOBIERNO</t>
  </si>
  <si>
    <t>1.1.02.06.006.06.01</t>
  </si>
  <si>
    <t>Ministerio de cultura</t>
  </si>
  <si>
    <t>510.11</t>
  </si>
  <si>
    <t>1.1.02.06.009</t>
  </si>
  <si>
    <t>Recursos del sistema de seguridad social integral</t>
  </si>
  <si>
    <t>52.82 %</t>
  </si>
  <si>
    <t>1.1.02.06.009.01</t>
  </si>
  <si>
    <t>Sistema general de seguridad social en salud</t>
  </si>
  <si>
    <t>1.1.02.06.009.01.06</t>
  </si>
  <si>
    <t>Recursos adres - cofinanciacion upc regimen subsidiado</t>
  </si>
  <si>
    <t>53.02 %</t>
  </si>
  <si>
    <t>600</t>
  </si>
  <si>
    <t>1.1.02.06.009.01.09</t>
  </si>
  <si>
    <t>Transferencia cajas de compensacion familiar - financiacion del regimen subsidiado en salud - ley 100 de 1993</t>
  </si>
  <si>
    <t>45.31 %</t>
  </si>
  <si>
    <t>680</t>
  </si>
  <si>
    <t>1.1.02.06.009.01.11</t>
  </si>
  <si>
    <t>Aportes de unidades del gobierno general para el financiamiento del sgsss</t>
  </si>
  <si>
    <t>47.98 %</t>
  </si>
  <si>
    <t>1.1.02.06.009.01.11.09</t>
  </si>
  <si>
    <t>Recursos departamentales para aseguramiento del regimen subsidiado</t>
  </si>
  <si>
    <t>510</t>
  </si>
  <si>
    <t>1.1.02.07</t>
  </si>
  <si>
    <t>Participacion y derechos por monopolio</t>
  </si>
  <si>
    <t>23.8 %</t>
  </si>
  <si>
    <t>1.1.02.07.001</t>
  </si>
  <si>
    <t>Derechos por la explotacion juegos de suerte y azar</t>
  </si>
  <si>
    <t>1.1.02.07.001.05</t>
  </si>
  <si>
    <t>Derechos por la explotacion juegos de suerte y azar de rifas</t>
  </si>
  <si>
    <t>1.1.02.07.001.05.01</t>
  </si>
  <si>
    <t>Coljuegos SSF</t>
  </si>
  <si>
    <t>31.88 %</t>
  </si>
  <si>
    <t>630</t>
  </si>
  <si>
    <t>1.1.02.07.001.05.02</t>
  </si>
  <si>
    <t xml:space="preserve">Coljuegos CSF 25% </t>
  </si>
  <si>
    <t>631</t>
  </si>
  <si>
    <t>1.2</t>
  </si>
  <si>
    <t>Recursos de capital</t>
  </si>
  <si>
    <t>0.02 %</t>
  </si>
  <si>
    <t>1.2.05</t>
  </si>
  <si>
    <t>Rendimientos financieros</t>
  </si>
  <si>
    <t>0.59 %</t>
  </si>
  <si>
    <t>1.2.05.02</t>
  </si>
  <si>
    <t>Depositos</t>
  </si>
  <si>
    <t>1.2.05.02.01</t>
  </si>
  <si>
    <t>Ingresos  de Libre destinacion RF</t>
  </si>
  <si>
    <t>670</t>
  </si>
  <si>
    <t>1.2.05.02.02</t>
  </si>
  <si>
    <t>Sgp Educación Calidad Matricula Oficial RF</t>
  </si>
  <si>
    <t>240</t>
  </si>
  <si>
    <t>1.2.05.02.03</t>
  </si>
  <si>
    <t>Sgp Salud-Salud Pública Colectiva RF</t>
  </si>
  <si>
    <t>270</t>
  </si>
  <si>
    <t>1.2.05.02.04</t>
  </si>
  <si>
    <t>Sgp Agua Potable RF</t>
  </si>
  <si>
    <t>300</t>
  </si>
  <si>
    <t>1.2.05.02.05</t>
  </si>
  <si>
    <t>Sgp Deporte RF</t>
  </si>
  <si>
    <t>430.1</t>
  </si>
  <si>
    <t>1.2.05.02.06</t>
  </si>
  <si>
    <t>Sgp Cultura RF</t>
  </si>
  <si>
    <t>430.2</t>
  </si>
  <si>
    <t>1.2.05.02.07</t>
  </si>
  <si>
    <t>Sgp Libre Inversión RF</t>
  </si>
  <si>
    <t>430</t>
  </si>
  <si>
    <t>1.2.05.02.08</t>
  </si>
  <si>
    <t>Sgp Alimentación Escolar RF</t>
  </si>
  <si>
    <t>140</t>
  </si>
  <si>
    <t>1.2.05.02.09</t>
  </si>
  <si>
    <t>Coljuegos 25% RF</t>
  </si>
  <si>
    <t>631.2</t>
  </si>
  <si>
    <t>1.2.05.02.10</t>
  </si>
  <si>
    <t>Estampilla Proadulto RF</t>
  </si>
  <si>
    <t>67.08 %</t>
  </si>
  <si>
    <t>151.2</t>
  </si>
  <si>
    <t>1.2.05.02.11</t>
  </si>
  <si>
    <t>Estampilla Procultura RF</t>
  </si>
  <si>
    <t>0.14 %</t>
  </si>
  <si>
    <t>152.2</t>
  </si>
  <si>
    <t>1.2.05.02.12</t>
  </si>
  <si>
    <t>Estampilla Justicia Familiar RF</t>
  </si>
  <si>
    <t>1.71 %</t>
  </si>
  <si>
    <t>153.2</t>
  </si>
  <si>
    <t>1.2.05.02.13</t>
  </si>
  <si>
    <t>Contrbucion de Seguridad RF</t>
  </si>
  <si>
    <t>7.48 %</t>
  </si>
  <si>
    <t>676.2</t>
  </si>
  <si>
    <t>1.2.05.02.14</t>
  </si>
  <si>
    <t>Tasa del Deporte RF</t>
  </si>
  <si>
    <t>117.2</t>
  </si>
  <si>
    <t>1.2.05.02.15</t>
  </si>
  <si>
    <t>RF Seguridad social gestor cultural</t>
  </si>
  <si>
    <t>5.43 %</t>
  </si>
  <si>
    <t>152.4</t>
  </si>
  <si>
    <t>1.2.05.02.16</t>
  </si>
  <si>
    <t>Rend. Fcros.  Otros gastos en salud</t>
  </si>
  <si>
    <t>66.26 %</t>
  </si>
  <si>
    <t>670.9</t>
  </si>
  <si>
    <t>1.2.05.02.17</t>
  </si>
  <si>
    <t>REND. FCROS. SGP PRIMERA INFANCIA</t>
  </si>
  <si>
    <t>25.36 %</t>
  </si>
  <si>
    <t>670.13</t>
  </si>
  <si>
    <t>1.2.05.02.18</t>
  </si>
  <si>
    <t>Rend. Fcros. Reg. Subsidiado</t>
  </si>
  <si>
    <t>670.22</t>
  </si>
  <si>
    <t>1.2.05.02.19</t>
  </si>
  <si>
    <t>Rend. Fcros. PG DESAHORRO FONPET</t>
  </si>
  <si>
    <t>0.34 %</t>
  </si>
  <si>
    <t>670.23</t>
  </si>
  <si>
    <t>1.2.05.02.20</t>
  </si>
  <si>
    <t>Rend. Fcros. compra de areas estrategicas</t>
  </si>
  <si>
    <t>16.6 %</t>
  </si>
  <si>
    <t>670.20</t>
  </si>
  <si>
    <t>1.2.05.02.21</t>
  </si>
  <si>
    <t>Rend. Fcros. Nomina Pensionados</t>
  </si>
  <si>
    <t>47.25 %</t>
  </si>
  <si>
    <t>670.25</t>
  </si>
  <si>
    <t>1.2.05.02.22</t>
  </si>
  <si>
    <t>Rend. Fcros. libre inversion</t>
  </si>
  <si>
    <t>182.21 %</t>
  </si>
  <si>
    <t>670.24</t>
  </si>
  <si>
    <t>1.2.05.02.23</t>
  </si>
  <si>
    <t>RB RF REGIMEN SUBSIDIADO</t>
  </si>
  <si>
    <t>270.2</t>
  </si>
  <si>
    <t>1.2.05.02.24</t>
  </si>
  <si>
    <t>RENDIMIENTOS FINANCIEROS LIBRE DESTINACION RB</t>
  </si>
  <si>
    <t>0.06 %</t>
  </si>
  <si>
    <t>670.1.1</t>
  </si>
  <si>
    <t>1.2.05.02.25</t>
  </si>
  <si>
    <t>REND. FCROS. SEGURIDAD SOCIAL DEL GESTOR RB</t>
  </si>
  <si>
    <t>2.85 %</t>
  </si>
  <si>
    <t>670.10.1</t>
  </si>
  <si>
    <t>1.2.05.02.26</t>
  </si>
  <si>
    <t>REND. FCROS. OTROS GASTOS EN SALUD RB</t>
  </si>
  <si>
    <t>0.1 %</t>
  </si>
  <si>
    <t>670.11.1</t>
  </si>
  <si>
    <t>1.2.05.02.27</t>
  </si>
  <si>
    <t>REND. FCROS.BANCO DE SEMILLA UMATA L.I RB</t>
  </si>
  <si>
    <t>576.76 %</t>
  </si>
  <si>
    <t>670.12.1</t>
  </si>
  <si>
    <t>1.2.05.02.28</t>
  </si>
  <si>
    <t>REND FCROS. SGP PRIMERA INFANCIA RB</t>
  </si>
  <si>
    <t>670.13.1</t>
  </si>
  <si>
    <t>1.2.05.02.29</t>
  </si>
  <si>
    <t>REND FCROS. DESEMBOLSO EMPRESTITO CIC RB</t>
  </si>
  <si>
    <t>670.17.1</t>
  </si>
  <si>
    <t>1.2.05.02.30</t>
  </si>
  <si>
    <t>RB REND FCROS. TASA AL DEPORTE RB</t>
  </si>
  <si>
    <t>0.22 %</t>
  </si>
  <si>
    <t>670.19.1</t>
  </si>
  <si>
    <t>1.2.05.02.31</t>
  </si>
  <si>
    <t>REND. FCROS. COMPRA DE AREAS ESTRATEGICAS RB</t>
  </si>
  <si>
    <t>0.15 %</t>
  </si>
  <si>
    <t>670.20.1</t>
  </si>
  <si>
    <t>1.2.05.02.32</t>
  </si>
  <si>
    <t>RB REND. FCROS COLJUEGOS 25%</t>
  </si>
  <si>
    <t>670.3.1</t>
  </si>
  <si>
    <t>1.2.05.02.33</t>
  </si>
  <si>
    <t>BALANCE SGP ALIMENTACION ESCOLAR RENDIMIENTOS FINANCIEROS</t>
  </si>
  <si>
    <t>140.1</t>
  </si>
  <si>
    <t>1.2.05.02.34</t>
  </si>
  <si>
    <t>SGP EDUCACION RENDIMIENTOS FINANCIEROS RB</t>
  </si>
  <si>
    <t>240.1</t>
  </si>
  <si>
    <t>1.2.05.02.35</t>
  </si>
  <si>
    <t>SGP APSB - RENDIMIENTOS FINANCIEROS RB</t>
  </si>
  <si>
    <t>300.1</t>
  </si>
  <si>
    <t>1.2.10</t>
  </si>
  <si>
    <t>RECURSOS DEL BALANCE</t>
  </si>
  <si>
    <t>1.2.10.02</t>
  </si>
  <si>
    <t>SUPERAVIT FISCAL</t>
  </si>
  <si>
    <t>1.2.10.02.01</t>
  </si>
  <si>
    <t>Superavit fiscal</t>
  </si>
  <si>
    <t>151.1</t>
  </si>
  <si>
    <t>510.1</t>
  </si>
  <si>
    <t>1.2.10.02.02</t>
  </si>
  <si>
    <t>100.1</t>
  </si>
  <si>
    <t>1.2.10.02.03</t>
  </si>
  <si>
    <t>101.2.1</t>
  </si>
  <si>
    <t>1.2.10.02.04</t>
  </si>
  <si>
    <t>114.1</t>
  </si>
  <si>
    <t>1.2.10.02.05</t>
  </si>
  <si>
    <t>115.3</t>
  </si>
  <si>
    <t>1.2.10.02.06</t>
  </si>
  <si>
    <t>117.1</t>
  </si>
  <si>
    <t>1.2.10.02.07</t>
  </si>
  <si>
    <t>119.1</t>
  </si>
  <si>
    <t>1.2.10.02.08</t>
  </si>
  <si>
    <t>130.1</t>
  </si>
  <si>
    <t>1.2.10.02.09</t>
  </si>
  <si>
    <t>138.1</t>
  </si>
  <si>
    <t>1.2.10.02.11</t>
  </si>
  <si>
    <t>152.1</t>
  </si>
  <si>
    <t>1.2.10.02.12</t>
  </si>
  <si>
    <t>153.1</t>
  </si>
  <si>
    <t>1.2.10.02.13</t>
  </si>
  <si>
    <t>230.1</t>
  </si>
  <si>
    <t>1.2.10.02.14</t>
  </si>
  <si>
    <t>24.2</t>
  </si>
  <si>
    <t>1.2.10.02.15</t>
  </si>
  <si>
    <t>250</t>
  </si>
  <si>
    <t>1.2.10.02.16</t>
  </si>
  <si>
    <t>280</t>
  </si>
  <si>
    <t>1.2.10.02.17</t>
  </si>
  <si>
    <t>292.1.1</t>
  </si>
  <si>
    <t>1.2.10.02.18</t>
  </si>
  <si>
    <t>292.2.1</t>
  </si>
  <si>
    <t>1.2.10.02.19</t>
  </si>
  <si>
    <t>292.3.1</t>
  </si>
  <si>
    <t>1.2.10.02.20</t>
  </si>
  <si>
    <t>360.1</t>
  </si>
  <si>
    <t>1.2.10.02.21</t>
  </si>
  <si>
    <t>370</t>
  </si>
  <si>
    <t>1.2.10.02.22</t>
  </si>
  <si>
    <t>390</t>
  </si>
  <si>
    <t>1.2.10.02.23</t>
  </si>
  <si>
    <t>410</t>
  </si>
  <si>
    <t>1.2.10.02.24</t>
  </si>
  <si>
    <t>630.1</t>
  </si>
  <si>
    <t>1.2.10.02.25</t>
  </si>
  <si>
    <t>64.1.1</t>
  </si>
  <si>
    <t>1.2.10.02.26</t>
  </si>
  <si>
    <t>676.1</t>
  </si>
  <si>
    <t>1.2.10.02.27</t>
  </si>
  <si>
    <t>71.0.1</t>
  </si>
  <si>
    <t>UNIDAD EJECUTORA</t>
  </si>
  <si>
    <t>SECTOR</t>
  </si>
  <si>
    <t>SUBPROGRAMA</t>
  </si>
  <si>
    <t>PROGRAMA</t>
  </si>
  <si>
    <t>PRODUCTO</t>
  </si>
  <si>
    <t xml:space="preserve">NOMBRE DEL PRODUCTO </t>
  </si>
  <si>
    <t>BPIN</t>
  </si>
  <si>
    <t xml:space="preserve">NOMBRE DEL BPIN </t>
  </si>
  <si>
    <t>PRODUCTO DANE</t>
  </si>
  <si>
    <t>NOMBRE DEL PRODUCTO DANE</t>
  </si>
  <si>
    <t>ATRIBUTO</t>
  </si>
  <si>
    <t>NOMBRE DEL ATRIBUTO</t>
  </si>
  <si>
    <t>DEPENDENCIA</t>
  </si>
  <si>
    <t xml:space="preserve">RUBRO </t>
  </si>
  <si>
    <t xml:space="preserve">NOMBRE DEL RUBRO </t>
  </si>
  <si>
    <t xml:space="preserve">NOMBRE DE FUENTE DE RECURSO </t>
  </si>
  <si>
    <t xml:space="preserve">PRESUPUESTO INICIAL </t>
  </si>
  <si>
    <t xml:space="preserve">REDUCCIONES </t>
  </si>
  <si>
    <t>CONTRACREDITOS</t>
  </si>
  <si>
    <t xml:space="preserve">APLAZAMIENTOS
</t>
  </si>
  <si>
    <t xml:space="preserve">PRESUPUESTO DEFINITIVO </t>
  </si>
  <si>
    <t>DISPONIBILIDAD</t>
  </si>
  <si>
    <t xml:space="preserve">REGISTRO </t>
  </si>
  <si>
    <t xml:space="preserve">DEFINITIVAS 
</t>
  </si>
  <si>
    <t>PAGOS</t>
  </si>
  <si>
    <t xml:space="preserve">% EJECUTADO
</t>
  </si>
  <si>
    <t>1 - ADMINISTRACIÓN CENTRAL</t>
  </si>
  <si>
    <t>00 - SIN SECTOR</t>
  </si>
  <si>
    <t>0000</t>
  </si>
  <si>
    <t>000000</t>
  </si>
  <si>
    <t>SIN PRODUCTO</t>
  </si>
  <si>
    <t>SIN PRODUCTO DANE</t>
  </si>
  <si>
    <t>SIN ATRIBUTO</t>
  </si>
  <si>
    <t>2</t>
  </si>
  <si>
    <t>Gastos</t>
  </si>
  <si>
    <t>RECURSOS</t>
  </si>
  <si>
    <t>2.1</t>
  </si>
  <si>
    <t>Funcionamiento</t>
  </si>
  <si>
    <t>2.1.1</t>
  </si>
  <si>
    <t>Gastos de personal</t>
  </si>
  <si>
    <t>2.1.1.01</t>
  </si>
  <si>
    <t>Planta de personal permanente</t>
  </si>
  <si>
    <t>2.1.1.01.01</t>
  </si>
  <si>
    <t>Factores constitutivos de salario</t>
  </si>
  <si>
    <t>2.1.1.01.01.001</t>
  </si>
  <si>
    <t>Factores salariales comunes</t>
  </si>
  <si>
    <t>2.1.1.01.01.001.01</t>
  </si>
  <si>
    <t>Sueldo basico</t>
  </si>
  <si>
    <t>INGRESOS CORRIENTES DE LIBRE DESTINACION EXCEPTO EL 42% DE LIBRE DESTINACIÓN DE PROPOSITO GENERAL DE MPIOS DE CATEGORIA</t>
  </si>
  <si>
    <t>SGP PROPOSITO GENERAL 42 POR CIENTO RECURSOS LIBRE DESTINACION SGP PROPOSITO GENERAL MPIOS DE CATEGORIA 4 5 Y 6 SGP ONCE</t>
  </si>
  <si>
    <t>2.1.1.01.01.001.04</t>
  </si>
  <si>
    <t>Subsidio de alimentacion</t>
  </si>
  <si>
    <t>2.1.1.01.01.001.05</t>
  </si>
  <si>
    <t>Auxilio de transporte</t>
  </si>
  <si>
    <t>2.1.1.01.01.001.06</t>
  </si>
  <si>
    <t>Prima de servicio</t>
  </si>
  <si>
    <t>2.1.1.01.01.001.07</t>
  </si>
  <si>
    <t>Bonificacion por servicios prestados</t>
  </si>
  <si>
    <t>2.1.1.01.01.001.08</t>
  </si>
  <si>
    <t>Prestaciones sociales</t>
  </si>
  <si>
    <t>2.1.1.01.01.001.08.01</t>
  </si>
  <si>
    <t>Prima de navidad</t>
  </si>
  <si>
    <t>2.1.1.01.01.001.08.02</t>
  </si>
  <si>
    <t>Prima de vacaciones</t>
  </si>
  <si>
    <t>2.1.1.01.02</t>
  </si>
  <si>
    <t>Contribuciones inherentes a la nomina</t>
  </si>
  <si>
    <t>2.1.1.01.02.001</t>
  </si>
  <si>
    <t>Aportes a la seguridad social en pensiones</t>
  </si>
  <si>
    <t>2.1.1.01.02.002</t>
  </si>
  <si>
    <t>Aportes a la seguridad social en salud</t>
  </si>
  <si>
    <t>2.1.1.01.02.003</t>
  </si>
  <si>
    <t xml:space="preserve">Aportes de cesantias </t>
  </si>
  <si>
    <t>2.1.1.01.02.003.01</t>
  </si>
  <si>
    <t>Aportes de cesantias</t>
  </si>
  <si>
    <t>2.1.1.01.02.003.02</t>
  </si>
  <si>
    <t>Aportes de cesantias - Intereses</t>
  </si>
  <si>
    <t>2.1.1.01.02.004</t>
  </si>
  <si>
    <t>Aportes a cajas de compensacion familiar</t>
  </si>
  <si>
    <t>2.1.1.01.02.005</t>
  </si>
  <si>
    <t>Aportes generales al sistema de riesgos laborales</t>
  </si>
  <si>
    <t>2.1.1.01.02.006</t>
  </si>
  <si>
    <t>Aportes al icbf</t>
  </si>
  <si>
    <t>2.1.1.01.02.007</t>
  </si>
  <si>
    <t>Aportes al sena</t>
  </si>
  <si>
    <t>2.1.1.01.02.008</t>
  </si>
  <si>
    <t>Aportes a la esap</t>
  </si>
  <si>
    <t>2.1.1.01.02.009</t>
  </si>
  <si>
    <t>Aportes a escuelas industriales e institutos tecnicos</t>
  </si>
  <si>
    <t>2.1.1.01.02.020</t>
  </si>
  <si>
    <t>Contribuciones inherentes a la nomina de diputados o concejales</t>
  </si>
  <si>
    <t>2.1.1.01.02.020.01</t>
  </si>
  <si>
    <t>2.1.1.01.02.020.02</t>
  </si>
  <si>
    <t>2.1.1.01.02.020.04</t>
  </si>
  <si>
    <t>2.1.1.01.02.020.05</t>
  </si>
  <si>
    <t>2.1.1.01.03</t>
  </si>
  <si>
    <t>Remuneraciones no constitutivas de factor salarial</t>
  </si>
  <si>
    <t>2.1.1.01.03.001</t>
  </si>
  <si>
    <t>2.1.1.01.03.001.01</t>
  </si>
  <si>
    <t>Vacaciones</t>
  </si>
  <si>
    <t>2.1.1.01.03.001.02</t>
  </si>
  <si>
    <t>Indemnizacion por vacaciones</t>
  </si>
  <si>
    <t>2.1.1.01.03.001.03</t>
  </si>
  <si>
    <t>Bonificacion especial de recreacion</t>
  </si>
  <si>
    <t>2.1.1.01.03.003</t>
  </si>
  <si>
    <t>Bonificacion de direccion para gobernadores y alcaldes</t>
  </si>
  <si>
    <t>2.1.1.01.03.004</t>
  </si>
  <si>
    <t>Bonificacion de gestion territorial para alcaldes</t>
  </si>
  <si>
    <t>2.1.1.01.03.125</t>
  </si>
  <si>
    <t>transporte rural de concejales</t>
  </si>
  <si>
    <t>2.1.2</t>
  </si>
  <si>
    <t>Adquisicion de bienes y servicios</t>
  </si>
  <si>
    <t>2.1.2.01</t>
  </si>
  <si>
    <t>Adquisicion de activos no financieros</t>
  </si>
  <si>
    <t>2.1.2.01.01</t>
  </si>
  <si>
    <t>Activos fijos</t>
  </si>
  <si>
    <t>2.1.2.01.01.003</t>
  </si>
  <si>
    <t>Maquinaria y equipo</t>
  </si>
  <si>
    <t>2.1.2.01.01.003.03</t>
  </si>
  <si>
    <t>Maquinaria de oficina, contabilidad e informatica</t>
  </si>
  <si>
    <t>2.1.2.01.01.003.03.02</t>
  </si>
  <si>
    <t>Maquinaria de informatica y sus partes, piezas y accesorios</t>
  </si>
  <si>
    <t>2.1.2.01.01.003.03.02.01</t>
  </si>
  <si>
    <t>Compra de equipos de oficina (Computadores, impresoras, escaner, entre otros)</t>
  </si>
  <si>
    <t>2.1.2.01.01.004</t>
  </si>
  <si>
    <t>Activos fijos no clasificados como maquinaria y equipo</t>
  </si>
  <si>
    <t>2.1.2.01.01.004.01</t>
  </si>
  <si>
    <t>Muebles, instrumentos musicales, articulos de deporte y antigãœedades</t>
  </si>
  <si>
    <t>2.1.2.01.01.004.01.01</t>
  </si>
  <si>
    <t>Muebles</t>
  </si>
  <si>
    <t>2.1.2.01.01.004.01.01.02</t>
  </si>
  <si>
    <t>Muebles del tipo utilizado en la oficina</t>
  </si>
  <si>
    <t>2.1.2.01.01.004.01.01.02.01</t>
  </si>
  <si>
    <t>Mobiliario de oficina</t>
  </si>
  <si>
    <t>2.1.2.02</t>
  </si>
  <si>
    <t>Adquisiciones diferentes de activos</t>
  </si>
  <si>
    <t>2.1.2.02.01</t>
  </si>
  <si>
    <t>Materiales y suministros</t>
  </si>
  <si>
    <t>2.1.2.02.01.002</t>
  </si>
  <si>
    <t>Productos alimenticios, bebidas y tabaco, textiles, prendas de vestir y productos de cuero</t>
  </si>
  <si>
    <t>2823609</t>
  </si>
  <si>
    <t>Uniformes de trabajo</t>
  </si>
  <si>
    <t>2.1.2.02.01.002.01</t>
  </si>
  <si>
    <t>Dotacion empleados</t>
  </si>
  <si>
    <t>2.1.2.02.01.003</t>
  </si>
  <si>
    <t>Otros bienes transportables excepto productos metalicos, maquinaria y equipo</t>
  </si>
  <si>
    <t>3899998</t>
  </si>
  <si>
    <t>Artículos n.c.p. para escritorio y oficina</t>
  </si>
  <si>
    <t>2.1.2.02.01.003.01</t>
  </si>
  <si>
    <t>Insumos de papeleria y archivo</t>
  </si>
  <si>
    <t>2.1.2.02.01.003.02</t>
  </si>
  <si>
    <t>Insumos de aseo y cafeteria</t>
  </si>
  <si>
    <t>2.1.2.02.01.004</t>
  </si>
  <si>
    <t>Productos metalicos y paquetes de software</t>
  </si>
  <si>
    <t>4299991</t>
  </si>
  <si>
    <t>Artículos n.c.p. de ferretería y cerrajería</t>
  </si>
  <si>
    <t>2.1.2.02.01.004.01</t>
  </si>
  <si>
    <t>Insumos de ferreteria para mantenimientos internos</t>
  </si>
  <si>
    <t>2.1.2.02.02</t>
  </si>
  <si>
    <t>Adquisicion de servicios</t>
  </si>
  <si>
    <t>69111</t>
  </si>
  <si>
    <t>Servicio de transmisión de electricidad (por cuenta propia)</t>
  </si>
  <si>
    <t>2.1.2.02.02.006.01</t>
  </si>
  <si>
    <t>Servicio de energia</t>
  </si>
  <si>
    <t>69210</t>
  </si>
  <si>
    <t>Servicios de distribución de agua por tuberías (excepto vapor y agua caliente), por cuenta propia</t>
  </si>
  <si>
    <t>2.1.2.02.02.006.02</t>
  </si>
  <si>
    <t>Servicio de AAA</t>
  </si>
  <si>
    <t>2.1.2.02.02.007</t>
  </si>
  <si>
    <t>Servicios financieros y servicios conexos, servicios inmobiliarios y servicios de leasing</t>
  </si>
  <si>
    <t>71311</t>
  </si>
  <si>
    <t>Servicios de seguros de vida individual</t>
  </si>
  <si>
    <t>2.1.2.02.02.007.01</t>
  </si>
  <si>
    <t>Seguros de vida Alcalde</t>
  </si>
  <si>
    <t>2.1.2.02.02.007.02</t>
  </si>
  <si>
    <t>Seguros de vida Concejales</t>
  </si>
  <si>
    <t>71359</t>
  </si>
  <si>
    <t>Otros servicios de seguros distintos de los seguros de vida n.c.p.</t>
  </si>
  <si>
    <t>2.1.2.02.02.007.03</t>
  </si>
  <si>
    <t>Otros seguros</t>
  </si>
  <si>
    <t>73111</t>
  </si>
  <si>
    <t>Servicios de arrendamiento o alquiler de automóviles y furgonetas sin operario</t>
  </si>
  <si>
    <t>Servicios de alquiler de automóviles</t>
  </si>
  <si>
    <t>2.1.2.02.02.008</t>
  </si>
  <si>
    <t xml:space="preserve">Servicios prestados a las empresas y servicios de produccion </t>
  </si>
  <si>
    <t>85510</t>
  </si>
  <si>
    <t>Servicios de reserva venta y reventa de tiquetes para transporte</t>
  </si>
  <si>
    <t>2.1.2.02.02.008.01</t>
  </si>
  <si>
    <t>Suministro de tiquetes aéreos y terrestres</t>
  </si>
  <si>
    <t>85330</t>
  </si>
  <si>
    <t>Servicios de limpieza general</t>
  </si>
  <si>
    <t>2.1.2.02.02.008.04</t>
  </si>
  <si>
    <t>Pretación de Servicios generales</t>
  </si>
  <si>
    <t>82199</t>
  </si>
  <si>
    <t>Otros servicios jurídicos n.c.p.</t>
  </si>
  <si>
    <t>2.1.2.02.02.008.05</t>
  </si>
  <si>
    <t>Servicios Juridicos</t>
  </si>
  <si>
    <t>84222</t>
  </si>
  <si>
    <t>Servicios de acceso a Internet de banda ancha</t>
  </si>
  <si>
    <t>2.1.2.02.02.008.06</t>
  </si>
  <si>
    <t>Internet</t>
  </si>
  <si>
    <t>83990</t>
  </si>
  <si>
    <t>Otros servicios profesionales, técnicos y empresariales n.c.p.</t>
  </si>
  <si>
    <t>Permisos INVIMA</t>
  </si>
  <si>
    <t>85999</t>
  </si>
  <si>
    <t>Otros servicios de apoyo n.c.p.</t>
  </si>
  <si>
    <t>2.1.2.02.02.008.08</t>
  </si>
  <si>
    <t>Servicios de apoyo logístico</t>
  </si>
  <si>
    <t>2.1.2.02.02.008.11</t>
  </si>
  <si>
    <t>Otras adquisiciones de bienes y servicios</t>
  </si>
  <si>
    <t>2.1.2.02.02.009</t>
  </si>
  <si>
    <t>Servicios para la comunidad, sociales y personales</t>
  </si>
  <si>
    <t>91119</t>
  </si>
  <si>
    <t>Otros servicios de la administración pública n.c.p.</t>
  </si>
  <si>
    <t>2.1.2.02.02.009.01</t>
  </si>
  <si>
    <t>Servicios administrativos del gobierno</t>
  </si>
  <si>
    <t>2.1.2.02.02.009.02</t>
  </si>
  <si>
    <t>Sistema de Seguridad y Salud en el Trabajo</t>
  </si>
  <si>
    <t>2.1.2.02.02.009.03</t>
  </si>
  <si>
    <t>Exámenes médico-ocupacionales</t>
  </si>
  <si>
    <t>2.1.2.02.02.009.04</t>
  </si>
  <si>
    <t>Bienestar Social</t>
  </si>
  <si>
    <t>2.1.2.02.02.009.05</t>
  </si>
  <si>
    <t>Capacitación</t>
  </si>
  <si>
    <t>97990</t>
  </si>
  <si>
    <t>Otros servicios diversos n.c.p.</t>
  </si>
  <si>
    <t>2.1.2.02.02.009.06</t>
  </si>
  <si>
    <t>Gastos Electorales</t>
  </si>
  <si>
    <t>2.1.2.02.02.009.07</t>
  </si>
  <si>
    <t>concurso economico estratificacion (municipio)</t>
  </si>
  <si>
    <t>2.1.2.02.02.009.08</t>
  </si>
  <si>
    <t>Inhumacion de cadaveres</t>
  </si>
  <si>
    <t>2.1.2.02.02.010</t>
  </si>
  <si>
    <t>Viáticos de los funcionarios en comisión</t>
  </si>
  <si>
    <t>2.1.3</t>
  </si>
  <si>
    <t>2.1.3.05</t>
  </si>
  <si>
    <t>A entidades del gobierno</t>
  </si>
  <si>
    <t>2.1.3.05.01</t>
  </si>
  <si>
    <t>A organos del pgn</t>
  </si>
  <si>
    <t>2.1.3.05.01.061</t>
  </si>
  <si>
    <t>Administracion, funcionamiento e infraestructura del registro nacional de medidas correctivas</t>
  </si>
  <si>
    <t>MULTAS CODIGO POLICIA</t>
  </si>
  <si>
    <t>RB MULTAS CODIGO DE POLICIA</t>
  </si>
  <si>
    <t>2.1.3.05.01.067</t>
  </si>
  <si>
    <t>Servicio de policia en modalidad de vigilancia</t>
  </si>
  <si>
    <t>2.1.3.05.01.068</t>
  </si>
  <si>
    <t>Administracion, funcionamiento e infraestructura del sistema unico de informacion de recaudo, registro y transaccion de multas del codigo nacional de seguridad y convivencia ciudadana</t>
  </si>
  <si>
    <t>2.1.3.05.04</t>
  </si>
  <si>
    <t>2.1.3.05.04.001</t>
  </si>
  <si>
    <t>Participaciones de impuestos</t>
  </si>
  <si>
    <t>2.1.3.05.04.001.13</t>
  </si>
  <si>
    <t>Participacion de la sobretasa ambiental</t>
  </si>
  <si>
    <t>2.1.3.05.04.001.13.01</t>
  </si>
  <si>
    <t>Transferencia de la sobretasa ambiental a las corporaciones autonomas regionales</t>
  </si>
  <si>
    <t>SOBRETASA AMBIENTAL</t>
  </si>
  <si>
    <t>SOBRETASA AMBIENTAL RB</t>
  </si>
  <si>
    <t>2.1.3.09</t>
  </si>
  <si>
    <t>A instituciones sin animo de lucro que sirven a los hogares</t>
  </si>
  <si>
    <t>2.1.3.09.16</t>
  </si>
  <si>
    <t>Sobretasa bomberilcuerpos de bomberos voluntarios</t>
  </si>
  <si>
    <t>2.1.3.09.16.01</t>
  </si>
  <si>
    <t>Transferencia Cuerpo de Bomberos</t>
  </si>
  <si>
    <t>SOBRETASA BOMBERIL</t>
  </si>
  <si>
    <t>SOBRETASA BOMBERIL RB</t>
  </si>
  <si>
    <t>2.1.3.11</t>
  </si>
  <si>
    <t>2.1.3.11.02</t>
  </si>
  <si>
    <t xml:space="preserve">Sistema general de pensiones </t>
  </si>
  <si>
    <t>2.1.3.11.02.001</t>
  </si>
  <si>
    <t xml:space="preserve">Capitalizacion de patrimonios autonomos pensionales </t>
  </si>
  <si>
    <t>2.1.3.11.02.001.02</t>
  </si>
  <si>
    <t>Capitalizacion de otros patrimonios autonomos pensionales</t>
  </si>
  <si>
    <t>2.1.3.11.02.001.02.02</t>
  </si>
  <si>
    <t>Seguridad Social Del Gestor Cultural 10% Ley 666</t>
  </si>
  <si>
    <t>Estampilla Procultura</t>
  </si>
  <si>
    <t>RF SEGURIDAD SOCIAL GESTOR CULTURAL</t>
  </si>
  <si>
    <t>RB ESTAMPILLA PROCULTURA</t>
  </si>
  <si>
    <t>REND. FCROS. SEGURIDAD SOCIAL DEL GESTOR</t>
  </si>
  <si>
    <t>2.1.3.13</t>
  </si>
  <si>
    <t>Sentencias y conciliaciones</t>
  </si>
  <si>
    <t>2.1.3.13.01</t>
  </si>
  <si>
    <t>Fallos nacionales</t>
  </si>
  <si>
    <t>2.1.3.13.01.001</t>
  </si>
  <si>
    <t>Sentencias</t>
  </si>
  <si>
    <t>2.1.4</t>
  </si>
  <si>
    <t>Transferencias de capital</t>
  </si>
  <si>
    <t>2.1.4.02</t>
  </si>
  <si>
    <t>Entidades del gobierno general</t>
  </si>
  <si>
    <t>2.1.4.02.03</t>
  </si>
  <si>
    <t>Esquemas asociativos</t>
  </si>
  <si>
    <t>2.1.4.02.03.01</t>
  </si>
  <si>
    <t>Asociación de Municipios Pueblos de Occidente (ASOMUPOCC)</t>
  </si>
  <si>
    <t>2.1.4.02.03.02</t>
  </si>
  <si>
    <t>Federación Colombiana de Municipios</t>
  </si>
  <si>
    <t>2.1.8</t>
  </si>
  <si>
    <t>Gastos por tributos, tasas, contribuciones, multas, sanciones e intereses de mora</t>
  </si>
  <si>
    <t>2.1.8.01</t>
  </si>
  <si>
    <t>IMPUESTOS</t>
  </si>
  <si>
    <t>2.1.8.01.14</t>
  </si>
  <si>
    <t>GRAVAMEN A LOS MOVIMIENTOS FINANCIEROS</t>
  </si>
  <si>
    <t>2.2</t>
  </si>
  <si>
    <t>Servicio de la deuda publica</t>
  </si>
  <si>
    <t>2.2.2</t>
  </si>
  <si>
    <t>Servicio de la deuda publica interna</t>
  </si>
  <si>
    <t>2.2.2.01</t>
  </si>
  <si>
    <t>Principal</t>
  </si>
  <si>
    <t>2.2.2.01.02</t>
  </si>
  <si>
    <t>Prestamos</t>
  </si>
  <si>
    <t>2.2.2.01.02.002</t>
  </si>
  <si>
    <t>Entidades financieras</t>
  </si>
  <si>
    <t>2.2.2.01.02.002.02</t>
  </si>
  <si>
    <t>Banca comercial</t>
  </si>
  <si>
    <t>2.2.2.01.02.002.02.03</t>
  </si>
  <si>
    <t>2.2.2.01.02.002.02.03.01</t>
  </si>
  <si>
    <t>Prestamos - SGP Libre inversión - Banco Agrario</t>
  </si>
  <si>
    <t>SGP PROPOSITO GENERAL FORZOSA INVERSION LIBRE INVERSIÓN SGP ONCE DOCEAVAS VIGENCIA ACTUAL MAS ULTIMA DOCEAVA VIGENCIA AN</t>
  </si>
  <si>
    <t>2.2.2.02</t>
  </si>
  <si>
    <t>Intereses</t>
  </si>
  <si>
    <t>2.2.2.02.02</t>
  </si>
  <si>
    <t>2.2.2.02.02.002</t>
  </si>
  <si>
    <t>2.2.2.02.02.002.02</t>
  </si>
  <si>
    <t>2.2.2.02.02.002.02.03</t>
  </si>
  <si>
    <t>2.2.2.02.02.002.02.03.01</t>
  </si>
  <si>
    <t>Intereses Prestamos - SGP Libre inversión - Banco Agrario</t>
  </si>
  <si>
    <t>2.2.2.02.02.002.02.03.02</t>
  </si>
  <si>
    <t>Intereses Prestamos - SGP Libre inversión</t>
  </si>
  <si>
    <t>2.2.2.05</t>
  </si>
  <si>
    <t>Bonos pensionales</t>
  </si>
  <si>
    <t>2.2.2.05.01</t>
  </si>
  <si>
    <t>Tipo a</t>
  </si>
  <si>
    <t>2.2.2.05.01.01</t>
  </si>
  <si>
    <t>Pasivo Pensional Estampilla Proanciano</t>
  </si>
  <si>
    <t>Estampilla adulto mayor</t>
  </si>
  <si>
    <t>RB ESTAMPILLA PRO ADULTO MAYOR</t>
  </si>
  <si>
    <t>2.2.2.05.01.02</t>
  </si>
  <si>
    <t>Pasivo Pensional Estampilla Procultura</t>
  </si>
  <si>
    <t>2.2.2.05.01.03</t>
  </si>
  <si>
    <t>2.2.2.05.01.04</t>
  </si>
  <si>
    <t>Pasivo Pensional RF Nómina de pensionados</t>
  </si>
  <si>
    <t>REND. FCROS. NOMINA PENSIONADOS FONPET</t>
  </si>
  <si>
    <t>2.2.2.05.02</t>
  </si>
  <si>
    <t>Tipo b</t>
  </si>
  <si>
    <t>2.2.2.05.02.01</t>
  </si>
  <si>
    <t>2.2.2.05.02.02</t>
  </si>
  <si>
    <t>Pasivo Pensional Estampilla Procultura (Art. 72 L 617)</t>
  </si>
  <si>
    <t>2.2.2.05.02.03</t>
  </si>
  <si>
    <t>2.2.2.05.02.04</t>
  </si>
  <si>
    <t>Pasivo Pensional recursos desahorro FONPET</t>
  </si>
  <si>
    <t>PARA EL PAGO DE OBLIGACIONES PENSIONALES CORRIENTES</t>
  </si>
  <si>
    <t>2.3</t>
  </si>
  <si>
    <t>INVERSION</t>
  </si>
  <si>
    <t>2.3.1</t>
  </si>
  <si>
    <t>GASTOS DE PERSONAL</t>
  </si>
  <si>
    <t>2.3.1.01</t>
  </si>
  <si>
    <t>PLANTA DE PERSONAL PERMANENTE</t>
  </si>
  <si>
    <t>2.3.1.01.01</t>
  </si>
  <si>
    <t>FACTORES CONSTITUTIVOS DE SALARIO</t>
  </si>
  <si>
    <t>2.3.1.01.01.001</t>
  </si>
  <si>
    <t>FACTORES SALARIALES COMUNES</t>
  </si>
  <si>
    <t>2.3.1.01.01.001.01</t>
  </si>
  <si>
    <t>SUELDO BASICO</t>
  </si>
  <si>
    <t>2.3.1.01.01.001.01.12</t>
  </si>
  <si>
    <t>JUSTICIA Y DEL DERECHO</t>
  </si>
  <si>
    <t>12 - JUSTICIA Y DEL DERECHO</t>
  </si>
  <si>
    <t>0800</t>
  </si>
  <si>
    <t>1202</t>
  </si>
  <si>
    <t>1202002</t>
  </si>
  <si>
    <t>SERVICIO DE JUSTICIA A LOS CIUDADANOS</t>
  </si>
  <si>
    <t>2024546600041</t>
  </si>
  <si>
    <t>APOYO PARA LA PROMOCIÓN DEL ACCESO A LA JUSTICIA PDM UNIDOS SOMOS MÁS EN EL MUNICIPIO DE   SALAZAR</t>
  </si>
  <si>
    <t>2.3.1.01.01.001.01.12.01</t>
  </si>
  <si>
    <t>Sueldo basico - CORREGIDOR</t>
  </si>
  <si>
    <t>2.3.1.01.01.001.01.12.02</t>
  </si>
  <si>
    <t>SGP PROPOSITO GENERAL FORZOSA INVERSION LIBRE INVERSIÓN SALDOS NO EJECUTADOS NI INCORPORADOS VIGENCIAS ANTERIORES Y REIN</t>
  </si>
  <si>
    <t>2.3.1.01.01.001.01.17</t>
  </si>
  <si>
    <t>AGRICULTURA Y DESARROLLO RURAL</t>
  </si>
  <si>
    <t>17 - AGRICULTURA Y DESARROLLO RURAL</t>
  </si>
  <si>
    <t>1100</t>
  </si>
  <si>
    <t>1702</t>
  </si>
  <si>
    <t>1702010</t>
  </si>
  <si>
    <t>SERVICIO DE ASISTENCIA TÉCNICA AGROPECUARIA DIRIGIDA A PEQUEÑOS PRODUCTORES</t>
  </si>
  <si>
    <t>2024546600043</t>
  </si>
  <si>
    <t>APOYO PARA LA INCLUSIÓN PRODUCTIVA DE PEQUEÑOS PRODUCTORES RURALES PDM UNIDOS SOMOS MÁS EN EL MUNICIPIO DE  SALAZAR</t>
  </si>
  <si>
    <t>2.3.1.01.01.001.01.17.01</t>
  </si>
  <si>
    <t>Sueldo basico - UMATA</t>
  </si>
  <si>
    <t>2.3.1.01.01.001.01.45</t>
  </si>
  <si>
    <t>GOBIERNO TERRITORIAL</t>
  </si>
  <si>
    <t>45 - GOBIERNO TERRITORIAL</t>
  </si>
  <si>
    <t>1000</t>
  </si>
  <si>
    <t>4501</t>
  </si>
  <si>
    <t>4501082</t>
  </si>
  <si>
    <t>SERVICIO DE APOYO PARA LA ATENCIÓN ESPECIALIZADA E INTERDISCIPLINARIA EN LAS COMISARIAS DE FAMILIA</t>
  </si>
  <si>
    <t>2024546600072</t>
  </si>
  <si>
    <t>FORTALECIMIENTO DE LA CONVIVENCIA Y LA SEGURIDAD CIUDADANA PDM UNIDOS SOMOS MÁS EN EL MUNICIPIO DE  SALAZAR</t>
  </si>
  <si>
    <t>2.3.1.01.01.001.01.45.01</t>
  </si>
  <si>
    <t>Sueldo basico - COMISARIA DE FAMILIA</t>
  </si>
  <si>
    <t>2.3.1.01.01.001.01.45.02</t>
  </si>
  <si>
    <t>RF Estampilla Justicia Familiar</t>
  </si>
  <si>
    <t>2.3.1.01.01.001.01.45.03</t>
  </si>
  <si>
    <t>2.3.1.01.01.001.04</t>
  </si>
  <si>
    <t>SUBSIDIO DE ALIMENTACION</t>
  </si>
  <si>
    <t>2.3.1.01.01.001.04.12</t>
  </si>
  <si>
    <t>2.3.1.01.01.001.04.12.01</t>
  </si>
  <si>
    <t>Subsidio de alimentacion - CORREGIDOR</t>
  </si>
  <si>
    <t>2.3.1.01.01.001.04.12.02</t>
  </si>
  <si>
    <t>2.3.1.01.01.001.04.17</t>
  </si>
  <si>
    <t>2.3.1.01.01.001.04.17.01</t>
  </si>
  <si>
    <t>Subsidio de alimentacion - UMATA</t>
  </si>
  <si>
    <t>2.3.1.01.01.001.04.45</t>
  </si>
  <si>
    <t>2.3.1.01.01.001.04.45.01</t>
  </si>
  <si>
    <t>Subsidio de alimentacion - COMISARIA DE FAMILIA</t>
  </si>
  <si>
    <t>2.3.1.01.01.001.04.45.02</t>
  </si>
  <si>
    <t>SGP LIBRE DESTINACION BALANCE</t>
  </si>
  <si>
    <t>2.3.1.01.01.001.04.45.03</t>
  </si>
  <si>
    <t>RB ESTAMPILLA PARA LA JUSTICIA FAMILIAR</t>
  </si>
  <si>
    <t>2.3.1.01.01.001.05</t>
  </si>
  <si>
    <t>AUXILIO DE TRANSPORTE</t>
  </si>
  <si>
    <t>2.3.1.01.01.001.05.12</t>
  </si>
  <si>
    <t>2.3.1.01.01.001.05.12.01</t>
  </si>
  <si>
    <t>Auxilio de transporte - CORREGIDOR</t>
  </si>
  <si>
    <t>2.3.1.01.01.001.05.12.02</t>
  </si>
  <si>
    <t>2.3.1.01.01.001.05.17</t>
  </si>
  <si>
    <t>2.3.1.01.01.001.05.17.01</t>
  </si>
  <si>
    <t>Auxilio de transporte - UMATA</t>
  </si>
  <si>
    <t>2.3.1.01.01.001.05.45</t>
  </si>
  <si>
    <t>2.3.1.01.01.001.05.45.01</t>
  </si>
  <si>
    <t>Auxilio de transporte - COMISARIA DE FAMILIA</t>
  </si>
  <si>
    <t>2.3.1.01.01.001.05.45.02</t>
  </si>
  <si>
    <t>2.3.1.01.01.001.06</t>
  </si>
  <si>
    <t>PRIMA DE SERVICIO</t>
  </si>
  <si>
    <t>2.3.1.01.01.001.06.12</t>
  </si>
  <si>
    <t>2.3.1.01.01.001.06.12.01</t>
  </si>
  <si>
    <t>Prima de servicio - CORREGIDOR</t>
  </si>
  <si>
    <t>2.3.1.01.01.001.06.12.02</t>
  </si>
  <si>
    <t>2.3.1.01.01.001.06.17</t>
  </si>
  <si>
    <t>2.3.1.01.01.001.06.17.01</t>
  </si>
  <si>
    <t>Prima de servicio - UMATA</t>
  </si>
  <si>
    <t>2.3.1.01.01.001.06.45</t>
  </si>
  <si>
    <t>2.3.1.01.01.001.06.45.01</t>
  </si>
  <si>
    <t>Prima de servicio - COMISARIA DE FAMILIA</t>
  </si>
  <si>
    <t>2.3.1.01.01.001.06.45.02</t>
  </si>
  <si>
    <t>2.3.1.01.01.001.07</t>
  </si>
  <si>
    <t>BONIFICACION POR SERVICIOS PRESTADOS</t>
  </si>
  <si>
    <t>2.3.1.01.01.001.07.12</t>
  </si>
  <si>
    <t>JUSTICIA</t>
  </si>
  <si>
    <t>2.3.1.01.01.001.07.12.01</t>
  </si>
  <si>
    <t>Bonificacion por servicios prestados - CORREGIDOR</t>
  </si>
  <si>
    <t>2.3.1.01.01.001.07.12.02</t>
  </si>
  <si>
    <t>2.3.1.01.01.001.07.17</t>
  </si>
  <si>
    <t>AGRICULTURA</t>
  </si>
  <si>
    <t>2.3.1.01.01.001.07.17.01</t>
  </si>
  <si>
    <t>Bonificacion por servicios prestados - UMATA</t>
  </si>
  <si>
    <t>2.3.1.01.01.001.07.45</t>
  </si>
  <si>
    <t>2.3.1.01.01.001.07.45.01</t>
  </si>
  <si>
    <t>Bonificacion por servicios prestados - COMISARIA DE FAMILIA</t>
  </si>
  <si>
    <t>2.3.1.01.01.001.07.45.02</t>
  </si>
  <si>
    <t>2.3.1.01.01.001.08</t>
  </si>
  <si>
    <t>PRESTACIONES SOCIALES</t>
  </si>
  <si>
    <t>2.3.1.01.01.001.08.01</t>
  </si>
  <si>
    <t>PRIMA DE NAVIDAD</t>
  </si>
  <si>
    <t>2.3.1.01.01.001.08.01.12.01</t>
  </si>
  <si>
    <t>Prima de navidad - CORREGIDOR</t>
  </si>
  <si>
    <t>2.3.1.01.01.001.08.01.12.02</t>
  </si>
  <si>
    <t>2.3.1.01.01.001.08.01.17.01</t>
  </si>
  <si>
    <t>Prima de navidad - UMATA</t>
  </si>
  <si>
    <t>2.3.1.01.01.001.08.01.45.01</t>
  </si>
  <si>
    <t>Prima de navidad - COMISARIA DE FAMILIA</t>
  </si>
  <si>
    <t>2.3.1.01.01.001.08.01.45.02</t>
  </si>
  <si>
    <t>2.3.1.01.01.001.08.02.12.01</t>
  </si>
  <si>
    <t>Prima de vacaciones - CORREGIDOR</t>
  </si>
  <si>
    <t>2.3.1.01.01.001.08.02.12.02</t>
  </si>
  <si>
    <t>2.3.1.01.01.001.08.02.17.01</t>
  </si>
  <si>
    <t>Prima de vacaciones - UMATA</t>
  </si>
  <si>
    <t>2.3.1.01.01.001.08.02.45.01</t>
  </si>
  <si>
    <t>Prima de vacaciones - COMISARIA DE FAMILIA</t>
  </si>
  <si>
    <t>2.3.1.01.01.001.08.02.45.02</t>
  </si>
  <si>
    <t>2.3.1.01.02</t>
  </si>
  <si>
    <t>CONTRIBUCIONES INHERENTES A LA NOMINA</t>
  </si>
  <si>
    <t>2.3.1.01.02.001</t>
  </si>
  <si>
    <t>APORTES A LA SEGURIDAD SOCIAL EN PENSIONES</t>
  </si>
  <si>
    <t>2.3.1.01.02.001.12.01</t>
  </si>
  <si>
    <t>Aportes a la seguridad social en pensiones - CORREGIDOR</t>
  </si>
  <si>
    <t>2.3.1.01.02.001.12.02</t>
  </si>
  <si>
    <t>2.3.1.01.02.001.17.01</t>
  </si>
  <si>
    <t>Aportes a la seguridad social en pensiones - UMATA</t>
  </si>
  <si>
    <t>2.3.1.01.02.001.45.01</t>
  </si>
  <si>
    <t>Aportes a la seguridad social en pensiones - COMISARIA DE FAMILIA</t>
  </si>
  <si>
    <t>2.3.1.01.02.001.45.02</t>
  </si>
  <si>
    <t>2.3.1.01.02.002</t>
  </si>
  <si>
    <t>APORTES A LA SEGURIDAD SOCIAL EN SALUD</t>
  </si>
  <si>
    <t>2.3.1.01.02.002.12.01</t>
  </si>
  <si>
    <t>Aportes a la seguridad social en salud - CORREGIDOR</t>
  </si>
  <si>
    <t>2.3.1.01.02.002.12.02</t>
  </si>
  <si>
    <t>2.3.1.01.02.002.17.01</t>
  </si>
  <si>
    <t>Aportes a la seguridad social en salud - UMATA</t>
  </si>
  <si>
    <t>2.3.1.01.02.002.45.01</t>
  </si>
  <si>
    <t>Aportes a la seguridad social en salud - COMISARIA DE FAMILIA</t>
  </si>
  <si>
    <t>2.3.1.01.02.002.45.02</t>
  </si>
  <si>
    <t>2.3.1.01.02.003</t>
  </si>
  <si>
    <t xml:space="preserve">APORTES DE CESANTIAS </t>
  </si>
  <si>
    <t>2.3.1.01.02.003.12.01</t>
  </si>
  <si>
    <t>Aportes de cesantias  - CORREGIDOR</t>
  </si>
  <si>
    <t>2.3.1.01.02.003.12.02</t>
  </si>
  <si>
    <t>Aportes Intereses de cesantias  - CORREGIDOR</t>
  </si>
  <si>
    <t>2.3.1.01.02.003.12.03</t>
  </si>
  <si>
    <t>2.3.1.01.02.003.12.04</t>
  </si>
  <si>
    <t>2.3.1.01.02.003.17.01</t>
  </si>
  <si>
    <t>Aportes de cesantias  - UMATA</t>
  </si>
  <si>
    <t>2.3.1.01.02.003.17.02</t>
  </si>
  <si>
    <t>Aportes Intereses de cesantias  - UMATA</t>
  </si>
  <si>
    <t>2.3.1.01.02.003.45.01</t>
  </si>
  <si>
    <t>Aportes de cesantias  - COMISARIA DE FAMILIA</t>
  </si>
  <si>
    <t>2.3.1.01.02.003.45.02</t>
  </si>
  <si>
    <t>Aportes de intereses de cesantias  - COMISARIA DE FAMILIA</t>
  </si>
  <si>
    <t>2.3.1.01.02.003.45.03</t>
  </si>
  <si>
    <t>2.3.1.01.02.003.45.04</t>
  </si>
  <si>
    <t>2.3.1.01.02.004</t>
  </si>
  <si>
    <t>APORTES A CAJAS DE COMPENSACION FAMILIAR</t>
  </si>
  <si>
    <t>2.3.1.01.02.004.12.01</t>
  </si>
  <si>
    <t>Aportes a cajas de compensacion familiar - CORREGIDOR</t>
  </si>
  <si>
    <t>2.3.1.01.02.004.12.02</t>
  </si>
  <si>
    <t>2.3.1.01.02.004.17.01</t>
  </si>
  <si>
    <t>Aportes a cajas de compensacion familiar - UMATA</t>
  </si>
  <si>
    <t>2.3.1.01.02.004.45.01</t>
  </si>
  <si>
    <t>Aportes a cajas de compensacion familiar - COMISARIA DE FAMILIA</t>
  </si>
  <si>
    <t>2.3.1.01.02.004.45.02</t>
  </si>
  <si>
    <t>2.3.1.01.02.005</t>
  </si>
  <si>
    <t>APORTES GENERALES AL SISTEMA DE RIESGOS LABORALES</t>
  </si>
  <si>
    <t>2.3.1.01.02.005.12.01</t>
  </si>
  <si>
    <t>Aportes generales al sistema de riesgos laborales - CORREGIDOR</t>
  </si>
  <si>
    <t>2.3.1.01.02.005.12.02</t>
  </si>
  <si>
    <t>2.3.1.01.02.005.17.01</t>
  </si>
  <si>
    <t>Aportes generales al sistema de riesgos laborales - UMATA</t>
  </si>
  <si>
    <t>2.3.1.01.02.005.45.01</t>
  </si>
  <si>
    <t>Aportes generales al sistema de riesgos laborales - COMISARIA DE FAMILIA</t>
  </si>
  <si>
    <t>2.3.1.01.02.005.45.02</t>
  </si>
  <si>
    <t>2.3.1.01.02.006</t>
  </si>
  <si>
    <t>APORTES AL ICBF</t>
  </si>
  <si>
    <t>2.3.1.01.02.006.12.01</t>
  </si>
  <si>
    <t>Aportes al icbf - CORREGIDOR</t>
  </si>
  <si>
    <t>2.3.1.01.02.006.12.02</t>
  </si>
  <si>
    <t>2.3.1.01.02.006.17.01</t>
  </si>
  <si>
    <t>Aportes al icbf - UMATA</t>
  </si>
  <si>
    <t>2.3.1.01.02.006.45.01</t>
  </si>
  <si>
    <t>Aportes al icbf - COMISARIA DE FAMILIA</t>
  </si>
  <si>
    <t>2.3.1.01.02.006.45.02</t>
  </si>
  <si>
    <t>2.3.1.01.02.007</t>
  </si>
  <si>
    <t>APORTES AL SENA</t>
  </si>
  <si>
    <t>2.3.1.01.02.007.12.01</t>
  </si>
  <si>
    <t>Aportes al sena - CORREGIDOR</t>
  </si>
  <si>
    <t>2.3.1.01.02.007.12.02</t>
  </si>
  <si>
    <t>2.3.1.01.02.007.17.01</t>
  </si>
  <si>
    <t>Aportes al sena - UMATA</t>
  </si>
  <si>
    <t>2.3.1.01.02.007.45.01</t>
  </si>
  <si>
    <t>Aportes al sena - COMISARIA DE FAMILIA</t>
  </si>
  <si>
    <t>2.3.1.01.02.007.45.02</t>
  </si>
  <si>
    <t>2.3.1.01.02.008</t>
  </si>
  <si>
    <t>APORTES A LA ESAP</t>
  </si>
  <si>
    <t>2.3.1.01.02.008.12.01</t>
  </si>
  <si>
    <t>Aportes a la esap - CORREGIDOR</t>
  </si>
  <si>
    <t>2.3.1.01.02.008.12.02</t>
  </si>
  <si>
    <t>2.3.1.01.02.008.17.01</t>
  </si>
  <si>
    <t>Aportes a la esap - UMATA</t>
  </si>
  <si>
    <t>2.3.1.01.02.008.45.01</t>
  </si>
  <si>
    <t>Aportes a la esap - COMISARIA DE FAMILIA</t>
  </si>
  <si>
    <t>2.3.1.01.02.008.45.02</t>
  </si>
  <si>
    <t>2.3.1.01.02.009</t>
  </si>
  <si>
    <t>APORTES A ESCUELAS INDUSTRIALES E INSTITUTOS TECNICOS</t>
  </si>
  <si>
    <t>2.3.1.01.02.009.12.01</t>
  </si>
  <si>
    <t>Aportes a escuelas industriales e institutos tecnicos - CORREGIDOR</t>
  </si>
  <si>
    <t>2.3.1.01.02.009.12.02</t>
  </si>
  <si>
    <t>2.3.1.01.02.009.17.01</t>
  </si>
  <si>
    <t>Aportes a escuelas industriales e institutos tecnicos - UMATA</t>
  </si>
  <si>
    <t>2.3.1.01.02.009.45.01</t>
  </si>
  <si>
    <t>Aportes a escuelas industriales e institutos tecnicos - COMISARIA DE FAMILIA</t>
  </si>
  <si>
    <t>2.3.1.01.02.009.45.02</t>
  </si>
  <si>
    <t>2.3.1.01.03</t>
  </si>
  <si>
    <t>REMUNERACIONES NO CONSTITUTIVAS DE FACTOR SALARIAL</t>
  </si>
  <si>
    <t>2.3.1.01.03.001</t>
  </si>
  <si>
    <t>2.3.1.01.03.001.01</t>
  </si>
  <si>
    <t>VACACIONES</t>
  </si>
  <si>
    <t>2.3.1.01.03.001.01.12.01</t>
  </si>
  <si>
    <t>Vacaciones - CORREGIDOR</t>
  </si>
  <si>
    <t>2.3.1.01.03.001.01.12.02</t>
  </si>
  <si>
    <t>2.3.1.01.03.001.01.17.01</t>
  </si>
  <si>
    <t>Vacaciones - UMATA</t>
  </si>
  <si>
    <t>2.3.1.01.03.001.01.45.01</t>
  </si>
  <si>
    <t>Vacaciones - COMISARIA DE FAMILIA</t>
  </si>
  <si>
    <t>2.3.1.01.03.001.01.45.02</t>
  </si>
  <si>
    <t>2.3.1.01.03.001.02</t>
  </si>
  <si>
    <t>INDEMNIZACION POR VACACIONES</t>
  </si>
  <si>
    <t>2.3.1.01.03.001.02.12.01</t>
  </si>
  <si>
    <t>Indemnizacion por vacaciones - CORREGIDOR</t>
  </si>
  <si>
    <t>2.3.1.01.03.001.02.12.02</t>
  </si>
  <si>
    <t>2.3.1.01.03.001.02.17.01</t>
  </si>
  <si>
    <t>Indemnizacion por vacaciones - UMATA</t>
  </si>
  <si>
    <t>2.3.1.01.03.001.02.45.01</t>
  </si>
  <si>
    <t>Indemnizacion por vacaciones - COMISARIA DE FAMILIA</t>
  </si>
  <si>
    <t>2.3.1.01.03.001.02.45.02</t>
  </si>
  <si>
    <t>2.3.1.01.03.001.03</t>
  </si>
  <si>
    <t>BONIFICACION ESPECIAL DE RECREACION</t>
  </si>
  <si>
    <t>2.3.1.01.03.001.03.12.01</t>
  </si>
  <si>
    <t>Bonificacion especial de recreacion - CORREGIDOR</t>
  </si>
  <si>
    <t>2.3.1.01.03.001.03.12.02</t>
  </si>
  <si>
    <t>2.3.1.01.03.001.03.17.01</t>
  </si>
  <si>
    <t>Bonificacion especial de recreacion - UMATA</t>
  </si>
  <si>
    <t>2.3.1.01.03.001.03.45.01</t>
  </si>
  <si>
    <t>Bonificacion especial de recreacion - COMISARIA DE FAMILIA</t>
  </si>
  <si>
    <t>2.3.1.01.03.001.03.45.02</t>
  </si>
  <si>
    <t>2.3.2</t>
  </si>
  <si>
    <t>Adquisición de bienes y servicios</t>
  </si>
  <si>
    <t>2.3.2.01</t>
  </si>
  <si>
    <t>ADQUISICION DE ACTIVOS NO FINANCIEROS</t>
  </si>
  <si>
    <t>2.3.2.01.01</t>
  </si>
  <si>
    <t>ACTIVOS FIJOS</t>
  </si>
  <si>
    <t>2.3.2.01.01.003</t>
  </si>
  <si>
    <t>MAQUINARIA Y EQUIPO</t>
  </si>
  <si>
    <t>2.3.2.01.01.003.03</t>
  </si>
  <si>
    <t>MAQUINARIA DE OFICINA CONTABILIDAD E INFORMATICA</t>
  </si>
  <si>
    <t>2.3.2.01.01.003.03.02</t>
  </si>
  <si>
    <t>MAQUINARIA DE INFORMATICA  Y SUS PARTES PIEZAS Y ACCESORIOS</t>
  </si>
  <si>
    <t>2.3.2.01.01.003.03.02.45</t>
  </si>
  <si>
    <t>4599</t>
  </si>
  <si>
    <t>4599007</t>
  </si>
  <si>
    <t>SERVICIOS TECNOLÓGICOS</t>
  </si>
  <si>
    <t>2024546600075</t>
  </si>
  <si>
    <t>FORTALECIMIENTO A LA GESTIÓN Y DIRECCIÓN DE LA ADMINISTRACIÓN PÚBLICA TERRITORIAL PDM UNIDOS SOMOS MÁS EN EL MUNICIPIO DE  SALAZAR</t>
  </si>
  <si>
    <t>2.3.2.01.01.003.03.02.45.01</t>
  </si>
  <si>
    <t>Servicios teconologicos</t>
  </si>
  <si>
    <t>2.3.2.01.03</t>
  </si>
  <si>
    <t>ACTIVOS NO PRODUCIDOS</t>
  </si>
  <si>
    <t>2.3.2.01.03.001</t>
  </si>
  <si>
    <t>TIERRAS Y TERRENOS</t>
  </si>
  <si>
    <t>2.3.2.01.03.001.32</t>
  </si>
  <si>
    <t>AMBIENTE Y DESARROLLO SOSTENIBLE</t>
  </si>
  <si>
    <t>32 - AMBIENTE Y DESARROLLO SOSTENIBLE</t>
  </si>
  <si>
    <t>0900</t>
  </si>
  <si>
    <t>3202</t>
  </si>
  <si>
    <t>3202005</t>
  </si>
  <si>
    <t>SERVICIO DE RESTAURACIÓN DE ECOSISTEMAS</t>
  </si>
  <si>
    <t>2024546600058</t>
  </si>
  <si>
    <t>CONSERVACIÓN DE LA BIODIVERSIDAD Y SUS SERVICIOS ECOSISTÉMICOS PDM UNIDOS SOMOS MÁS EN EL MUNICIPIO DE  SALAZAR</t>
  </si>
  <si>
    <t>2.3.2.01.03.001.32.01</t>
  </si>
  <si>
    <t>Adquisición de áreas estratégicas</t>
  </si>
  <si>
    <t>2.3.2.01.03.001.32.02</t>
  </si>
  <si>
    <t>2.3.2.01.03.001.32.03</t>
  </si>
  <si>
    <t>REND. FCROS. COMPRA DE AREAS ESTRATEGICAS</t>
  </si>
  <si>
    <t>2.3.2.01.03.001.32.04</t>
  </si>
  <si>
    <t>RECURSOS PROPIOS RB</t>
  </si>
  <si>
    <t>2.3.2.01.03.001.32.05</t>
  </si>
  <si>
    <t>2.3.2.02</t>
  </si>
  <si>
    <t>2.3.2.02.01</t>
  </si>
  <si>
    <t>MATERIALES Y SUMINISTROS</t>
  </si>
  <si>
    <t>2.3.2.02.01.004</t>
  </si>
  <si>
    <t>PRODUCTOS METALICOS, MAQUINARIA Y EQUIPO</t>
  </si>
  <si>
    <t>2.3.2.02.01.004.22</t>
  </si>
  <si>
    <t>SECTOR EDUCACION</t>
  </si>
  <si>
    <t>22 - EDUCACIÓN</t>
  </si>
  <si>
    <t>0700</t>
  </si>
  <si>
    <t>2201</t>
  </si>
  <si>
    <t>2201028</t>
  </si>
  <si>
    <t>SERVICIO DE APOYO A LA PERMANENCIA CON ALIMENTACIÓN ESCOLAR</t>
  </si>
  <si>
    <t>2024546600038</t>
  </si>
  <si>
    <t>FORTALECIMIENTO DE LA CALIDAD Y COBERTURA DE LA EDUCACION BASICA Y MEDA EN EL MUNICIPIO DE SALAZAR DE LAS PALMAS</t>
  </si>
  <si>
    <t>2.3.2.02.01.004.22.01</t>
  </si>
  <si>
    <t>Menaje para comedores escolares</t>
  </si>
  <si>
    <t>SGP ALIMENTACION ESCOLAR ONCE DOCEAVAS VIGENCIA ACTUAL MAS ULTIMA DOCEAVA VIGENCIA ANTERIOR</t>
  </si>
  <si>
    <t>63399</t>
  </si>
  <si>
    <t>Otros servicios de suministro de comidas</t>
  </si>
  <si>
    <t>2.3.2.02.01.004.22.02</t>
  </si>
  <si>
    <t>RB SGP ALIMENTACION ESCOLAR</t>
  </si>
  <si>
    <t>2.3.2.02.02</t>
  </si>
  <si>
    <t>ADQUISICION DE SERVICIOS</t>
  </si>
  <si>
    <t>2.3.2.02.02.005</t>
  </si>
  <si>
    <t>CONSTRUCCION Y SERVICIOS DE LA CONSTRUCCION</t>
  </si>
  <si>
    <t>2.3.2.02.02.005.22</t>
  </si>
  <si>
    <t>EDUCACION</t>
  </si>
  <si>
    <t>2201052</t>
  </si>
  <si>
    <t>INFRAESTRUCTURA EDUCATIVA MEJORADA</t>
  </si>
  <si>
    <t>54129</t>
  </si>
  <si>
    <t>Servicios generales de construcción de otros edificios no residenciales</t>
  </si>
  <si>
    <t>2.3.2.02.02.005.22.01</t>
  </si>
  <si>
    <t>Mejoramiento de Infraestructura educativa</t>
  </si>
  <si>
    <t>53290</t>
  </si>
  <si>
    <t>Otras obras de ingeniería civil</t>
  </si>
  <si>
    <t>2.3.2.02.02.005.22.02</t>
  </si>
  <si>
    <t>RB SGP EDUCACION CALIDAD</t>
  </si>
  <si>
    <t>2.3.2.02.02.005.22.03</t>
  </si>
  <si>
    <t>2.3.2.02.02.005.24</t>
  </si>
  <si>
    <t>TRANSPORTE</t>
  </si>
  <si>
    <t>24 - TRANSPORTE</t>
  </si>
  <si>
    <t>0600</t>
  </si>
  <si>
    <t>2409</t>
  </si>
  <si>
    <t>2409013</t>
  </si>
  <si>
    <t>INFRAESTRUCTURA DE TRANSPORTE PARA LA SEGURIDAD VIAL</t>
  </si>
  <si>
    <t>2024546600056</t>
  </si>
  <si>
    <t>MODERNIZACIÓN DE LA INFRAESTRUCTURA EN SEGURIDAD EN TRANSPORTE PDM UNIDOS SOMOS MÁS EN EL MUNICIPIO DE  SALAZAR</t>
  </si>
  <si>
    <t>54211</t>
  </si>
  <si>
    <t>Servicios generales de construcción de carreteras (excepto carreteras elevadas), calles</t>
  </si>
  <si>
    <t>2.3.2.02.02.005.24.01</t>
  </si>
  <si>
    <t>Infraestructura de transporte para la seguridad vial</t>
  </si>
  <si>
    <t>2402</t>
  </si>
  <si>
    <t>2402041</t>
  </si>
  <si>
    <t>VÍA TERCIARIA MEJORADA</t>
  </si>
  <si>
    <t>2024546600055</t>
  </si>
  <si>
    <t>MODERNIZACIÓN DE LA INFRAESTRUCTURA VIAL MUNICIPAL URBANA Y RURAL PDM UNIDOS SOMOS MÁS EN EL MUNICIPIO DE SALAZAR</t>
  </si>
  <si>
    <t>2.3.2.02.02.005.24.02</t>
  </si>
  <si>
    <t>Mejoramiento de vias terciarias</t>
  </si>
  <si>
    <t>2.3.2.02.02.005.24.03</t>
  </si>
  <si>
    <t>SGP PROPOSITO GENERAL RENDIMIENTOS FINANCIEROS</t>
  </si>
  <si>
    <t>2.3.2.02.02.005.24.04</t>
  </si>
  <si>
    <t>REND. FCROS. LIBRE INVERSION</t>
  </si>
  <si>
    <t>REND. FCROS. PG DESAHORRO FONPET</t>
  </si>
  <si>
    <t>2402114</t>
  </si>
  <si>
    <t>VÍA URBANA MEJORADA</t>
  </si>
  <si>
    <t>2024546600076</t>
  </si>
  <si>
    <t>DESARROLLO DE LA INFRAESTRUCTURA VIAL MUNICIPAL URBANA Y RURAL “PDM UNIDOS SOMOS MÁS” EN EL MUNICIPIO DE SALAZAR DE LAS PALMAS</t>
  </si>
  <si>
    <t>2.3.2.02.02.005.24.06</t>
  </si>
  <si>
    <t>Mejoramiento de vias urbanas</t>
  </si>
  <si>
    <t>2402057</t>
  </si>
  <si>
    <t>PUENTE EN CAMINOS ANCESTRALES</t>
  </si>
  <si>
    <t>2.3.2.02.02.005.24.07</t>
  </si>
  <si>
    <t>Puente en caminos ancestrales</t>
  </si>
  <si>
    <t>2.3.2.02.02.005.24.08</t>
  </si>
  <si>
    <t>COF DPTAL</t>
  </si>
  <si>
    <t>2.3.2.02.02.005.40</t>
  </si>
  <si>
    <t>VIVIENDA, CIUDAD Y TERRITORIO</t>
  </si>
  <si>
    <t>40 - VIVIENDA, CIUDAD Y TERRITORIO</t>
  </si>
  <si>
    <t>1400</t>
  </si>
  <si>
    <t>4003</t>
  </si>
  <si>
    <t>4003008</t>
  </si>
  <si>
    <t>SERVICIO DE APOYO FINANCIERO A LOS PLANES, PROGRAMAS Y PROYECTOS DE AGUA POTABLE Y SANEAMIENTO BÁSICO</t>
  </si>
  <si>
    <t>2024546600066</t>
  </si>
  <si>
    <t>FORTALECIMIENTO EN EL ACCESO DE LA POBLACIÓN A LOS SERVICIOS DE AGUA POTABLE Y SANEAMIENTO BÁSICO PDM UNIDOS SOMOS MÁS EN EL MUNICIPIO DE  SALAZAR</t>
  </si>
  <si>
    <t>54231</t>
  </si>
  <si>
    <t>Servicios generales de construcción de acueductos y otros conductos de suministro de agua, excepto gasoductos</t>
  </si>
  <si>
    <t>2.3.2.02.02.005.40.01</t>
  </si>
  <si>
    <t>Planes, programas y proyectos de Agua Potable y Saneamiento Básico</t>
  </si>
  <si>
    <t>SGP AGUA POTABLE Y SANEAMIENTO BASICO - ONCE DOCEAVAS VIGENCIA ACTUAL MAS ULTIMA DOCEAVA VIGENCIA ANTERIOR</t>
  </si>
  <si>
    <t>2.3.2.02.02.005.40.02</t>
  </si>
  <si>
    <t>SGP AGUA POTABLE Y SANEAMIENTO BASICO - RENDIMIENTOS FINANCIEROS</t>
  </si>
  <si>
    <t>4002</t>
  </si>
  <si>
    <t>4002020</t>
  </si>
  <si>
    <t>ESPACIO PUBLICO ADECUADO</t>
  </si>
  <si>
    <t>2024546600065</t>
  </si>
  <si>
    <t>ORDENAMIENTO TERRITORIAL Y DESARROLLO URBANO PDM UNIDOS SOMOS MÁS EN EL MUNICIPIO DE   SALAZAR</t>
  </si>
  <si>
    <t>2.3.2.02.02.005.40.03</t>
  </si>
  <si>
    <t>Espacio publico adecuado</t>
  </si>
  <si>
    <t>2.3.2.02.02.005.40.04</t>
  </si>
  <si>
    <t>SGP AGUA POTABLE Y SANEAMIENTO BASICO - SALDOS NO EJECUTADOS VIGENCIAS ANTERIORES Y REINTEGROS</t>
  </si>
  <si>
    <t>2.3.2.02.02.005.40.05</t>
  </si>
  <si>
    <t>2.3.2.02.02.005.40.06</t>
  </si>
  <si>
    <t>2.3.2.02.02.005.40.07</t>
  </si>
  <si>
    <t>2.3.2.02.02.005.43</t>
  </si>
  <si>
    <t>DEPORTE</t>
  </si>
  <si>
    <t>43 - DEPORTE Y RECREACIÓN</t>
  </si>
  <si>
    <t>1604</t>
  </si>
  <si>
    <t>4301</t>
  </si>
  <si>
    <t>4301004</t>
  </si>
  <si>
    <t>SERVICIO DE MANTENIMIENTO A LA INFRAESTRUCTURA DEPORTIVA</t>
  </si>
  <si>
    <t>2024546600071</t>
  </si>
  <si>
    <t>APOYO PARA EL FOMENTO A LA RECREACIÓN LA ACTIVIDAD FÍSICA Y EL DEPORTE PDM UNIDOS SOMOS MÁS EN EL MUNICIPIO DE   SALAZAR</t>
  </si>
  <si>
    <t>54270</t>
  </si>
  <si>
    <t>Servicios generales de construcción de instalaciones al aire libre para deportes y esparcimiento</t>
  </si>
  <si>
    <t>2.3.2.02.02.005.43.01</t>
  </si>
  <si>
    <t>Mantenimiento a la infraestructura deportiva</t>
  </si>
  <si>
    <t>TASA PRODEPORTE Y RECREACION</t>
  </si>
  <si>
    <t>4301011</t>
  </si>
  <si>
    <t>PARQUES RECREATIVOS ADECUADOS</t>
  </si>
  <si>
    <t>2.3.2.02.02.005.43.02</t>
  </si>
  <si>
    <t>Adecuación parques recreativos</t>
  </si>
  <si>
    <t>SGP PROPOSITO GENERAL FORZOSA INVERSION DEPORTE SGP ONCE DOCEAVAS VIGENCIA ACTUAL MAS ULTIMA DOCEAVA VIGENCIA ANTERIOR</t>
  </si>
  <si>
    <t>2.3.2.02.02.005.43.03</t>
  </si>
  <si>
    <t>RB RF TASA PRODEPORTE</t>
  </si>
  <si>
    <t>2.3.2.02.02.005.43.04</t>
  </si>
  <si>
    <t>RB SGP DEPORTE SALDOS NO EJECUTADOS NI INCORPORADOS VIGENCIAS ANTERIORES Y REINTEGROS</t>
  </si>
  <si>
    <t>2.3.2.02.02.005.43.05</t>
  </si>
  <si>
    <t>2.3.2.02.02.005.43.06</t>
  </si>
  <si>
    <t>TASA PRODEPORTE RB</t>
  </si>
  <si>
    <t>2.3.2.02.02.005.45</t>
  </si>
  <si>
    <t>4503</t>
  </si>
  <si>
    <t>4503022</t>
  </si>
  <si>
    <t>OBRAS DE INFRAESTRUCTURA PARA LA REDUCCIÓN DEL RIESGO DE DESASTRES</t>
  </si>
  <si>
    <t>2024546600074</t>
  </si>
  <si>
    <t>FORTALECIMIENTO PARA LA GESTIÓN DEL RIESGO DE DESASTRES Y EMERGENCIAS DEL MUNICIPIO DE  SALAZAR</t>
  </si>
  <si>
    <t>2.3.2.02.02.005.45.01</t>
  </si>
  <si>
    <t>Obras de infraestructura para la reducción del riesgo de desastres</t>
  </si>
  <si>
    <t>4599011</t>
  </si>
  <si>
    <t>SEDES ADECUADAS</t>
  </si>
  <si>
    <t>2.3.2.02.02.005.45.02</t>
  </si>
  <si>
    <t>Sedes Adecuadas</t>
  </si>
  <si>
    <t>2.3.2.02.02.005.45.03</t>
  </si>
  <si>
    <t>2.3.2.02.02.006</t>
  </si>
  <si>
    <t>COMERCIO Y DISTRIBUCION; ALOJAMIENTO; SERVICIOS DE SUMINISTRO DE COMIDAS Y BEBIDAS; SERVICIOS DE TRANSPORTE; Y SERVICIOS DE DISTRIBUCION DE ELECTRICIDAD, GAS Y AGUA</t>
  </si>
  <si>
    <t>2201029</t>
  </si>
  <si>
    <t>SERVICIO DE APOYO A LA PERMANENCIA CON TRANSPORTE ESCOLAR</t>
  </si>
  <si>
    <t>64114</t>
  </si>
  <si>
    <t>Servicios de transporte terrestre especial local de pasajeros</t>
  </si>
  <si>
    <t>2.3.2.02.02.006.22.01</t>
  </si>
  <si>
    <t>Servicio de transporte escolar</t>
  </si>
  <si>
    <t>SGP EDUCACION CALIDAD DOCE DOCEAVAS VIGENCIA ACTUAL</t>
  </si>
  <si>
    <t>2.3.2.02.02.006.22.02</t>
  </si>
  <si>
    <t>2.3.2.02.02.006.22.03</t>
  </si>
  <si>
    <t>2.3.2.02.02.006.22.04</t>
  </si>
  <si>
    <t>SGP ALIMENTACION ESCOLAR RENDIMIENTOS FINANCIEROS</t>
  </si>
  <si>
    <t>91121</t>
  </si>
  <si>
    <t>Servicios de la administración pública relacionados con la educación</t>
  </si>
  <si>
    <t>2.3.2.02.02.006.22.05</t>
  </si>
  <si>
    <t>2.3.2.02.02.006.22.06</t>
  </si>
  <si>
    <t>Servicio de apoyo a la permanencia con alimentación escolar</t>
  </si>
  <si>
    <t>2.3.2.02.02.007</t>
  </si>
  <si>
    <t>SERVICIOS FINANCIEROS Y SERVICIOS CONEXOS; SERVICIOS INMOBILIARIOS; Y SERVICIOS DE ARRENDAMIENTO Y LEASING</t>
  </si>
  <si>
    <t>2.3.2.02.02.007.24</t>
  </si>
  <si>
    <t>73122</t>
  </si>
  <si>
    <t>Servicios de arrendamiento o de alquiler de maquinaria y equipo de construcción sin operario</t>
  </si>
  <si>
    <t>2.3.2.02.02.007.24.01</t>
  </si>
  <si>
    <t>Alquiler de maquinaria amarilla</t>
  </si>
  <si>
    <t>2.3.2.02.02.007.45</t>
  </si>
  <si>
    <t>4503004</t>
  </si>
  <si>
    <t>SERVICIO DE ATENCIÓN A EMERGENCIAS Y DESASTRES</t>
  </si>
  <si>
    <t>2.3.2.02.02.007.45.01</t>
  </si>
  <si>
    <t>2.3.2.02.02.008</t>
  </si>
  <si>
    <t xml:space="preserve">SERVICIOS PRESTADOS A LAS EMPRESAS Y SERVICIOS DE PRODUCCION </t>
  </si>
  <si>
    <t>2.3.2.02.02.008.24</t>
  </si>
  <si>
    <t>SECTOR TRANSPORTE</t>
  </si>
  <si>
    <t>83939</t>
  </si>
  <si>
    <t>Otros servicios de consultoría científica y técnica n.c.p.</t>
  </si>
  <si>
    <t>2.3.2.02.02.008.24.01</t>
  </si>
  <si>
    <t>Estudios de preinversion</t>
  </si>
  <si>
    <t>2.3.2.02.02.008.40</t>
  </si>
  <si>
    <t>VIVIENDA CIUDAD Y TERRITORIO</t>
  </si>
  <si>
    <t>4002034</t>
  </si>
  <si>
    <t>ESTUDIOS DE PRE INVERSIÓN E INVERSIÓN</t>
  </si>
  <si>
    <t>2.3.2.02.02.008.40.01</t>
  </si>
  <si>
    <t>4003052</t>
  </si>
  <si>
    <t>SERVICIO DE ASISTENCIA TECNICA PARA LA ADMINISTRACION Y OPERACION DE LOS SERVICIOS PUBLICOS DOMICILIARIOS</t>
  </si>
  <si>
    <t>2.3.2.02.02.008.40.02</t>
  </si>
  <si>
    <t>Formulación, implantación y acciones de fortalecimiento de esquemas organizacionales para la administración y operación de los servicios de acueducto, alcantarillado y aseo, en las zonas urbana y rural</t>
  </si>
  <si>
    <t>2.3.2.02.02.008.43</t>
  </si>
  <si>
    <t>DEPORTE Y RECREACION</t>
  </si>
  <si>
    <t>2.3.2.02.02.008.43.01</t>
  </si>
  <si>
    <t>Servicio de mantenimiento a la infraestructura deportiva</t>
  </si>
  <si>
    <t>4301037</t>
  </si>
  <si>
    <t>SERVICIO DE PROMOCIÓN DE LA ACTIVIDAD FÍSICA, LA RECREACIÓN Y EL DEPORTE</t>
  </si>
  <si>
    <t>2.3.2.02.02.008.43.02</t>
  </si>
  <si>
    <t>Servicio de promoción de la actividad física, la recreación y el deporte</t>
  </si>
  <si>
    <t>2.3.2.02.02.008.43.03</t>
  </si>
  <si>
    <t>2.3.2.02.02.008.43.04</t>
  </si>
  <si>
    <t>2.3.2.02.02.008.43.05</t>
  </si>
  <si>
    <t>RB REND FCROS. TASA AL DEPORTE</t>
  </si>
  <si>
    <t>2.3.2.02.02.008.45</t>
  </si>
  <si>
    <t>4599019</t>
  </si>
  <si>
    <t>DOCUMENTOS DE PLANEACIÓN</t>
  </si>
  <si>
    <t>2.3.2.02.02.008.45.01</t>
  </si>
  <si>
    <t>2.3.2.02.02.009</t>
  </si>
  <si>
    <t>SERVICIOS PARA LA COMUNIDAD, SOCIALES Y PERSONALES</t>
  </si>
  <si>
    <t>2.3.2.02.02.009.04</t>
  </si>
  <si>
    <t>INFORMACION ESTADISTICA</t>
  </si>
  <si>
    <t>04 - INFORMACIÓN ESTADÍSTICA</t>
  </si>
  <si>
    <t>1003</t>
  </si>
  <si>
    <t>0401</t>
  </si>
  <si>
    <t>0401105</t>
  </si>
  <si>
    <t>SERVICIO DE ESTRATIFICACION SOCIOECONOMICA</t>
  </si>
  <si>
    <t>2024546600039</t>
  </si>
  <si>
    <t>SERVICIO DE LEVANTAMIENTO Y ACTUALIZACIÓN DE INFORMACIÓN ESTADÍSTICA DE CALIDAD PDM UNIDOS SOMOS MÁS EN EL MUNICIPIO DE  SALAZAR</t>
  </si>
  <si>
    <t>2.3.2.02.02.009.04.01</t>
  </si>
  <si>
    <t>Servicio de estratificacion socio economica</t>
  </si>
  <si>
    <t>CONCURSOS ECONOMICO DE ESTRATIFICACION</t>
  </si>
  <si>
    <t>2.3.2.02.02.009.17</t>
  </si>
  <si>
    <t>91131</t>
  </si>
  <si>
    <t>Servicios de la administración pública relacionados con la agricultura, silvicultura, pesca y caza</t>
  </si>
  <si>
    <t>2.3.2.02.02.009.17.01</t>
  </si>
  <si>
    <t>Servicio de asistencia técnica agropecuaria dirigida a pequeños productores</t>
  </si>
  <si>
    <t>1709</t>
  </si>
  <si>
    <t>1709105</t>
  </si>
  <si>
    <t>SERVICIO DE APOYO A LA PRODUCCIÓN DE LAS CADENAS AGRÍCOLAS, FORESTALES, PECUARIAS, PESQUERAS Y ACUÍCOLAS</t>
  </si>
  <si>
    <t>2024546600045</t>
  </si>
  <si>
    <t>FORTALECIMIENTO DE LA INFRAESTRUCTURA PRODUCTIVA Y COMERCIALIZACIÓN DE PRODUCTOS AGROPECUARIOS PDM UNIDOS SOMOS MÁS EN EL MUNICIPIO DE   SALAZAR</t>
  </si>
  <si>
    <t>2.3.2.02.02.009.17.02</t>
  </si>
  <si>
    <t>Servicio de apoyo a la producción de las cadenas agrícolas, forestales, pecuarias, pesqueras y acuícolas</t>
  </si>
  <si>
    <t>1702038</t>
  </si>
  <si>
    <t>SERVICIO DE APOYO A LA COMERCIALIZACIÓN</t>
  </si>
  <si>
    <t>2.3.2.02.02.009.17.03</t>
  </si>
  <si>
    <t>servicio de apoyo a la comercializacion</t>
  </si>
  <si>
    <t>2.3.2.02.02.009.17.04</t>
  </si>
  <si>
    <t>CONVENIO COPORNOR RB</t>
  </si>
  <si>
    <t>2.3.2.02.02.009.17.05</t>
  </si>
  <si>
    <t>REND. FCROS.BANCO DE SEMILLA UMATA L.I</t>
  </si>
  <si>
    <t>2.3.2.02.02.009.17.06</t>
  </si>
  <si>
    <t>2.3.2.02.02.009.21</t>
  </si>
  <si>
    <t>MINAS Y ENERGIA</t>
  </si>
  <si>
    <t>21 - MINAS Y ENERGÍA</t>
  </si>
  <si>
    <t>1900</t>
  </si>
  <si>
    <t>2102</t>
  </si>
  <si>
    <t>2102069</t>
  </si>
  <si>
    <t>SERVICIO DE ALUMBRADO PÚBLICO</t>
  </si>
  <si>
    <t>2024546600050</t>
  </si>
  <si>
    <t>APOYO A LA CONSOLIDACIÓN PRODUCTIVA DEL SECTOR DE ENERGÍA ELÉCTRICA PDM UNIDOS SOMOS MÁS EN EL MUNICIPIO DE  SALAZAR</t>
  </si>
  <si>
    <t>91123</t>
  </si>
  <si>
    <t>Servicios de la administración pública relacionados con la vivienda e infraestructura de servicios públicos</t>
  </si>
  <si>
    <t>2.3.2.02.02.009.21.01</t>
  </si>
  <si>
    <t>Servicio de alumbrado público</t>
  </si>
  <si>
    <t>ALUMBRADO PUBLICO SSF</t>
  </si>
  <si>
    <t>91132</t>
  </si>
  <si>
    <t>Servicios de la administración pública relacionados con la energía y los combustibles</t>
  </si>
  <si>
    <t>2.3.2.02.02.009.21.02</t>
  </si>
  <si>
    <t>RB IMPUESTO DE ALUMBRADO PUBLICO OSSF</t>
  </si>
  <si>
    <t>2.3.2.02.02.009.22</t>
  </si>
  <si>
    <t>2201071</t>
  </si>
  <si>
    <t>SERVICIO EDUCATIVO</t>
  </si>
  <si>
    <t>2.3.2.02.02.009.22.01</t>
  </si>
  <si>
    <t>Financiación de gratuidad en la educación oficial</t>
  </si>
  <si>
    <t>EDUCACION SGP CALIDAD GRATUIDAD</t>
  </si>
  <si>
    <t>Servicios publicos para las Instituciones educativas</t>
  </si>
  <si>
    <t>2.3.2.02.02.009.22.02</t>
  </si>
  <si>
    <t>SGP EDUCACION RENDIMIENTOS FINANCIEROS</t>
  </si>
  <si>
    <t>2201073</t>
  </si>
  <si>
    <t>SERVICIO DE EVALUACIÓN DE LA CALIDAD DE LA EDUCACIÓN INICIAL, PREESCOLAR, BÁSICA Y MEDIA</t>
  </si>
  <si>
    <t>2.3.2.02.02.009.22.03</t>
  </si>
  <si>
    <t>Servicio de evaluación de la calidad de la educación inicial, preescolar, básica y media</t>
  </si>
  <si>
    <t>2.3.2.02.02.009.33</t>
  </si>
  <si>
    <t>CULTURA</t>
  </si>
  <si>
    <t>33 - CULTURA</t>
  </si>
  <si>
    <t>1603</t>
  </si>
  <si>
    <t>3301</t>
  </si>
  <si>
    <t>3301065</t>
  </si>
  <si>
    <t>SERVICIO DE ASISTENCIA TÉCNICA EN ASUNTOS DE GESTIÓN DE BIBLIOTECAS PÚBLICAS Y LECTURA.</t>
  </si>
  <si>
    <t>2024546600047</t>
  </si>
  <si>
    <t>FORTALECIMIENTO EN LA PROMOSION Y ACCESO EFECTIVO A PROCESOS CULTURALES Y ARTISTICOS ¨PDM UNIDOS SOMOS MAS¨ EN EL MUNICIPIO DE SALAZAR DE LAS PALMAS</t>
  </si>
  <si>
    <t>91124</t>
  </si>
  <si>
    <t>Servicios de la administración pública relacionados con la recreación, la cultura y la religión</t>
  </si>
  <si>
    <t>2.3.2.02.02.009.33.01</t>
  </si>
  <si>
    <t>Servicio de asistencia técnica en asuntos de gestión de bibliotecas públicas y lectura</t>
  </si>
  <si>
    <t>2.3.2.02.02.009.33.02</t>
  </si>
  <si>
    <t>Servicio de asistencia técnica en asuntos de gestión de bibliotecas públicas y lectura (10% bibliotecas)</t>
  </si>
  <si>
    <t>SGP PROPOSITO GENERAL FORZOSA INVERSION CULTURA SGP ONCE DOCEAVAS VIGENCIA ACTUAL MAS ULTIMA DOCEAVA VIGENCIA ANTERIOR</t>
  </si>
  <si>
    <t>3301051</t>
  </si>
  <si>
    <t>SERVICIO DE EDUCACIÓN INFORMAL AL SECTOR ARTÍSTICO Y CULTURAL</t>
  </si>
  <si>
    <t>92911</t>
  </si>
  <si>
    <t>Servicios de educación artística y cultural</t>
  </si>
  <si>
    <t>2.3.2.02.02.009.33.03</t>
  </si>
  <si>
    <t>Formadores artísticos y culturales</t>
  </si>
  <si>
    <t>3301053</t>
  </si>
  <si>
    <t>SERVICIO DE PROMOCIÓN DE ACTIVIDADES CULTURALES</t>
  </si>
  <si>
    <t>96210</t>
  </si>
  <si>
    <t>Servicios de promoción y gestión de actividades de artes escénicas</t>
  </si>
  <si>
    <t>2.3.2.02.02.009.33.04</t>
  </si>
  <si>
    <t>Prestación de Servicio para la promoción de actividades culturales</t>
  </si>
  <si>
    <t>MINISTERIO DE CULTURA</t>
  </si>
  <si>
    <t>2.3.2.02.02.009.33.05</t>
  </si>
  <si>
    <t>2.3.2.02.02.009.33.06</t>
  </si>
  <si>
    <t>2.3.2.02.02.009.33.07</t>
  </si>
  <si>
    <t>RF Estampilla Procultura</t>
  </si>
  <si>
    <t>2.3.2.02.02.009.33.08</t>
  </si>
  <si>
    <t>RF SGP Cultura</t>
  </si>
  <si>
    <t>2.3.2.02.02.009.33.09</t>
  </si>
  <si>
    <t>Servicio de asistencia técnica en asuntos de gestión de bibliotecas públicas y lectura.</t>
  </si>
  <si>
    <t>2.3.2.02.02.009.33.10</t>
  </si>
  <si>
    <t>SGP PROPOSITO GENERAL FORZOSA INVERSION CULTURA SALDOS NO EJECUTADOS NI INCORPORADOS VIGENCIAS ANTERIORES Y REINTEGROS</t>
  </si>
  <si>
    <t>2.3.2.02.02.009.33.11</t>
  </si>
  <si>
    <t>2.3.2.02.02.009.33.12</t>
  </si>
  <si>
    <t>2.3.2.02.02.009.33.13</t>
  </si>
  <si>
    <t>2.3.2.02.02.009.35</t>
  </si>
  <si>
    <t>COMERCIO, INDUSTRIA Y TURISMO</t>
  </si>
  <si>
    <t>35 - COMERCIO, INDUSTRIA Y TURISMO</t>
  </si>
  <si>
    <t>0200</t>
  </si>
  <si>
    <t>3502</t>
  </si>
  <si>
    <t>3502046</t>
  </si>
  <si>
    <t>SERVICIO DE PROMOCIÓN TURÍSTICA</t>
  </si>
  <si>
    <t>2024546600063</t>
  </si>
  <si>
    <t>FORTALECIMIENTO DE LA PRODUCTIVIDAD Y COMPETITIVIDAD DE LAS EMPRESAS LOCALES PDM UNIDOS SOMOS MÁS EN EL MUNICIPIO DE  SALAZAR</t>
  </si>
  <si>
    <t>91136</t>
  </si>
  <si>
    <t>Servicios de la administración pública relacionados con el turismo</t>
  </si>
  <si>
    <t>2.3.2.02.02.009.35.01</t>
  </si>
  <si>
    <t>Servicio de promoción turística</t>
  </si>
  <si>
    <t>2.3.2.02.02.009.41</t>
  </si>
  <si>
    <t>INCLUSION SOCIAL Y RECONCILIACION</t>
  </si>
  <si>
    <t>41 - INCLUSIÓN SOCIAL Y RECONCILIACIÓN</t>
  </si>
  <si>
    <t>1500</t>
  </si>
  <si>
    <t>4101</t>
  </si>
  <si>
    <t>4101023</t>
  </si>
  <si>
    <t>SERVICIO DE ORIENTACIÓN Y COMUNICACIÓN A LAS VÍCTIMAS</t>
  </si>
  <si>
    <t>2024546600067</t>
  </si>
  <si>
    <t>FORTALECIMIENTO PARA LA ATENCIÓN ASISTENCIA Y REPARACIÓN INTEGRAL A LAS VÍCTIMAS PDM UNIDOS SOMOS MÁS EN EL MUNICIPIO DE  SALAZAR</t>
  </si>
  <si>
    <t>2.3.2.02.02.009.41.01</t>
  </si>
  <si>
    <t>Servicio de orientación y comunicación a las víctimas</t>
  </si>
  <si>
    <t>4101025</t>
  </si>
  <si>
    <t>SERVICIO DE AYUDA Y ATENCIÓN HUMANITARIA</t>
  </si>
  <si>
    <t>2.3.2.02.02.009.41.02</t>
  </si>
  <si>
    <t>Servicio de ayuda y atención humanitaria</t>
  </si>
  <si>
    <t>PARTICIPACION DEGUELLO GANADO</t>
  </si>
  <si>
    <t>4102</t>
  </si>
  <si>
    <t>4102001</t>
  </si>
  <si>
    <t>SERVICIO DE ATENCIÓN INTEGRAL A LA PRIMERA INFANCIA</t>
  </si>
  <si>
    <t>2024546600068</t>
  </si>
  <si>
    <t>DESARROLLO INTEGRAL DE LA PRIMERA INFANCIA A LA JUVENTUD Y FORTALECIMIENTO DE LAS CAPACIDADES DE LAS FAMILIAS DE NIÑAS NIÑOS Y ADOLESCENTES PDM UNIDOS SOMOS MÁS EN EL MUNICIPIO DE   SALAZAR</t>
  </si>
  <si>
    <t>2.3.2.02.02.009.41.03</t>
  </si>
  <si>
    <t>Servicio de atención integral a la primera infancia</t>
  </si>
  <si>
    <t>2.3.2.02.02.009.41.04</t>
  </si>
  <si>
    <t>REND FCROS. SGP PRIMERA INFANCIA</t>
  </si>
  <si>
    <t>4103</t>
  </si>
  <si>
    <t>4103052</t>
  </si>
  <si>
    <t>SERVICIO DE GESTIÓN DE OFERTA SOCIAL PARA LA POBLACIÓN VULNERABLE</t>
  </si>
  <si>
    <t>2024546600069</t>
  </si>
  <si>
    <t>FORTALECIMIENTO EN LA INCLUSIÓN SOCIAL Y PRODUCTIVA PARA LA POBLACIÓN EN SITUACIÓN DE VULNERABILIDAD PDM UNIDOS SOMOS MÁS DEL MUNICIPIO DE  SALAZAR</t>
  </si>
  <si>
    <t>2.3.2.02.02.009.41.05</t>
  </si>
  <si>
    <t>Servicio de gestión de oferta social para la población vulnerable</t>
  </si>
  <si>
    <t>4104</t>
  </si>
  <si>
    <t>4104020</t>
  </si>
  <si>
    <t>SERVICIO DE ATENCIÓN INTEGRAL A POBLACIÓN EN CONDICIÓN DE DISCAPACIDAD</t>
  </si>
  <si>
    <t>2024546600070</t>
  </si>
  <si>
    <t>FORTALECIMIENTO DE LA ATENCIÓN INTEGRAL DE POBLACIÓN EN SITUACIÓN PERMANENTE DE DESPROTECCIÓN SOCIAL YO FAMILIAR PDM UNIDOS SOMOS MÁS EN EL MUNICIPIO DE  SALAZAR</t>
  </si>
  <si>
    <t>2.3.2.02.02.009.41.06</t>
  </si>
  <si>
    <t>Servicio de atención integral a población en condición de discapacidad</t>
  </si>
  <si>
    <t>4104008</t>
  </si>
  <si>
    <t>SERVICIO DE ATENCIÓN Y PROTECCIÓN INTEGRAL AL ADULTO MAYOR</t>
  </si>
  <si>
    <t>2.3.2.02.02.009.41.07</t>
  </si>
  <si>
    <t>Servicio de atención y protección integral al adulto mayor</t>
  </si>
  <si>
    <t>2.3.2.02.02.009.41.08</t>
  </si>
  <si>
    <t xml:space="preserve">RF Estampilla Proadulto </t>
  </si>
  <si>
    <t>2.3.2.02.02.009.41.09</t>
  </si>
  <si>
    <t>RB PARTICIPACION DEGUELLO GANADO</t>
  </si>
  <si>
    <t>2.3.2.02.02.009.41.10</t>
  </si>
  <si>
    <t>2.3.2.02.02.009.41.11</t>
  </si>
  <si>
    <t>2.3.2.02.02.009.43</t>
  </si>
  <si>
    <t>4301007</t>
  </si>
  <si>
    <t>SERVICIO DE ESCUELAS DEPORTIVAS</t>
  </si>
  <si>
    <t>92912</t>
  </si>
  <si>
    <t>Servicios de educación deportiva y de recreación</t>
  </si>
  <si>
    <t>2.3.2.02.02.009.43.01</t>
  </si>
  <si>
    <t>Servicio de Escuelas Deportivas</t>
  </si>
  <si>
    <t>2.3.2.02.02.009.43.02</t>
  </si>
  <si>
    <t>SGP PROPOSITO GENERAL RENDIMIENTOS FINANCIEROS RB</t>
  </si>
  <si>
    <t>2.3.2.02.02.009.45</t>
  </si>
  <si>
    <t>4501029</t>
  </si>
  <si>
    <t>SERVICIO DE APOYO FINANCIERO PARA PROYECTOS DE CONVIVENCIA Y SEGURIDAD CIUDADANA</t>
  </si>
  <si>
    <t>91290</t>
  </si>
  <si>
    <t>Servicios de la administración pública relacionados con otros asuntos de orden público y seguridad</t>
  </si>
  <si>
    <t>2.3.2.02.02.009.45.01</t>
  </si>
  <si>
    <t>Apoyo a proyecto de seguridad y convivencia ciudadana - FONSET</t>
  </si>
  <si>
    <t>2.3.2.02.02.009.45.02</t>
  </si>
  <si>
    <t>RF Contribución de Seguridad</t>
  </si>
  <si>
    <t>2.3.2.02.02.009.45.03</t>
  </si>
  <si>
    <t>Programas de cultura ciudadana MULTAS CÓDIGO DE POLICIA</t>
  </si>
  <si>
    <t>4501063</t>
  </si>
  <si>
    <t>SERVICIO DE APOYO FINANCIERO PARA LA ATENCIÓN INTEGRAL DE ANIMALES</t>
  </si>
  <si>
    <t>2.3.2.02.02.009.45.04</t>
  </si>
  <si>
    <t>Servicio de apoyo financiero para la atención integral de animales</t>
  </si>
  <si>
    <t>4502</t>
  </si>
  <si>
    <t>4502022</t>
  </si>
  <si>
    <t>SERVICIO DE ASISTENCIA TÉCNICA</t>
  </si>
  <si>
    <t>2024546600073</t>
  </si>
  <si>
    <t>SERVICIO DE PROMOCIÓN DE LA PARTICIPACIÓN CIUDADANA PDM UNIDOS SOMOS MÁS EN EL MUNICIPIO DE  SALAZAR</t>
  </si>
  <si>
    <t>2.3.2.02.02.009.45.05</t>
  </si>
  <si>
    <t>Servicio de asistencia técnica en el sector comunitario</t>
  </si>
  <si>
    <t>4503003</t>
  </si>
  <si>
    <t>2.3.2.02.02.009.45.06</t>
  </si>
  <si>
    <t>Servicio de asistencia técnica en la Gestión del riesgo</t>
  </si>
  <si>
    <t>4599031</t>
  </si>
  <si>
    <t>2.3.2.02.02.009.45.07</t>
  </si>
  <si>
    <t>Servicio de asistencia técnica gobierno territorial</t>
  </si>
  <si>
    <t>2.3.2.02.02.009.45.08</t>
  </si>
  <si>
    <t>OTROS RECURSOS DE CAPITAL. RENDIMIENTOS FINANCIEROS VENTA DE ACTIVOS DONACIONES RECURSOS DE BALANCE DE INGRESOS CORRIENT</t>
  </si>
  <si>
    <t>4599033</t>
  </si>
  <si>
    <t>SERVICIO DE INFORMACIÓN PARA EL REGISTRO ADMINISTRATIVO DE SISBEN</t>
  </si>
  <si>
    <t>2.3.2.02.02.009.45.09</t>
  </si>
  <si>
    <t>Servicio de informacion para el registro administrativo de SISBEN</t>
  </si>
  <si>
    <t>2.3.2.02.02.009.45.10</t>
  </si>
  <si>
    <t>BALANCE CONTRIBUCIÓN SOBRE CONTRATOS DE OBRAS PÚBLICAS</t>
  </si>
  <si>
    <t>2.3.2.02.02.009.45.11</t>
  </si>
  <si>
    <t>2.3.2.02.02.009.45.12</t>
  </si>
  <si>
    <t>RB CONTRIBUCION GESTION DEL RIESGO</t>
  </si>
  <si>
    <t>2.3.2.02.02.009.45.13</t>
  </si>
  <si>
    <t>2.3.2.02.02.009.45.14</t>
  </si>
  <si>
    <t>2.3.2.02.02.009.45.15</t>
  </si>
  <si>
    <t>2.3.2.02.02.009.45.16</t>
  </si>
  <si>
    <t>2.3.3</t>
  </si>
  <si>
    <t>TRANSFERENCIAS CORRIENTES</t>
  </si>
  <si>
    <t>2.3.3.01</t>
  </si>
  <si>
    <t>SUBVENCIONES</t>
  </si>
  <si>
    <t>2.3.3.01.02</t>
  </si>
  <si>
    <t xml:space="preserve">A EMPRESAS PUBLICAS NO FINANCIERAS </t>
  </si>
  <si>
    <t>2.3.3.01.02.004</t>
  </si>
  <si>
    <t>SUBVENCIONES PARA SERVICIOS PUBLICOS DOMICILIARIOS DE AGUA POTABLE Y SANEAMIENTO BASICO</t>
  </si>
  <si>
    <t>2.3.3.01.02.004.01</t>
  </si>
  <si>
    <t>SUBSIDIOS DE ACUEDUCTO</t>
  </si>
  <si>
    <t>4003047</t>
  </si>
  <si>
    <t>SERVICIO DE APOYO FINANCIERO PARA SUBSIDIOS AL CONSUMO EN LOS SERVICIOS PÚBLICOS DOMICILIARIOS</t>
  </si>
  <si>
    <t>2.3.3.01.02.004.01.40.01</t>
  </si>
  <si>
    <t>Subsidios de acueducto</t>
  </si>
  <si>
    <t>2.3.3.01.02.004.02</t>
  </si>
  <si>
    <t>SUBSIDIOS DE ALCANTARILLADO</t>
  </si>
  <si>
    <t>2.3.3.01.02.004.02.40.01</t>
  </si>
  <si>
    <t>Subsidios de alcantarillado</t>
  </si>
  <si>
    <t>2.3.3.01.02.004.03</t>
  </si>
  <si>
    <t>SUBSIDIOS DE ASEO</t>
  </si>
  <si>
    <t>2.3.3.01.02.004.03.40.01</t>
  </si>
  <si>
    <t>Subsidios de aseo</t>
  </si>
  <si>
    <t>2.3.4</t>
  </si>
  <si>
    <t>TRANSFERENCIAS DE CAPITAL</t>
  </si>
  <si>
    <t>2.3.4.09</t>
  </si>
  <si>
    <t xml:space="preserve">PLANES DEPARTAMENTALES PARA EL MANEJO EMPRESARIAL DE LOS SERVICIOS DE AGUA Y SANEAMIENTO (PDA) </t>
  </si>
  <si>
    <t>2.3.4.09.40</t>
  </si>
  <si>
    <t>2.3.4.09.40.01</t>
  </si>
  <si>
    <t>Plan departamental de agua</t>
  </si>
  <si>
    <t>1.1 - FONDO LOCAL DE SALUD</t>
  </si>
  <si>
    <t>2.3.2.02.02.009.19</t>
  </si>
  <si>
    <t>SECTOR SALUD</t>
  </si>
  <si>
    <t>19 - SALUD Y PROTECCIÓN SOCIAL</t>
  </si>
  <si>
    <t>0300</t>
  </si>
  <si>
    <t>1906</t>
  </si>
  <si>
    <t>1906044</t>
  </si>
  <si>
    <t>SERVICIO DE AFILIACIONES AL REGIMEN SUBSIDIADO DEL SISTEMA GENERAL DE SEGURIDAD SOCIAL</t>
  </si>
  <si>
    <t>2024546600048</t>
  </si>
  <si>
    <t>FORTALECIMIENTO DEL ASEGURAMIENTO Y PRESTACIÓN INTEGRAL DE SERVICIOS DE SALUD PDM UNIDOS SOMOS MÁS EN EL MUNICIPIO DE   SALAZAR</t>
  </si>
  <si>
    <t>91122</t>
  </si>
  <si>
    <t>Servicios de la administración pública relacionados con la salud</t>
  </si>
  <si>
    <t>2.3.2.02.02.009.19.01</t>
  </si>
  <si>
    <t>Regimen subsidiado</t>
  </si>
  <si>
    <t>SGP SALUD REGIMEN SUBSIDIADO ONCE DOCEAVAS VIGENCIA ACTUAL MAS ULTIMA DOCEAVA VIGENCIA ANTERIOR</t>
  </si>
  <si>
    <t>2.3.2.02.02.009.19.02</t>
  </si>
  <si>
    <t>Régimen subsidiado</t>
  </si>
  <si>
    <t>COLJUEGOS</t>
  </si>
  <si>
    <t>2.3.2.02.02.009.19.03</t>
  </si>
  <si>
    <t>ADRES</t>
  </si>
  <si>
    <t>2.3.2.02.02.009.19.04</t>
  </si>
  <si>
    <t>OTRAS FUENTES DIFERENTES A LAS ANTERIORES</t>
  </si>
  <si>
    <t>2.3.2.02.02.009.19.05</t>
  </si>
  <si>
    <t>COFINANCIACION DEPARTAMENTAL</t>
  </si>
  <si>
    <t>2.3.2.02.02.009.19.06</t>
  </si>
  <si>
    <t>REND. FCROS. REGIMEN SUBSIDIADO EN SALUD</t>
  </si>
  <si>
    <t>2.3.2.02.02.009.19.07</t>
  </si>
  <si>
    <t>Auditoria Régimen subsidiado</t>
  </si>
  <si>
    <t>2.3.2.02.02.009.19.08</t>
  </si>
  <si>
    <t>Apoyo afiliación Régimen subsidiado</t>
  </si>
  <si>
    <t>Coljuegos 25%</t>
  </si>
  <si>
    <t>2.3.2.02.02.009.19.09</t>
  </si>
  <si>
    <t>RF Coljuegos 25%</t>
  </si>
  <si>
    <t>2.3.2.02.02.009.19.1</t>
  </si>
  <si>
    <t>SALUD PUBLICA</t>
  </si>
  <si>
    <t>1905</t>
  </si>
  <si>
    <t>1905020</t>
  </si>
  <si>
    <t>SERVICIO DE GESTIÓN DEL RIESGO EN TEMAS DE CONSUMO DE SUSTANCIAS PSICOACTIVAS</t>
  </si>
  <si>
    <t>2024546600046</t>
  </si>
  <si>
    <t>FORTALECIMIENTO DE LA SALUD PÚBLICA PDM UNIDOS SOMOS MÁS EN EL MUNICIPIO DE  SALAZAR</t>
  </si>
  <si>
    <t>2.3.2.02.02.009.19.10</t>
  </si>
  <si>
    <t>Servicio de gestión del riesgo en temas de consumo de sustancias psicoactivas - Gestión</t>
  </si>
  <si>
    <t>SGP SALUD PUBLICA ONCE DOCEAVAS VIGENCIA ACTUAL MAS ULTIMA DOCEAVA VIGENCIA ANTERIOR</t>
  </si>
  <si>
    <t>2.3.2.02.02.009.19.11</t>
  </si>
  <si>
    <t>Servicio de gestión del riesgo en temas de consumo de sustancias psicoactivas - PIC</t>
  </si>
  <si>
    <t>1905021</t>
  </si>
  <si>
    <t>SERVICIO DE GESTIÓN DEL RIESGO EN TEMAS DE SALUD SEXUAL Y REPRODUCTIVA</t>
  </si>
  <si>
    <t>2.3.2.02.02.009.19.12</t>
  </si>
  <si>
    <t>Servicio de gestión del riesgo en temas de salud sexual y reproductiva - Gestión</t>
  </si>
  <si>
    <t>2.3.2.02.02.009.19.13</t>
  </si>
  <si>
    <t>Servicio de gestión del riesgo en temas de salud sexual y reproductiva - PIC</t>
  </si>
  <si>
    <t>1905022</t>
  </si>
  <si>
    <t>SERVICIO DE GESTIÓN DEL RIESGO EN TEMAS DE TRASTORNOS MENTALES</t>
  </si>
  <si>
    <t>2.3.2.02.02.009.19.14</t>
  </si>
  <si>
    <t>Servicio de gestión del riesgo en temas de trastornos mentales - Gestión</t>
  </si>
  <si>
    <t>2.3.2.02.02.009.19.15</t>
  </si>
  <si>
    <t>Servicio de gestión del riesgo en temas de trastornos mentales - PIC</t>
  </si>
  <si>
    <t>1905023</t>
  </si>
  <si>
    <t>SERVICIO DE GESTIÓN DEL RIESGO PARA ABORDAR CONDICIONES CRÓNICAS PREVALENTES</t>
  </si>
  <si>
    <t>2.3.2.02.02.009.19.16</t>
  </si>
  <si>
    <t>Servicio de gestión del riesgo para abordar condiciones crónicas prevalentes - Gestión</t>
  </si>
  <si>
    <t>2.3.2.02.02.009.19.17</t>
  </si>
  <si>
    <t>Servicio de gestión del riesgo para abordar condiciones crónicas prevalentes - PIC</t>
  </si>
  <si>
    <t>1905024</t>
  </si>
  <si>
    <t>SERVICIO DE GESTIÓN DEL RIESGO PARA ABORDAR SITUACIONES DE SALUD RELACIONADAS CON CONDICIONES AMBIENTALES</t>
  </si>
  <si>
    <t>2.3.2.02.02.009.19.18</t>
  </si>
  <si>
    <t>Servicio de gestión del riesgo para abordar situaciones de salud relacionadas con condiciones ambientales - Gestión</t>
  </si>
  <si>
    <t>2.3.2.02.02.009.19.19</t>
  </si>
  <si>
    <t>Servicio de gestión del riesgo para abordar situaciones de salud relacionadas con condiciones ambientales - PIC</t>
  </si>
  <si>
    <t>1905025</t>
  </si>
  <si>
    <t>SERVICIO DE GESTIÓN DEL RIESGO PARA ABORDAR SITUACIONES PREVALENTES DE ORIGEN LABORAL</t>
  </si>
  <si>
    <t>2.3.2.02.02.009.19.20</t>
  </si>
  <si>
    <t>Servicio de gestión del riesgo para abordar situaciones prevalentes de origen laboral - Gestión</t>
  </si>
  <si>
    <t>2.3.2.02.02.009.19.21</t>
  </si>
  <si>
    <t>Servicio de gestión del riesgo para abordar situaciones prevalentes de origen laboral - PIC</t>
  </si>
  <si>
    <t>1905026</t>
  </si>
  <si>
    <t>SERVICIO DE GESTIÓN DEL RIESGO PARA ENFERMEDADES EMERGENTES, REEMERGENTES Y DESATENDIDAS</t>
  </si>
  <si>
    <t>2.3.2.02.02.009.19.22</t>
  </si>
  <si>
    <t>Servicio de gestión del riesgo para enfermedades emergentes, reemergentes y desatendidas - Gestión</t>
  </si>
  <si>
    <t>2.3.2.02.02.009.19.23</t>
  </si>
  <si>
    <t>Servicio de gestión del riesgo para enfermedades emergentes, reemergentes y desatendidas - PIC</t>
  </si>
  <si>
    <t>1905027</t>
  </si>
  <si>
    <t>SERVICIO DE GESTIÓN DEL RIESGO PARA ENFERMEDADES INMUNOPREVENIBLES</t>
  </si>
  <si>
    <t>2.3.2.02.02.009.19.24</t>
  </si>
  <si>
    <t>Servicio de gestión del riesgo para enfermedades inmunoprevenibles - Gestión</t>
  </si>
  <si>
    <t>2.3.2.02.02.009.19.25</t>
  </si>
  <si>
    <t>Servicio de gestión del riesgo para enfermedades inmunoprevenibles - PIC</t>
  </si>
  <si>
    <t>1905028</t>
  </si>
  <si>
    <t>SERVICIO DE GESTIÓN DEL RIESGO PARA TEMAS DE CONSUMO, APROVECHAMIENTO BIOLÓGICO, CALIDAD E INOCUIDAD DE LOS ALIMENTOS</t>
  </si>
  <si>
    <t>2.3.2.02.02.009.19.26</t>
  </si>
  <si>
    <t>Servicio de gestión del riesgo para temas de consumo, aprovechamiento biológico, calidad e inocuidad de los alimentos - Gestión</t>
  </si>
  <si>
    <t>2.3.2.02.02.009.19.27</t>
  </si>
  <si>
    <t>Servicio de gestión del riesgo para temas de consumo, aprovechamiento biológico, calidad e inocuidad de los alimentos - PIC</t>
  </si>
  <si>
    <t>1905031</t>
  </si>
  <si>
    <t>SERVICIO DE PROMOCIÓN DE LA SALUD Y PREVENCIÓN DE RIESGOS ASOCIADOS A CONDICIONES NO TRANSMISIBLES</t>
  </si>
  <si>
    <t>2.3.2.02.02.009.19.28</t>
  </si>
  <si>
    <t>Servicio de promoción de la salud y prevención de riesgos asociados a condiciones no transmisibles - Gestión</t>
  </si>
  <si>
    <t>2.3.2.02.02.009.19.29</t>
  </si>
  <si>
    <t>Servicio de promoción de la salud y prevención de riesgos asociados a condiciones no transmisibles - PIC</t>
  </si>
  <si>
    <t>1905050</t>
  </si>
  <si>
    <t>2.3.2.02.02.009.19.30</t>
  </si>
  <si>
    <t>Servicio de asistencia técnica - Gestión</t>
  </si>
  <si>
    <t>2.3.2.02.02.009.19.31</t>
  </si>
  <si>
    <t>SGP SALUD PUBLICA - RENDIMIENTOS FINANCIEROS RB</t>
  </si>
  <si>
    <t>2.3.2.02.02.009.19.32</t>
  </si>
  <si>
    <t>REND. FCROS. OTROS GASTOS EN SALUD</t>
  </si>
  <si>
    <t>2.3.2.02.02.009.19.33</t>
  </si>
  <si>
    <t>2.3.2.02.02.009.19.34</t>
  </si>
  <si>
    <t>2.3.2.02.02.009.19.35</t>
  </si>
  <si>
    <t>SGP SALUD PUBLICA SALDOS NO EJECUTADOS VIGENCIAS ANTERIORES Y REINTEGROS</t>
  </si>
  <si>
    <t>2.3.2.02.02.009.19.36</t>
  </si>
  <si>
    <t>2.3.2.02.02.009.19.37</t>
  </si>
  <si>
    <t>2.3.2.02.02.009.19.38</t>
  </si>
  <si>
    <t>COLJUEGOS RB</t>
  </si>
  <si>
    <t>2.3.2.02.02.009.19.39</t>
  </si>
  <si>
    <t>2.3.2.02.02.009.19.40</t>
  </si>
  <si>
    <t>3 - CONCEJO</t>
  </si>
  <si>
    <t>2.1.1.01.03.006</t>
  </si>
  <si>
    <t>Honorarios concejales</t>
  </si>
  <si>
    <t>4523001</t>
  </si>
  <si>
    <t>Unidad central de procesamiento (CPU)</t>
  </si>
  <si>
    <t>3212897</t>
  </si>
  <si>
    <t>Papeles especiales para impresión n.c.p.</t>
  </si>
  <si>
    <t>Papeleria</t>
  </si>
  <si>
    <t>2.1.3.04</t>
  </si>
  <si>
    <t>A organizaciones nacionales</t>
  </si>
  <si>
    <t>2.1.3.04.05</t>
  </si>
  <si>
    <t>A otras organizaciones nacionales</t>
  </si>
  <si>
    <t>2.1.3.04.05.002</t>
  </si>
  <si>
    <t>Distintas a membresias</t>
  </si>
  <si>
    <t>5 - PERSONERÍA</t>
  </si>
  <si>
    <t>000</t>
  </si>
  <si>
    <t>Servicios de la administración pública OPS</t>
  </si>
  <si>
    <t>Capacitacion</t>
  </si>
  <si>
    <t>Viaticos de los funcionarios en comision</t>
  </si>
  <si>
    <t>6 - UNIDAD DE SERVICIOS PÚBLICOS</t>
  </si>
  <si>
    <t>2.1.1.01.01.001.01.01</t>
  </si>
  <si>
    <t>Sueldo básico Admtivo</t>
  </si>
  <si>
    <t>Transferencia AAA ACUEDUCTO</t>
  </si>
  <si>
    <t>2.1.1.01.01.001.01.02</t>
  </si>
  <si>
    <t>RECURSOS PROPIOS AAA</t>
  </si>
  <si>
    <t>2.1.1.01.01.001.01.03</t>
  </si>
  <si>
    <t>Sueldos Aseo</t>
  </si>
  <si>
    <t>Transferencia AAA ALCANTARILLADO</t>
  </si>
  <si>
    <t>2.1.1.01.01.001.04.01</t>
  </si>
  <si>
    <t>Subsidio de alimentacion ASEO</t>
  </si>
  <si>
    <t>Transferencia AAA ASEO</t>
  </si>
  <si>
    <t>2.1.1.01.01.001.05.01</t>
  </si>
  <si>
    <t>Auxilio de transporte ASEO</t>
  </si>
  <si>
    <t>2.1.1.01.01.001.06.01</t>
  </si>
  <si>
    <t>Prima de servicio Admtivo</t>
  </si>
  <si>
    <t>2.1.1.01.01.001.06.02</t>
  </si>
  <si>
    <t>Prima de servicio Aseo</t>
  </si>
  <si>
    <t>2.1.1.01.01.001.07.01</t>
  </si>
  <si>
    <t>Bonificación por servicios prestados Admtivo</t>
  </si>
  <si>
    <t>2.1.1.01.01.001.07.02</t>
  </si>
  <si>
    <t>Bonificación por servicios prestados Aseo</t>
  </si>
  <si>
    <t>2.1.1.01.01.001.08.01.01</t>
  </si>
  <si>
    <t>Prima de navidad Admtivo</t>
  </si>
  <si>
    <t>2.1.1.01.01.001.08.01.02</t>
  </si>
  <si>
    <t>Prima de navidad Aseo</t>
  </si>
  <si>
    <t>2.1.1.01.01.001.08.02.01</t>
  </si>
  <si>
    <t>Prima de vacaciones Admtivo</t>
  </si>
  <si>
    <t>2.1.1.01.01.001.08.02.02</t>
  </si>
  <si>
    <t>Prima de vacaciones Aseo</t>
  </si>
  <si>
    <t>2.1.1.01.02.001.01</t>
  </si>
  <si>
    <t>Aportes a Pension Admtivo</t>
  </si>
  <si>
    <t>2.1.1.01.02.001.02</t>
  </si>
  <si>
    <t>Aportes a la seguridad social en pensiones Aseo</t>
  </si>
  <si>
    <t>2.1.1.01.02.002.01</t>
  </si>
  <si>
    <t>Aportes a Salud Admtivo</t>
  </si>
  <si>
    <t>2.1.1.01.02.002.02</t>
  </si>
  <si>
    <t>Aportes a la seguridad social en salud Aseo</t>
  </si>
  <si>
    <t>2.1.1.01.02.003.01.01</t>
  </si>
  <si>
    <t>Cesantias Admtivo Admtivo</t>
  </si>
  <si>
    <t>2.1.1.01.02.003.01.02</t>
  </si>
  <si>
    <t>Aportes de cesantías Aseo</t>
  </si>
  <si>
    <t>2.1.1.01.02.003.02.01</t>
  </si>
  <si>
    <t>Intereses de las Cesantias Admtivo</t>
  </si>
  <si>
    <t>2.1.1.01.02.003.02.02</t>
  </si>
  <si>
    <t>Intereses sobre las cesantias Aseo</t>
  </si>
  <si>
    <t>2.1.1.01.02.004.01</t>
  </si>
  <si>
    <t>Aportes a Caja de Compensacion Familiar Admtivo</t>
  </si>
  <si>
    <t>2.1.1.01.02.004.02</t>
  </si>
  <si>
    <t>Aportes a cajas de compensación familiar Aseo</t>
  </si>
  <si>
    <t>2.1.1.01.02.005.01</t>
  </si>
  <si>
    <t>Aportes ARL Admtivo</t>
  </si>
  <si>
    <t>2.1.1.01.02.005.02</t>
  </si>
  <si>
    <t>Aportes generales al sistema de riesgos laborales Aseo</t>
  </si>
  <si>
    <t>2.1.1.01.02.006.01</t>
  </si>
  <si>
    <t>Aportes al ICBF Admtivo</t>
  </si>
  <si>
    <t>2.1.1.01.02.006.02</t>
  </si>
  <si>
    <t>Aportes al ICBF Aseo</t>
  </si>
  <si>
    <t>2.1.1.01.02.007.01</t>
  </si>
  <si>
    <t>Aportes al SENA Admtivo</t>
  </si>
  <si>
    <t>2.1.1.01.02.007.02</t>
  </si>
  <si>
    <t>Aportes al SENA Aseo</t>
  </si>
  <si>
    <t>2.1.1.01.02.008.01</t>
  </si>
  <si>
    <t>Aportes a la ESAP Admtivo</t>
  </si>
  <si>
    <t>2.1.1.01.02.008.02</t>
  </si>
  <si>
    <t>Aportes a la ESAP Aseo</t>
  </si>
  <si>
    <t>2.1.1.01.02.009.01</t>
  </si>
  <si>
    <t>Aportes a escuelas industriales e institutos técnicos Admtivo</t>
  </si>
  <si>
    <t>2.1.1.01.02.009.02</t>
  </si>
  <si>
    <t>Aportes a escuelas industriales e institutos técnicos Aseo</t>
  </si>
  <si>
    <t>2.1.1.01.03.001.01.01</t>
  </si>
  <si>
    <t>Vacaciones Admtivo</t>
  </si>
  <si>
    <t>2.1.1.01.03.001.01.02</t>
  </si>
  <si>
    <t>Vacaciones Aseo</t>
  </si>
  <si>
    <t>2.1.1.01.03.001.02.01</t>
  </si>
  <si>
    <t>Indeminizacion por vacaciones Admin</t>
  </si>
  <si>
    <t>2.1.1.01.03.001.02.02</t>
  </si>
  <si>
    <t>Indeminizacion por vacaciones ASEO</t>
  </si>
  <si>
    <t>2.1.1.01.03.001.03.01</t>
  </si>
  <si>
    <t>Bonificación especial de recreación Admtivo</t>
  </si>
  <si>
    <t>2.1.1.01.03.001.03.02</t>
  </si>
  <si>
    <t>Bonificación especial de recreación Aseo</t>
  </si>
  <si>
    <t>Remuneracion por servicios tecnicos</t>
  </si>
  <si>
    <t>2.1.2.02.02.008.02</t>
  </si>
  <si>
    <t>2.1.2.02.02.008.03</t>
  </si>
  <si>
    <t>Servicio de inspeccion tecnica de vehiculos de transporte terrestre</t>
  </si>
  <si>
    <t>2.1.5</t>
  </si>
  <si>
    <t>Gastos de comercializacion y produccion</t>
  </si>
  <si>
    <t>2.1.5.01</t>
  </si>
  <si>
    <t>2.1.5.01.03</t>
  </si>
  <si>
    <t>2.1.5.01.03.01</t>
  </si>
  <si>
    <t>Materiales y suministros Aseo</t>
  </si>
  <si>
    <t>2.1.5.01.03.02</t>
  </si>
  <si>
    <t>Materiales y suministros Acueducto</t>
  </si>
  <si>
    <t>2.1.5.01.03.03</t>
  </si>
  <si>
    <t>Materiales y suministros Alcantarillado</t>
  </si>
  <si>
    <t>2.1.5.01.03.04</t>
  </si>
  <si>
    <t>Combustibles y lubracantes Aseo</t>
  </si>
  <si>
    <t>2.1.5.01.03.05</t>
  </si>
  <si>
    <t>Combustibles y lubracantes Acueducto</t>
  </si>
  <si>
    <t>2.1.5.02</t>
  </si>
  <si>
    <t>2.1.5.02.07</t>
  </si>
  <si>
    <t>Servicios financieros y serv conexos; serv inmobiliarios; y serv de arrendamiento y leasing</t>
  </si>
  <si>
    <t>72112</t>
  </si>
  <si>
    <t>Servicios de alquiler o arrendamiento con o sin opción de compra, relativos a bienes inmuebles no residenciales (diferentes a vivienda), propios o arrendados</t>
  </si>
  <si>
    <t>2.1.5.02.07.01</t>
  </si>
  <si>
    <t>Arrendamientos servicio de Aseo</t>
  </si>
  <si>
    <t>2.1.5.02.08</t>
  </si>
  <si>
    <t>2.1.5.02.08.01</t>
  </si>
  <si>
    <t>Remuneracion por servicios tecnicos Acueducto</t>
  </si>
  <si>
    <t>2.1.5.02.08.02</t>
  </si>
  <si>
    <t>2.1.5.02.08.03</t>
  </si>
  <si>
    <t>2.1.5.02.08.04</t>
  </si>
  <si>
    <t>Remuneracion por servicios tecnicos Aseo</t>
  </si>
  <si>
    <t>2.1.5.02.08.05</t>
  </si>
  <si>
    <t>8715699</t>
  </si>
  <si>
    <t>Servicio de mantenimiento y reparación de máquinas de uso general n.c.p.</t>
  </si>
  <si>
    <t>2.1.5.02.08.06</t>
  </si>
  <si>
    <t>Mantenimiento De Equipos, Maquinaria, Bienes y Otros Aseo</t>
  </si>
  <si>
    <t>2.1.5.02.08.07</t>
  </si>
  <si>
    <t>Mantenimiento De Equipos, Maquinaria, Bienes y Otros Acueducto</t>
  </si>
  <si>
    <t>2.1.5.02.08.08</t>
  </si>
  <si>
    <t>Análisis de laboratorio y toma de muestras Acueducto</t>
  </si>
  <si>
    <t>2.1.5.02.08.09</t>
  </si>
  <si>
    <t>Servicio de estratificación socioeconómica</t>
  </si>
  <si>
    <t>2.1.5.02.08.10</t>
  </si>
  <si>
    <t>Remuneracion por sevicios tecnicos Alcantarillado</t>
  </si>
  <si>
    <t>2.1.5.02.08.11</t>
  </si>
  <si>
    <t>2.1.5.02.08.12</t>
  </si>
  <si>
    <t>Remuneracion por sevicios tecnicos ACUEDUCTO</t>
  </si>
  <si>
    <t>TRANSFERENCIA AAA ACUEDUCTO RB</t>
  </si>
  <si>
    <t>2.1.5.02.08.13</t>
  </si>
  <si>
    <t>TRANSFERENCIA AAA ASEO RB</t>
  </si>
  <si>
    <t>2.1.5.02.08.14</t>
  </si>
  <si>
    <t>TRANSFERENCIA AAA ALCANTARILLADO RB</t>
  </si>
  <si>
    <t>2.1.5.02.09</t>
  </si>
  <si>
    <t>2.1.5.02.09.01</t>
  </si>
  <si>
    <t>Disposicion final Aseo</t>
  </si>
  <si>
    <t>2.1.8.03</t>
  </si>
  <si>
    <t>2.1.8.03.01</t>
  </si>
  <si>
    <t>Tasa Retributiva Alcantarillado</t>
  </si>
  <si>
    <t>2.1.8.03.02</t>
  </si>
  <si>
    <t>2.1.8.03.03</t>
  </si>
  <si>
    <t>Seguimiento PSMV</t>
  </si>
  <si>
    <t>2.1.8.04</t>
  </si>
  <si>
    <t>2.1.8.04.05.01</t>
  </si>
  <si>
    <t>Contribucion - superintendencia de servicios publicos domiciliarios - ACUEDUCTO</t>
  </si>
  <si>
    <t>2.1.8.04.05.02</t>
  </si>
  <si>
    <t>Contribucion - superintendencia de servicios publicos domiciliarios - ALCATARILLADO</t>
  </si>
  <si>
    <t>2.1.8.04.05.03</t>
  </si>
  <si>
    <t>Contribucion - superintendencia de servicios publicos domiciliarios - ASEO</t>
  </si>
  <si>
    <t>2.1.8.04.16</t>
  </si>
  <si>
    <t>Contribucion comisiones regulacion de agua potable y saneamiento basico - cra</t>
  </si>
  <si>
    <t>2.1.8.04.16.01</t>
  </si>
  <si>
    <t>Contribucion comisiones regulacion de agua potable y saneamiento basico - cra -ASEO</t>
  </si>
  <si>
    <t>R - SISTEMA GENERAL DE REGALIAS</t>
  </si>
  <si>
    <t>Servicios prestados a las empresas y servicios de produccion</t>
  </si>
  <si>
    <t>NOMBRE DE FUENTE DE RECURSO</t>
  </si>
  <si>
    <t>PRESUPUESTO DEFINITIVO</t>
  </si>
  <si>
    <t>PRESUPUESTO DEFINITIVO EJECUTADO</t>
  </si>
  <si>
    <t>DIFERENCIA</t>
  </si>
  <si>
    <t>Recaudo</t>
  </si>
  <si>
    <t>Registros</t>
  </si>
  <si>
    <t>Saldos no Comprometidos</t>
  </si>
  <si>
    <t>Constitución</t>
  </si>
  <si>
    <t>Reservas</t>
  </si>
  <si>
    <t>Pago</t>
  </si>
  <si>
    <t>Cuentas x Pagar</t>
  </si>
  <si>
    <t>Recurso en Bancos</t>
  </si>
  <si>
    <t>CONCEPTO</t>
  </si>
  <si>
    <t>VALOR</t>
  </si>
  <si>
    <t>Recaudo hoja INGRESOS</t>
  </si>
  <si>
    <t>Suma recaudo hoja CRUCE INFORMACION</t>
  </si>
  <si>
    <t>Diferencia</t>
  </si>
  <si>
    <t>Resultado</t>
  </si>
  <si>
    <t>VALIDACION PRESUPUESTO DEFINITIVO</t>
  </si>
  <si>
    <t>Presupuesto Definitivo INGRESOS</t>
  </si>
  <si>
    <t>Suma Presupuesto Definitivo CRUCE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</si>
</sst>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7F7F7F"/>
      </patternFill>
    </fill>
    <fill>
      <patternFill patternType="solid">
        <fgColor rgb="FF385D8A"/>
      </patternFill>
    </fill>
    <fill>
      <patternFill patternType="solid">
        <fgColor rgb="FF7030A0"/>
      </patternFill>
    </fill>
    <fill>
      <patternFill patternType="solid">
        <fgColor rgb="FF0070C0"/>
      </patternFill>
    </fill>
    <fill>
      <patternFill patternType="solid">
        <fgColor rgb="FFED7D31"/>
      </patternFill>
    </fill>
    <fill>
      <patternFill patternType="solid">
        <fgColor rgb="FF92D05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</cellXfs>
  <cellStyles count="1">
    <cellStyle name="Normal" xfId="0" builtinId="0"/>
  </cellStyles>
  <dxfs count="1">
    <dxf>
      <fill>
        <patternFill patternType="solid">
          <fgColor rgb="FFFFFF00"/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63"/>
  <sheetViews>
    <sheetView workbookViewId="0">
      <selection activeCell="B1" sqref="B1"/>
    </sheetView>
  </sheetViews>
  <sheetFormatPr baseColWidth="10" defaultColWidth="8.83203125" defaultRowHeight="15" x14ac:dyDescent="0.2"/>
  <cols>
    <col min="2" max="2" width="50.6640625" customWidth="1"/>
    <col min="13" max="13" width="17.6640625" customWidth="1"/>
    <col min="14" max="14" width="19" customWidth="1"/>
    <col min="15" max="15" width="35.33203125" customWidth="1"/>
    <col min="16" max="16" width="21.1640625" customWidth="1"/>
    <col min="17" max="17" width="40.6640625" customWidth="1"/>
    <col min="18" max="18" width="32.6640625" customWidth="1"/>
  </cols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t="s">
        <v>18</v>
      </c>
      <c r="B2" t="s">
        <v>19</v>
      </c>
      <c r="C2" t="s">
        <v>20</v>
      </c>
      <c r="E2">
        <v>25022900237</v>
      </c>
      <c r="F2">
        <v>2696518395</v>
      </c>
      <c r="G2">
        <v>918409614</v>
      </c>
      <c r="H2">
        <v>0</v>
      </c>
      <c r="I2">
        <v>0</v>
      </c>
      <c r="J2">
        <v>0</v>
      </c>
      <c r="K2">
        <v>0</v>
      </c>
      <c r="L2">
        <v>26801009018</v>
      </c>
      <c r="M2">
        <v>10141229502.059999</v>
      </c>
      <c r="N2">
        <v>10141229502.059999</v>
      </c>
      <c r="O2" t="s">
        <v>21</v>
      </c>
      <c r="P2">
        <v>30269649.18</v>
      </c>
      <c r="Q2">
        <v>16659779515.940001</v>
      </c>
      <c r="R2" t="s">
        <v>22</v>
      </c>
    </row>
    <row r="3" spans="1:18" x14ac:dyDescent="0.2">
      <c r="A3" t="s">
        <v>23</v>
      </c>
      <c r="B3" t="s">
        <v>24</v>
      </c>
      <c r="C3" t="s">
        <v>20</v>
      </c>
      <c r="E3">
        <v>25020700237</v>
      </c>
      <c r="F3">
        <v>23761460</v>
      </c>
      <c r="G3">
        <v>918409614</v>
      </c>
      <c r="H3">
        <v>0</v>
      </c>
      <c r="I3">
        <v>0</v>
      </c>
      <c r="J3">
        <v>0</v>
      </c>
      <c r="K3">
        <v>0</v>
      </c>
      <c r="L3">
        <v>24126052083</v>
      </c>
      <c r="M3">
        <v>10140777008.139999</v>
      </c>
      <c r="N3">
        <v>10140777008.139999</v>
      </c>
      <c r="O3" t="s">
        <v>25</v>
      </c>
      <c r="P3">
        <v>30163256</v>
      </c>
      <c r="Q3">
        <v>13985275074.860001</v>
      </c>
      <c r="R3" t="s">
        <v>22</v>
      </c>
    </row>
    <row r="4" spans="1:18" x14ac:dyDescent="0.2">
      <c r="A4" t="s">
        <v>26</v>
      </c>
      <c r="B4" t="s">
        <v>27</v>
      </c>
      <c r="C4" t="s">
        <v>20</v>
      </c>
      <c r="E4">
        <v>1058210195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1058210195</v>
      </c>
      <c r="M4">
        <v>466350603.05000001</v>
      </c>
      <c r="N4">
        <v>466350603.05000001</v>
      </c>
      <c r="O4" t="s">
        <v>28</v>
      </c>
      <c r="P4">
        <v>12252156</v>
      </c>
      <c r="Q4">
        <v>591859591.95000005</v>
      </c>
      <c r="R4" t="s">
        <v>22</v>
      </c>
    </row>
    <row r="5" spans="1:18" x14ac:dyDescent="0.2">
      <c r="A5" t="s">
        <v>29</v>
      </c>
      <c r="B5" t="s">
        <v>30</v>
      </c>
      <c r="C5" t="s">
        <v>20</v>
      </c>
      <c r="E5">
        <v>219958465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219958465</v>
      </c>
      <c r="M5">
        <v>207444500</v>
      </c>
      <c r="N5">
        <v>207444500</v>
      </c>
      <c r="O5" t="s">
        <v>31</v>
      </c>
      <c r="P5">
        <v>12252156</v>
      </c>
      <c r="Q5">
        <v>12513965</v>
      </c>
      <c r="R5" t="s">
        <v>22</v>
      </c>
    </row>
    <row r="6" spans="1:18" x14ac:dyDescent="0.2">
      <c r="A6" t="s">
        <v>32</v>
      </c>
      <c r="B6" t="s">
        <v>33</v>
      </c>
      <c r="C6" t="s">
        <v>20</v>
      </c>
      <c r="E6">
        <v>54319147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54319147</v>
      </c>
      <c r="M6">
        <v>42503100</v>
      </c>
      <c r="N6">
        <v>42503100</v>
      </c>
      <c r="O6" t="s">
        <v>34</v>
      </c>
      <c r="P6">
        <v>0</v>
      </c>
      <c r="Q6">
        <v>11816047</v>
      </c>
      <c r="R6" t="s">
        <v>22</v>
      </c>
    </row>
    <row r="7" spans="1:18" x14ac:dyDescent="0.2">
      <c r="A7" t="s">
        <v>35</v>
      </c>
      <c r="B7" t="s">
        <v>36</v>
      </c>
      <c r="C7" t="s">
        <v>20</v>
      </c>
      <c r="E7">
        <v>25675660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25675660</v>
      </c>
      <c r="M7">
        <v>16917800</v>
      </c>
      <c r="N7">
        <v>16917800</v>
      </c>
      <c r="O7" t="s">
        <v>37</v>
      </c>
      <c r="P7">
        <v>0</v>
      </c>
      <c r="Q7">
        <v>8757860</v>
      </c>
      <c r="R7" t="s">
        <v>38</v>
      </c>
    </row>
    <row r="8" spans="1:18" x14ac:dyDescent="0.2">
      <c r="A8" t="s">
        <v>39</v>
      </c>
      <c r="B8" t="s">
        <v>40</v>
      </c>
      <c r="C8" t="s">
        <v>20</v>
      </c>
      <c r="E8">
        <v>28643487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28643487</v>
      </c>
      <c r="M8">
        <v>25585300</v>
      </c>
      <c r="N8">
        <v>25585300</v>
      </c>
      <c r="O8" t="s">
        <v>41</v>
      </c>
      <c r="P8">
        <v>0</v>
      </c>
      <c r="Q8">
        <v>3058187</v>
      </c>
      <c r="R8" t="s">
        <v>38</v>
      </c>
    </row>
    <row r="9" spans="1:18" x14ac:dyDescent="0.2">
      <c r="A9" t="s">
        <v>42</v>
      </c>
      <c r="B9" t="s">
        <v>43</v>
      </c>
      <c r="C9" t="s">
        <v>20</v>
      </c>
      <c r="E9">
        <v>165639318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165639318</v>
      </c>
      <c r="M9">
        <v>164941400</v>
      </c>
      <c r="N9">
        <v>164941400</v>
      </c>
      <c r="O9" t="s">
        <v>44</v>
      </c>
      <c r="P9">
        <v>12252156</v>
      </c>
      <c r="Q9">
        <v>697918</v>
      </c>
      <c r="R9" t="s">
        <v>22</v>
      </c>
    </row>
    <row r="10" spans="1:18" x14ac:dyDescent="0.2">
      <c r="A10" t="s">
        <v>45</v>
      </c>
      <c r="B10" t="s">
        <v>46</v>
      </c>
      <c r="C10" t="s">
        <v>20</v>
      </c>
      <c r="E10">
        <v>82490774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82490774</v>
      </c>
      <c r="M10">
        <v>69540700</v>
      </c>
      <c r="N10">
        <v>69540700</v>
      </c>
      <c r="O10" t="s">
        <v>47</v>
      </c>
      <c r="P10">
        <v>0</v>
      </c>
      <c r="Q10">
        <v>12950074</v>
      </c>
      <c r="R10" t="s">
        <v>48</v>
      </c>
    </row>
    <row r="11" spans="1:18" x14ac:dyDescent="0.2">
      <c r="A11" t="s">
        <v>49</v>
      </c>
      <c r="B11" t="s">
        <v>50</v>
      </c>
      <c r="C11" t="s">
        <v>20</v>
      </c>
      <c r="E11">
        <v>83148544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83148544</v>
      </c>
      <c r="M11">
        <v>95400700</v>
      </c>
      <c r="N11">
        <v>95400700</v>
      </c>
      <c r="O11" t="s">
        <v>51</v>
      </c>
      <c r="P11">
        <v>12252156</v>
      </c>
      <c r="Q11">
        <v>-12252156</v>
      </c>
      <c r="R11" t="s">
        <v>48</v>
      </c>
    </row>
    <row r="12" spans="1:18" x14ac:dyDescent="0.2">
      <c r="A12" t="s">
        <v>52</v>
      </c>
      <c r="B12" t="s">
        <v>53</v>
      </c>
      <c r="C12" t="s">
        <v>20</v>
      </c>
      <c r="E12">
        <v>838251730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838251730</v>
      </c>
      <c r="M12">
        <v>258906103.05000001</v>
      </c>
      <c r="N12">
        <v>258906103.05000001</v>
      </c>
      <c r="O12" t="s">
        <v>54</v>
      </c>
      <c r="P12">
        <v>0</v>
      </c>
      <c r="Q12">
        <v>579345626.95000005</v>
      </c>
      <c r="R12" t="s">
        <v>22</v>
      </c>
    </row>
    <row r="13" spans="1:18" x14ac:dyDescent="0.2">
      <c r="A13" t="s">
        <v>55</v>
      </c>
      <c r="B13" t="s">
        <v>56</v>
      </c>
      <c r="C13" t="s">
        <v>20</v>
      </c>
      <c r="E13">
        <v>81106000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81106000</v>
      </c>
      <c r="M13">
        <v>21346000</v>
      </c>
      <c r="N13">
        <v>21346000</v>
      </c>
      <c r="O13" t="s">
        <v>57</v>
      </c>
      <c r="P13">
        <v>0</v>
      </c>
      <c r="Q13">
        <v>59760000</v>
      </c>
      <c r="R13" t="s">
        <v>48</v>
      </c>
    </row>
    <row r="14" spans="1:18" x14ac:dyDescent="0.2">
      <c r="A14" t="s">
        <v>58</v>
      </c>
      <c r="B14" t="s">
        <v>59</v>
      </c>
      <c r="C14" t="s">
        <v>20</v>
      </c>
      <c r="E14">
        <v>338354538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338354538</v>
      </c>
      <c r="M14">
        <v>82685871.049999997</v>
      </c>
      <c r="N14">
        <v>82685871.049999997</v>
      </c>
      <c r="O14" t="s">
        <v>60</v>
      </c>
      <c r="P14">
        <v>0</v>
      </c>
      <c r="Q14">
        <v>255668666.94999999</v>
      </c>
      <c r="R14" t="s">
        <v>22</v>
      </c>
    </row>
    <row r="15" spans="1:18" x14ac:dyDescent="0.2">
      <c r="A15" t="s">
        <v>61</v>
      </c>
      <c r="B15" t="s">
        <v>62</v>
      </c>
      <c r="C15" t="s">
        <v>20</v>
      </c>
      <c r="E15">
        <v>301246263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301246263</v>
      </c>
      <c r="M15">
        <v>72715570</v>
      </c>
      <c r="N15">
        <v>72715570</v>
      </c>
      <c r="O15" t="s">
        <v>63</v>
      </c>
      <c r="P15">
        <v>0</v>
      </c>
      <c r="Q15">
        <v>228530693</v>
      </c>
      <c r="R15" t="s">
        <v>48</v>
      </c>
    </row>
    <row r="16" spans="1:18" x14ac:dyDescent="0.2">
      <c r="A16" t="s">
        <v>64</v>
      </c>
      <c r="B16" t="s">
        <v>65</v>
      </c>
      <c r="C16" t="s">
        <v>20</v>
      </c>
      <c r="E16">
        <v>9465275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9465275</v>
      </c>
      <c r="M16">
        <v>0</v>
      </c>
      <c r="N16">
        <v>0</v>
      </c>
      <c r="O16" t="s">
        <v>66</v>
      </c>
      <c r="P16">
        <v>0</v>
      </c>
      <c r="Q16">
        <v>9465275</v>
      </c>
      <c r="R16" t="s">
        <v>48</v>
      </c>
    </row>
    <row r="17" spans="1:18" x14ac:dyDescent="0.2">
      <c r="A17" t="s">
        <v>67</v>
      </c>
      <c r="B17" t="s">
        <v>68</v>
      </c>
      <c r="C17" t="s">
        <v>20</v>
      </c>
      <c r="E17">
        <v>27643000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27643000</v>
      </c>
      <c r="M17">
        <v>9970301.0499999989</v>
      </c>
      <c r="N17">
        <v>9970301.0499999989</v>
      </c>
      <c r="O17" t="s">
        <v>69</v>
      </c>
      <c r="P17">
        <v>0</v>
      </c>
      <c r="Q17">
        <v>17672698.949999999</v>
      </c>
      <c r="R17" t="s">
        <v>48</v>
      </c>
    </row>
    <row r="18" spans="1:18" x14ac:dyDescent="0.2">
      <c r="A18" t="s">
        <v>70</v>
      </c>
      <c r="B18" t="s">
        <v>71</v>
      </c>
      <c r="C18" t="s">
        <v>20</v>
      </c>
      <c r="E18">
        <v>21035690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21035690</v>
      </c>
      <c r="M18">
        <v>0</v>
      </c>
      <c r="N18">
        <v>0</v>
      </c>
      <c r="O18" t="s">
        <v>66</v>
      </c>
      <c r="P18">
        <v>0</v>
      </c>
      <c r="Q18">
        <v>21035690</v>
      </c>
      <c r="R18" t="s">
        <v>48</v>
      </c>
    </row>
    <row r="19" spans="1:18" x14ac:dyDescent="0.2">
      <c r="A19" t="s">
        <v>72</v>
      </c>
      <c r="B19" t="s">
        <v>73</v>
      </c>
      <c r="C19" t="s">
        <v>20</v>
      </c>
      <c r="E19">
        <v>1000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1000</v>
      </c>
      <c r="M19">
        <v>0</v>
      </c>
      <c r="N19">
        <v>0</v>
      </c>
      <c r="O19" t="s">
        <v>66</v>
      </c>
      <c r="P19">
        <v>0</v>
      </c>
      <c r="Q19">
        <v>1000</v>
      </c>
      <c r="R19" t="s">
        <v>48</v>
      </c>
    </row>
    <row r="20" spans="1:18" x14ac:dyDescent="0.2">
      <c r="A20" t="s">
        <v>74</v>
      </c>
      <c r="B20" t="s">
        <v>75</v>
      </c>
      <c r="C20" t="s">
        <v>20</v>
      </c>
      <c r="E20">
        <v>4417284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4417284</v>
      </c>
      <c r="M20">
        <v>0</v>
      </c>
      <c r="N20">
        <v>0</v>
      </c>
      <c r="O20" t="s">
        <v>66</v>
      </c>
      <c r="P20">
        <v>0</v>
      </c>
      <c r="Q20">
        <v>4417284</v>
      </c>
      <c r="R20" t="s">
        <v>48</v>
      </c>
    </row>
    <row r="21" spans="1:18" x14ac:dyDescent="0.2">
      <c r="A21" t="s">
        <v>76</v>
      </c>
      <c r="B21" t="s">
        <v>77</v>
      </c>
      <c r="C21" t="s">
        <v>20</v>
      </c>
      <c r="E21">
        <v>46625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46625</v>
      </c>
      <c r="M21">
        <v>0</v>
      </c>
      <c r="N21">
        <v>0</v>
      </c>
      <c r="O21" t="s">
        <v>66</v>
      </c>
      <c r="P21">
        <v>0</v>
      </c>
      <c r="Q21">
        <v>46625</v>
      </c>
      <c r="R21" t="s">
        <v>48</v>
      </c>
    </row>
    <row r="22" spans="1:18" x14ac:dyDescent="0.2">
      <c r="A22" t="s">
        <v>78</v>
      </c>
      <c r="B22" t="s">
        <v>79</v>
      </c>
      <c r="C22" t="s">
        <v>20</v>
      </c>
      <c r="E22">
        <v>39745508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39745508</v>
      </c>
      <c r="M22">
        <v>0</v>
      </c>
      <c r="N22">
        <v>0</v>
      </c>
      <c r="O22" t="s">
        <v>66</v>
      </c>
      <c r="P22">
        <v>0</v>
      </c>
      <c r="Q22">
        <v>39745508</v>
      </c>
      <c r="R22" t="s">
        <v>80</v>
      </c>
    </row>
    <row r="23" spans="1:18" x14ac:dyDescent="0.2">
      <c r="A23" t="s">
        <v>81</v>
      </c>
      <c r="B23" t="s">
        <v>82</v>
      </c>
      <c r="C23" t="s">
        <v>20</v>
      </c>
      <c r="E23">
        <v>6349424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6349424</v>
      </c>
      <c r="M23">
        <v>0</v>
      </c>
      <c r="N23">
        <v>0</v>
      </c>
      <c r="O23" t="s">
        <v>66</v>
      </c>
      <c r="P23">
        <v>0</v>
      </c>
      <c r="Q23">
        <v>6349424</v>
      </c>
      <c r="R23" t="s">
        <v>83</v>
      </c>
    </row>
    <row r="24" spans="1:18" x14ac:dyDescent="0.2">
      <c r="A24" t="s">
        <v>84</v>
      </c>
      <c r="B24" t="s">
        <v>85</v>
      </c>
      <c r="C24" t="s">
        <v>20</v>
      </c>
      <c r="E24">
        <v>58663920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58663920</v>
      </c>
      <c r="M24">
        <v>18415984</v>
      </c>
      <c r="N24">
        <v>18415984</v>
      </c>
      <c r="O24" t="s">
        <v>86</v>
      </c>
      <c r="P24">
        <v>0</v>
      </c>
      <c r="Q24">
        <v>40247936</v>
      </c>
      <c r="R24" t="s">
        <v>87</v>
      </c>
    </row>
    <row r="25" spans="1:18" x14ac:dyDescent="0.2">
      <c r="A25" t="s">
        <v>88</v>
      </c>
      <c r="B25" t="s">
        <v>89</v>
      </c>
      <c r="C25" t="s">
        <v>20</v>
      </c>
      <c r="E25">
        <v>288531741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288531741</v>
      </c>
      <c r="M25">
        <v>136458248</v>
      </c>
      <c r="N25">
        <v>136458248</v>
      </c>
      <c r="O25" t="s">
        <v>90</v>
      </c>
      <c r="P25">
        <v>0</v>
      </c>
      <c r="Q25">
        <v>152073493</v>
      </c>
      <c r="R25" t="s">
        <v>22</v>
      </c>
    </row>
    <row r="26" spans="1:18" x14ac:dyDescent="0.2">
      <c r="A26" t="s">
        <v>91</v>
      </c>
      <c r="B26" t="s">
        <v>92</v>
      </c>
      <c r="C26" t="s">
        <v>20</v>
      </c>
      <c r="E26">
        <v>175509125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175509125</v>
      </c>
      <c r="M26">
        <v>83235618</v>
      </c>
      <c r="N26">
        <v>83235618</v>
      </c>
      <c r="O26" t="s">
        <v>93</v>
      </c>
      <c r="P26">
        <v>0</v>
      </c>
      <c r="Q26">
        <v>92273507</v>
      </c>
      <c r="R26" t="s">
        <v>94</v>
      </c>
    </row>
    <row r="27" spans="1:18" x14ac:dyDescent="0.2">
      <c r="A27" t="s">
        <v>95</v>
      </c>
      <c r="B27" t="s">
        <v>96</v>
      </c>
      <c r="C27" t="s">
        <v>20</v>
      </c>
      <c r="E27">
        <v>58472757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58472757</v>
      </c>
      <c r="M27">
        <v>28667978</v>
      </c>
      <c r="N27">
        <v>28667978</v>
      </c>
      <c r="O27" t="s">
        <v>97</v>
      </c>
      <c r="P27">
        <v>0</v>
      </c>
      <c r="Q27">
        <v>29804779</v>
      </c>
      <c r="R27" t="s">
        <v>98</v>
      </c>
    </row>
    <row r="28" spans="1:18" x14ac:dyDescent="0.2">
      <c r="A28" t="s">
        <v>99</v>
      </c>
      <c r="B28" t="s">
        <v>100</v>
      </c>
      <c r="C28" t="s">
        <v>20</v>
      </c>
      <c r="E28">
        <v>54549859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54549859</v>
      </c>
      <c r="M28">
        <v>24554652</v>
      </c>
      <c r="N28">
        <v>24554652</v>
      </c>
      <c r="O28" t="s">
        <v>101</v>
      </c>
      <c r="P28">
        <v>0</v>
      </c>
      <c r="Q28">
        <v>29995207</v>
      </c>
      <c r="R28" t="s">
        <v>102</v>
      </c>
    </row>
    <row r="29" spans="1:18" x14ac:dyDescent="0.2">
      <c r="A29" t="s">
        <v>103</v>
      </c>
      <c r="B29" t="s">
        <v>104</v>
      </c>
      <c r="C29" t="s">
        <v>20</v>
      </c>
      <c r="E29">
        <v>23962490042</v>
      </c>
      <c r="F29">
        <v>23761460</v>
      </c>
      <c r="G29">
        <v>918409614</v>
      </c>
      <c r="H29">
        <v>0</v>
      </c>
      <c r="I29">
        <v>0</v>
      </c>
      <c r="J29">
        <v>0</v>
      </c>
      <c r="K29">
        <v>0</v>
      </c>
      <c r="L29">
        <v>23067841888</v>
      </c>
      <c r="M29">
        <v>9674426405.0900002</v>
      </c>
      <c r="N29">
        <v>9674426405.0900002</v>
      </c>
      <c r="O29" t="s">
        <v>105</v>
      </c>
      <c r="P29">
        <v>17911100</v>
      </c>
      <c r="Q29">
        <v>13393415482.91</v>
      </c>
      <c r="R29" t="s">
        <v>22</v>
      </c>
    </row>
    <row r="30" spans="1:18" x14ac:dyDescent="0.2">
      <c r="A30" t="s">
        <v>106</v>
      </c>
      <c r="B30" t="s">
        <v>107</v>
      </c>
      <c r="C30" t="s">
        <v>20</v>
      </c>
      <c r="E30">
        <v>58996857</v>
      </c>
      <c r="F30">
        <v>12255460</v>
      </c>
      <c r="G30">
        <v>0</v>
      </c>
      <c r="H30">
        <v>0</v>
      </c>
      <c r="I30">
        <v>0</v>
      </c>
      <c r="J30">
        <v>0</v>
      </c>
      <c r="K30">
        <v>0</v>
      </c>
      <c r="L30">
        <v>71252317</v>
      </c>
      <c r="M30">
        <v>35935648</v>
      </c>
      <c r="N30">
        <v>35935648</v>
      </c>
      <c r="O30" t="s">
        <v>108</v>
      </c>
      <c r="P30">
        <v>0</v>
      </c>
      <c r="Q30">
        <v>35316669</v>
      </c>
      <c r="R30" t="s">
        <v>22</v>
      </c>
    </row>
    <row r="31" spans="1:18" x14ac:dyDescent="0.2">
      <c r="A31" t="s">
        <v>109</v>
      </c>
      <c r="B31" t="s">
        <v>110</v>
      </c>
      <c r="C31" t="s">
        <v>20</v>
      </c>
      <c r="E31">
        <v>58996857</v>
      </c>
      <c r="F31">
        <v>12255460</v>
      </c>
      <c r="G31">
        <v>0</v>
      </c>
      <c r="H31">
        <v>0</v>
      </c>
      <c r="I31">
        <v>0</v>
      </c>
      <c r="J31">
        <v>0</v>
      </c>
      <c r="K31">
        <v>0</v>
      </c>
      <c r="L31">
        <v>71252317</v>
      </c>
      <c r="M31">
        <v>35935648</v>
      </c>
      <c r="N31">
        <v>35935648</v>
      </c>
      <c r="O31" t="s">
        <v>108</v>
      </c>
      <c r="P31">
        <v>0</v>
      </c>
      <c r="Q31">
        <v>35316669</v>
      </c>
      <c r="R31" t="s">
        <v>22</v>
      </c>
    </row>
    <row r="32" spans="1:18" x14ac:dyDescent="0.2">
      <c r="A32" t="s">
        <v>111</v>
      </c>
      <c r="B32" t="s">
        <v>112</v>
      </c>
      <c r="C32" t="s">
        <v>20</v>
      </c>
      <c r="E32">
        <v>58996857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58996857</v>
      </c>
      <c r="M32">
        <v>35935648</v>
      </c>
      <c r="N32">
        <v>35935648</v>
      </c>
      <c r="O32" t="s">
        <v>113</v>
      </c>
      <c r="P32">
        <v>0</v>
      </c>
      <c r="Q32">
        <v>23061209</v>
      </c>
      <c r="R32" t="s">
        <v>114</v>
      </c>
    </row>
    <row r="33" spans="1:18" x14ac:dyDescent="0.2">
      <c r="A33" t="s">
        <v>115</v>
      </c>
      <c r="B33" t="s">
        <v>116</v>
      </c>
      <c r="C33" t="s">
        <v>20</v>
      </c>
      <c r="E33">
        <v>0</v>
      </c>
      <c r="F33">
        <v>12255460</v>
      </c>
      <c r="G33">
        <v>0</v>
      </c>
      <c r="H33">
        <v>0</v>
      </c>
      <c r="I33">
        <v>0</v>
      </c>
      <c r="J33">
        <v>0</v>
      </c>
      <c r="K33">
        <v>0</v>
      </c>
      <c r="L33">
        <v>12255460</v>
      </c>
      <c r="M33">
        <v>0</v>
      </c>
      <c r="N33">
        <v>0</v>
      </c>
      <c r="O33" t="s">
        <v>66</v>
      </c>
      <c r="P33">
        <v>0</v>
      </c>
      <c r="Q33">
        <v>12255460</v>
      </c>
      <c r="R33" t="s">
        <v>22</v>
      </c>
    </row>
    <row r="34" spans="1:18" x14ac:dyDescent="0.2">
      <c r="A34" t="s">
        <v>117</v>
      </c>
      <c r="B34" t="s">
        <v>118</v>
      </c>
      <c r="C34" t="s">
        <v>20</v>
      </c>
      <c r="E34">
        <v>0</v>
      </c>
      <c r="F34">
        <v>3788626</v>
      </c>
      <c r="G34">
        <v>0</v>
      </c>
      <c r="H34">
        <v>0</v>
      </c>
      <c r="I34">
        <v>0</v>
      </c>
      <c r="J34">
        <v>0</v>
      </c>
      <c r="K34">
        <v>0</v>
      </c>
      <c r="L34">
        <v>3788626</v>
      </c>
      <c r="M34">
        <v>0</v>
      </c>
      <c r="N34">
        <v>0</v>
      </c>
      <c r="O34" t="s">
        <v>66</v>
      </c>
      <c r="P34">
        <v>0</v>
      </c>
      <c r="Q34">
        <v>3788626</v>
      </c>
      <c r="R34" t="s">
        <v>119</v>
      </c>
    </row>
    <row r="35" spans="1:18" x14ac:dyDescent="0.2">
      <c r="A35" t="s">
        <v>120</v>
      </c>
      <c r="B35" t="s">
        <v>121</v>
      </c>
      <c r="C35" t="s">
        <v>20</v>
      </c>
      <c r="E35">
        <v>0</v>
      </c>
      <c r="F35">
        <v>4233417</v>
      </c>
      <c r="G35">
        <v>0</v>
      </c>
      <c r="H35">
        <v>0</v>
      </c>
      <c r="I35">
        <v>0</v>
      </c>
      <c r="J35">
        <v>0</v>
      </c>
      <c r="K35">
        <v>0</v>
      </c>
      <c r="L35">
        <v>4233417</v>
      </c>
      <c r="M35">
        <v>0</v>
      </c>
      <c r="N35">
        <v>0</v>
      </c>
      <c r="O35" t="s">
        <v>66</v>
      </c>
      <c r="P35">
        <v>0</v>
      </c>
      <c r="Q35">
        <v>4233417</v>
      </c>
      <c r="R35" t="s">
        <v>119</v>
      </c>
    </row>
    <row r="36" spans="1:18" x14ac:dyDescent="0.2">
      <c r="A36" t="s">
        <v>122</v>
      </c>
      <c r="B36" t="s">
        <v>123</v>
      </c>
      <c r="C36" t="s">
        <v>20</v>
      </c>
      <c r="E36">
        <v>0</v>
      </c>
      <c r="F36">
        <v>4233417</v>
      </c>
      <c r="G36">
        <v>0</v>
      </c>
      <c r="H36">
        <v>0</v>
      </c>
      <c r="I36">
        <v>0</v>
      </c>
      <c r="J36">
        <v>0</v>
      </c>
      <c r="K36">
        <v>0</v>
      </c>
      <c r="L36">
        <v>4233417</v>
      </c>
      <c r="M36">
        <v>0</v>
      </c>
      <c r="N36">
        <v>0</v>
      </c>
      <c r="O36" t="s">
        <v>66</v>
      </c>
      <c r="P36">
        <v>0</v>
      </c>
      <c r="Q36">
        <v>4233417</v>
      </c>
      <c r="R36" t="s">
        <v>119</v>
      </c>
    </row>
    <row r="37" spans="1:18" x14ac:dyDescent="0.2">
      <c r="A37" t="s">
        <v>124</v>
      </c>
      <c r="B37" t="s">
        <v>125</v>
      </c>
      <c r="C37" t="s">
        <v>20</v>
      </c>
      <c r="E37">
        <v>58996857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58996857</v>
      </c>
      <c r="M37">
        <v>32998456</v>
      </c>
      <c r="N37">
        <v>32998456</v>
      </c>
      <c r="O37" t="s">
        <v>126</v>
      </c>
      <c r="P37">
        <v>0</v>
      </c>
      <c r="Q37">
        <v>25998401</v>
      </c>
      <c r="R37" t="s">
        <v>22</v>
      </c>
    </row>
    <row r="38" spans="1:18" x14ac:dyDescent="0.2">
      <c r="A38" t="s">
        <v>127</v>
      </c>
      <c r="B38" t="s">
        <v>128</v>
      </c>
      <c r="C38" t="s">
        <v>20</v>
      </c>
      <c r="E38">
        <v>58996857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58996857</v>
      </c>
      <c r="M38">
        <v>32998456</v>
      </c>
      <c r="N38">
        <v>32998456</v>
      </c>
      <c r="O38" t="s">
        <v>126</v>
      </c>
      <c r="P38">
        <v>0</v>
      </c>
      <c r="Q38">
        <v>25998401</v>
      </c>
      <c r="R38" t="s">
        <v>22</v>
      </c>
    </row>
    <row r="39" spans="1:18" x14ac:dyDescent="0.2">
      <c r="A39" t="s">
        <v>129</v>
      </c>
      <c r="B39" t="s">
        <v>130</v>
      </c>
      <c r="C39" t="s">
        <v>20</v>
      </c>
      <c r="E39">
        <v>58996857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58996857</v>
      </c>
      <c r="M39">
        <v>32998456</v>
      </c>
      <c r="N39">
        <v>32998456</v>
      </c>
      <c r="O39" t="s">
        <v>126</v>
      </c>
      <c r="P39">
        <v>0</v>
      </c>
      <c r="Q39">
        <v>25998401</v>
      </c>
      <c r="R39" t="s">
        <v>48</v>
      </c>
    </row>
    <row r="40" spans="1:18" x14ac:dyDescent="0.2">
      <c r="A40" t="s">
        <v>131</v>
      </c>
      <c r="B40" t="s">
        <v>132</v>
      </c>
      <c r="C40" t="s">
        <v>20</v>
      </c>
      <c r="E40">
        <v>25228609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25228609</v>
      </c>
      <c r="M40">
        <v>18411100</v>
      </c>
      <c r="N40">
        <v>18411100</v>
      </c>
      <c r="O40" t="s">
        <v>133</v>
      </c>
      <c r="P40">
        <v>17911100</v>
      </c>
      <c r="Q40">
        <v>6817509</v>
      </c>
      <c r="R40" t="s">
        <v>22</v>
      </c>
    </row>
    <row r="41" spans="1:18" x14ac:dyDescent="0.2">
      <c r="A41" t="s">
        <v>134</v>
      </c>
      <c r="B41" t="s">
        <v>135</v>
      </c>
      <c r="C41" t="s">
        <v>20</v>
      </c>
      <c r="E41">
        <v>3500000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3500000</v>
      </c>
      <c r="M41">
        <v>0</v>
      </c>
      <c r="N41">
        <v>0</v>
      </c>
      <c r="O41" t="s">
        <v>66</v>
      </c>
      <c r="P41">
        <v>0</v>
      </c>
      <c r="Q41">
        <v>3500000</v>
      </c>
      <c r="R41" t="s">
        <v>22</v>
      </c>
    </row>
    <row r="42" spans="1:18" x14ac:dyDescent="0.2">
      <c r="A42" t="s">
        <v>136</v>
      </c>
      <c r="B42" t="s">
        <v>137</v>
      </c>
      <c r="C42" t="s">
        <v>20</v>
      </c>
      <c r="E42">
        <v>500000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500000</v>
      </c>
      <c r="M42">
        <v>0</v>
      </c>
      <c r="N42">
        <v>0</v>
      </c>
      <c r="O42" t="s">
        <v>66</v>
      </c>
      <c r="P42">
        <v>0</v>
      </c>
      <c r="Q42">
        <v>500000</v>
      </c>
      <c r="R42" t="s">
        <v>22</v>
      </c>
    </row>
    <row r="43" spans="1:18" x14ac:dyDescent="0.2">
      <c r="A43" t="s">
        <v>138</v>
      </c>
      <c r="B43" t="s">
        <v>139</v>
      </c>
      <c r="C43" t="s">
        <v>20</v>
      </c>
      <c r="E43">
        <v>500000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500000</v>
      </c>
      <c r="M43">
        <v>0</v>
      </c>
      <c r="N43">
        <v>0</v>
      </c>
      <c r="O43" t="s">
        <v>66</v>
      </c>
      <c r="P43">
        <v>0</v>
      </c>
      <c r="Q43">
        <v>500000</v>
      </c>
      <c r="R43" t="s">
        <v>48</v>
      </c>
    </row>
    <row r="44" spans="1:18" x14ac:dyDescent="0.2">
      <c r="A44" t="s">
        <v>140</v>
      </c>
      <c r="B44" t="s">
        <v>141</v>
      </c>
      <c r="C44" t="s">
        <v>20</v>
      </c>
      <c r="E44">
        <v>3000000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3000000</v>
      </c>
      <c r="M44">
        <v>0</v>
      </c>
      <c r="N44">
        <v>0</v>
      </c>
      <c r="O44" t="s">
        <v>66</v>
      </c>
      <c r="P44">
        <v>0</v>
      </c>
      <c r="Q44">
        <v>3000000</v>
      </c>
      <c r="R44" t="s">
        <v>22</v>
      </c>
    </row>
    <row r="45" spans="1:18" x14ac:dyDescent="0.2">
      <c r="A45" t="s">
        <v>142</v>
      </c>
      <c r="B45" t="s">
        <v>143</v>
      </c>
      <c r="C45" t="s">
        <v>20</v>
      </c>
      <c r="E45">
        <v>1500000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1500000</v>
      </c>
      <c r="M45">
        <v>0</v>
      </c>
      <c r="N45">
        <v>0</v>
      </c>
      <c r="O45" t="s">
        <v>66</v>
      </c>
      <c r="P45">
        <v>0</v>
      </c>
      <c r="Q45">
        <v>1500000</v>
      </c>
      <c r="R45" t="s">
        <v>144</v>
      </c>
    </row>
    <row r="46" spans="1:18" x14ac:dyDescent="0.2">
      <c r="A46" t="s">
        <v>145</v>
      </c>
      <c r="B46" t="s">
        <v>146</v>
      </c>
      <c r="C46" t="s">
        <v>20</v>
      </c>
      <c r="E46">
        <v>1500000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1500000</v>
      </c>
      <c r="M46">
        <v>0</v>
      </c>
      <c r="N46">
        <v>0</v>
      </c>
      <c r="O46" t="s">
        <v>66</v>
      </c>
      <c r="P46">
        <v>0</v>
      </c>
      <c r="Q46">
        <v>1500000</v>
      </c>
      <c r="R46" t="s">
        <v>144</v>
      </c>
    </row>
    <row r="47" spans="1:18" x14ac:dyDescent="0.2">
      <c r="A47" t="s">
        <v>147</v>
      </c>
      <c r="B47" t="s">
        <v>148</v>
      </c>
      <c r="C47" t="s">
        <v>20</v>
      </c>
      <c r="E47">
        <v>21728609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21728609</v>
      </c>
      <c r="M47">
        <v>18411100</v>
      </c>
      <c r="N47">
        <v>18411100</v>
      </c>
      <c r="O47" t="s">
        <v>149</v>
      </c>
      <c r="P47">
        <v>17911100</v>
      </c>
      <c r="Q47">
        <v>3317509</v>
      </c>
      <c r="R47" t="s">
        <v>22</v>
      </c>
    </row>
    <row r="48" spans="1:18" x14ac:dyDescent="0.2">
      <c r="A48" t="s">
        <v>150</v>
      </c>
      <c r="B48" t="s">
        <v>139</v>
      </c>
      <c r="C48" t="s">
        <v>20</v>
      </c>
      <c r="E48">
        <v>500000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500000</v>
      </c>
      <c r="M48">
        <v>18411100</v>
      </c>
      <c r="N48">
        <v>18411100</v>
      </c>
      <c r="O48" t="s">
        <v>151</v>
      </c>
      <c r="P48">
        <v>17911100</v>
      </c>
      <c r="Q48">
        <v>-17911100</v>
      </c>
      <c r="R48" t="s">
        <v>48</v>
      </c>
    </row>
    <row r="49" spans="1:18" x14ac:dyDescent="0.2">
      <c r="A49" t="s">
        <v>152</v>
      </c>
      <c r="B49" t="s">
        <v>153</v>
      </c>
      <c r="C49" t="s">
        <v>20</v>
      </c>
      <c r="E49">
        <v>21228609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21228609</v>
      </c>
      <c r="M49">
        <v>0</v>
      </c>
      <c r="N49">
        <v>0</v>
      </c>
      <c r="O49" t="s">
        <v>66</v>
      </c>
      <c r="P49">
        <v>0</v>
      </c>
      <c r="Q49">
        <v>21228609</v>
      </c>
      <c r="R49" t="s">
        <v>48</v>
      </c>
    </row>
    <row r="50" spans="1:18" x14ac:dyDescent="0.2">
      <c r="A50" t="s">
        <v>154</v>
      </c>
      <c r="B50" t="s">
        <v>155</v>
      </c>
      <c r="C50" t="s">
        <v>20</v>
      </c>
      <c r="E50">
        <v>601684211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601684211</v>
      </c>
      <c r="M50">
        <v>273078254.92000192</v>
      </c>
      <c r="N50">
        <v>273078254.92000192</v>
      </c>
      <c r="O50" t="s">
        <v>156</v>
      </c>
      <c r="P50">
        <v>0</v>
      </c>
      <c r="Q50">
        <v>328605956.07999808</v>
      </c>
      <c r="R50" t="s">
        <v>22</v>
      </c>
    </row>
    <row r="51" spans="1:18" x14ac:dyDescent="0.2">
      <c r="A51" t="s">
        <v>157</v>
      </c>
      <c r="B51" t="s">
        <v>158</v>
      </c>
      <c r="C51" t="s">
        <v>20</v>
      </c>
      <c r="E51">
        <v>601684211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601684211</v>
      </c>
      <c r="M51">
        <v>273078254.92000192</v>
      </c>
      <c r="N51">
        <v>273078254.92000192</v>
      </c>
      <c r="O51" t="s">
        <v>156</v>
      </c>
      <c r="P51">
        <v>0</v>
      </c>
      <c r="Q51">
        <v>328605956.07999808</v>
      </c>
      <c r="R51" t="s">
        <v>22</v>
      </c>
    </row>
    <row r="52" spans="1:18" x14ac:dyDescent="0.2">
      <c r="A52" t="s">
        <v>159</v>
      </c>
      <c r="B52" t="s">
        <v>160</v>
      </c>
      <c r="C52" t="s">
        <v>20</v>
      </c>
      <c r="E52">
        <v>580762021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580762021</v>
      </c>
      <c r="M52">
        <v>273078254.92000192</v>
      </c>
      <c r="N52">
        <v>273078254.92000192</v>
      </c>
      <c r="O52" t="s">
        <v>161</v>
      </c>
      <c r="P52">
        <v>0</v>
      </c>
      <c r="Q52">
        <v>307683766.07999808</v>
      </c>
      <c r="R52" t="s">
        <v>22</v>
      </c>
    </row>
    <row r="53" spans="1:18" x14ac:dyDescent="0.2">
      <c r="A53" t="s">
        <v>162</v>
      </c>
      <c r="B53" t="s">
        <v>163</v>
      </c>
      <c r="C53" t="s">
        <v>20</v>
      </c>
      <c r="E53">
        <v>131163559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131163559</v>
      </c>
      <c r="M53">
        <v>77564859.950001195</v>
      </c>
      <c r="N53">
        <v>77564859.95000118</v>
      </c>
      <c r="O53" t="s">
        <v>164</v>
      </c>
      <c r="P53">
        <v>0</v>
      </c>
      <c r="Q53">
        <v>53598699.04999882</v>
      </c>
      <c r="R53" t="s">
        <v>165</v>
      </c>
    </row>
    <row r="54" spans="1:18" x14ac:dyDescent="0.2">
      <c r="A54" t="s">
        <v>166</v>
      </c>
      <c r="B54" t="s">
        <v>167</v>
      </c>
      <c r="C54" t="s">
        <v>20</v>
      </c>
      <c r="E54">
        <v>55347409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55347409</v>
      </c>
      <c r="M54">
        <v>27481518.259999979</v>
      </c>
      <c r="N54">
        <v>27481518.259999979</v>
      </c>
      <c r="O54" t="s">
        <v>168</v>
      </c>
      <c r="P54">
        <v>0</v>
      </c>
      <c r="Q54">
        <v>27865890.740000021</v>
      </c>
      <c r="R54" t="s">
        <v>165</v>
      </c>
    </row>
    <row r="55" spans="1:18" x14ac:dyDescent="0.2">
      <c r="A55" t="s">
        <v>169</v>
      </c>
      <c r="B55" t="s">
        <v>170</v>
      </c>
      <c r="C55" t="s">
        <v>20</v>
      </c>
      <c r="E55">
        <v>63134680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63134680</v>
      </c>
      <c r="M55">
        <v>30188686.350000769</v>
      </c>
      <c r="N55">
        <v>30188686.350000769</v>
      </c>
      <c r="O55" t="s">
        <v>171</v>
      </c>
      <c r="P55">
        <v>0</v>
      </c>
      <c r="Q55">
        <v>32945993.649999231</v>
      </c>
      <c r="R55" t="s">
        <v>165</v>
      </c>
    </row>
    <row r="56" spans="1:18" x14ac:dyDescent="0.2">
      <c r="A56" t="s">
        <v>172</v>
      </c>
      <c r="B56" t="s">
        <v>173</v>
      </c>
      <c r="C56" t="s">
        <v>20</v>
      </c>
      <c r="D56" t="s">
        <v>174</v>
      </c>
      <c r="E56">
        <v>177394675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177394675</v>
      </c>
      <c r="M56">
        <v>73954524.239999995</v>
      </c>
      <c r="N56">
        <v>73954524.239999995</v>
      </c>
      <c r="O56" t="s">
        <v>175</v>
      </c>
      <c r="P56">
        <v>0</v>
      </c>
      <c r="Q56">
        <v>103440150.76000001</v>
      </c>
      <c r="R56" t="s">
        <v>176</v>
      </c>
    </row>
    <row r="57" spans="1:18" x14ac:dyDescent="0.2">
      <c r="A57" t="s">
        <v>177</v>
      </c>
      <c r="B57" t="s">
        <v>178</v>
      </c>
      <c r="C57" t="s">
        <v>20</v>
      </c>
      <c r="D57" t="s">
        <v>179</v>
      </c>
      <c r="E57">
        <v>78292899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78292899</v>
      </c>
      <c r="M57">
        <v>32346899.620000001</v>
      </c>
      <c r="N57">
        <v>32346899.620000001</v>
      </c>
      <c r="O57" t="s">
        <v>180</v>
      </c>
      <c r="P57">
        <v>0</v>
      </c>
      <c r="Q57">
        <v>45945999.380000003</v>
      </c>
      <c r="R57" t="s">
        <v>181</v>
      </c>
    </row>
    <row r="58" spans="1:18" x14ac:dyDescent="0.2">
      <c r="A58" t="s">
        <v>182</v>
      </c>
      <c r="B58" t="s">
        <v>183</v>
      </c>
      <c r="C58" t="s">
        <v>20</v>
      </c>
      <c r="D58" t="s">
        <v>184</v>
      </c>
      <c r="E58">
        <v>75428799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75428799</v>
      </c>
      <c r="M58">
        <v>31541766.5</v>
      </c>
      <c r="N58">
        <v>31541766.5</v>
      </c>
      <c r="O58" t="s">
        <v>185</v>
      </c>
      <c r="P58">
        <v>0</v>
      </c>
      <c r="Q58">
        <v>43887032.5</v>
      </c>
      <c r="R58" t="s">
        <v>186</v>
      </c>
    </row>
    <row r="59" spans="1:18" x14ac:dyDescent="0.2">
      <c r="A59" t="s">
        <v>187</v>
      </c>
      <c r="B59" t="s">
        <v>188</v>
      </c>
      <c r="C59" t="s">
        <v>20</v>
      </c>
      <c r="E59">
        <v>20922190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20922190</v>
      </c>
      <c r="M59">
        <v>0</v>
      </c>
      <c r="N59">
        <v>0</v>
      </c>
      <c r="O59" t="s">
        <v>66</v>
      </c>
      <c r="P59">
        <v>0</v>
      </c>
      <c r="Q59">
        <v>20922190</v>
      </c>
      <c r="R59" t="s">
        <v>22</v>
      </c>
    </row>
    <row r="60" spans="1:18" x14ac:dyDescent="0.2">
      <c r="A60" t="s">
        <v>189</v>
      </c>
      <c r="B60" t="s">
        <v>190</v>
      </c>
      <c r="C60" t="s">
        <v>20</v>
      </c>
      <c r="E60">
        <v>18922190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18922190</v>
      </c>
      <c r="M60">
        <v>0</v>
      </c>
      <c r="N60">
        <v>0</v>
      </c>
      <c r="O60" t="s">
        <v>66</v>
      </c>
      <c r="P60">
        <v>0</v>
      </c>
      <c r="Q60">
        <v>18922190</v>
      </c>
      <c r="R60" t="s">
        <v>48</v>
      </c>
    </row>
    <row r="61" spans="1:18" x14ac:dyDescent="0.2">
      <c r="A61" t="s">
        <v>191</v>
      </c>
      <c r="B61" t="s">
        <v>192</v>
      </c>
      <c r="C61" t="s">
        <v>20</v>
      </c>
      <c r="E61">
        <v>2000000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2000000</v>
      </c>
      <c r="M61">
        <v>0</v>
      </c>
      <c r="N61">
        <v>0</v>
      </c>
      <c r="O61" t="s">
        <v>66</v>
      </c>
      <c r="P61">
        <v>0</v>
      </c>
      <c r="Q61">
        <v>2000000</v>
      </c>
      <c r="R61" t="s">
        <v>48</v>
      </c>
    </row>
    <row r="62" spans="1:18" x14ac:dyDescent="0.2">
      <c r="A62" t="s">
        <v>193</v>
      </c>
      <c r="B62" t="s">
        <v>194</v>
      </c>
      <c r="C62" t="s">
        <v>20</v>
      </c>
      <c r="E62">
        <v>23075559295</v>
      </c>
      <c r="F62">
        <v>11506000</v>
      </c>
      <c r="G62">
        <v>918409614</v>
      </c>
      <c r="H62">
        <v>0</v>
      </c>
      <c r="I62">
        <v>0</v>
      </c>
      <c r="J62">
        <v>0</v>
      </c>
      <c r="K62">
        <v>0</v>
      </c>
      <c r="L62">
        <v>22168655681</v>
      </c>
      <c r="M62">
        <v>9280199816.1799984</v>
      </c>
      <c r="N62">
        <v>9280199816.1799984</v>
      </c>
      <c r="O62" t="s">
        <v>195</v>
      </c>
      <c r="P62">
        <v>0</v>
      </c>
      <c r="Q62">
        <v>12888455864.82</v>
      </c>
      <c r="R62" t="s">
        <v>22</v>
      </c>
    </row>
    <row r="63" spans="1:18" x14ac:dyDescent="0.2">
      <c r="A63" t="s">
        <v>196</v>
      </c>
      <c r="B63" t="s">
        <v>197</v>
      </c>
      <c r="C63" t="s">
        <v>20</v>
      </c>
      <c r="E63">
        <v>15017031481</v>
      </c>
      <c r="F63">
        <v>0</v>
      </c>
      <c r="G63">
        <v>918409614</v>
      </c>
      <c r="H63">
        <v>0</v>
      </c>
      <c r="I63">
        <v>0</v>
      </c>
      <c r="J63">
        <v>0</v>
      </c>
      <c r="K63">
        <v>0</v>
      </c>
      <c r="L63">
        <v>14098621867</v>
      </c>
      <c r="M63">
        <v>5034626147</v>
      </c>
      <c r="N63">
        <v>5034626147</v>
      </c>
      <c r="O63" t="s">
        <v>198</v>
      </c>
      <c r="P63">
        <v>0</v>
      </c>
      <c r="Q63">
        <v>9063995720</v>
      </c>
      <c r="R63" t="s">
        <v>22</v>
      </c>
    </row>
    <row r="64" spans="1:18" x14ac:dyDescent="0.2">
      <c r="A64" t="s">
        <v>199</v>
      </c>
      <c r="B64" t="s">
        <v>200</v>
      </c>
      <c r="C64" t="s">
        <v>20</v>
      </c>
      <c r="E64">
        <v>625208836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625208836</v>
      </c>
      <c r="M64">
        <v>281284035</v>
      </c>
      <c r="N64">
        <v>281284035</v>
      </c>
      <c r="O64" t="s">
        <v>201</v>
      </c>
      <c r="P64">
        <v>0</v>
      </c>
      <c r="Q64">
        <v>343924801</v>
      </c>
      <c r="R64" t="s">
        <v>22</v>
      </c>
    </row>
    <row r="65" spans="1:18" x14ac:dyDescent="0.2">
      <c r="A65" t="s">
        <v>202</v>
      </c>
      <c r="B65" t="s">
        <v>203</v>
      </c>
      <c r="C65" t="s">
        <v>20</v>
      </c>
      <c r="E65">
        <v>625208836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625208836</v>
      </c>
      <c r="M65">
        <v>281284035</v>
      </c>
      <c r="N65">
        <v>281284035</v>
      </c>
      <c r="O65" t="s">
        <v>201</v>
      </c>
      <c r="P65">
        <v>0</v>
      </c>
      <c r="Q65">
        <v>343924801</v>
      </c>
      <c r="R65" t="s">
        <v>22</v>
      </c>
    </row>
    <row r="66" spans="1:18" x14ac:dyDescent="0.2">
      <c r="A66" t="s">
        <v>204</v>
      </c>
      <c r="B66" t="s">
        <v>205</v>
      </c>
      <c r="C66" t="s">
        <v>20</v>
      </c>
      <c r="E66">
        <v>174655711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174655711</v>
      </c>
      <c r="M66">
        <v>62599200</v>
      </c>
      <c r="N66">
        <v>62599200</v>
      </c>
      <c r="O66" t="s">
        <v>206</v>
      </c>
      <c r="P66">
        <v>0</v>
      </c>
      <c r="Q66">
        <v>112056511</v>
      </c>
      <c r="R66" t="s">
        <v>207</v>
      </c>
    </row>
    <row r="67" spans="1:18" x14ac:dyDescent="0.2">
      <c r="A67" t="s">
        <v>208</v>
      </c>
      <c r="B67" t="s">
        <v>209</v>
      </c>
      <c r="C67" t="s">
        <v>20</v>
      </c>
      <c r="E67">
        <v>450553125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450553125</v>
      </c>
      <c r="M67">
        <v>218684835</v>
      </c>
      <c r="N67">
        <v>218684835</v>
      </c>
      <c r="O67" t="s">
        <v>210</v>
      </c>
      <c r="P67">
        <v>0</v>
      </c>
      <c r="Q67">
        <v>231868290</v>
      </c>
      <c r="R67" t="s">
        <v>211</v>
      </c>
    </row>
    <row r="68" spans="1:18" x14ac:dyDescent="0.2">
      <c r="A68" t="s">
        <v>212</v>
      </c>
      <c r="B68" t="s">
        <v>213</v>
      </c>
      <c r="C68" t="s">
        <v>20</v>
      </c>
      <c r="E68">
        <v>5575951282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5575951282</v>
      </c>
      <c r="M68">
        <v>2258403875</v>
      </c>
      <c r="N68">
        <v>2258403875</v>
      </c>
      <c r="O68" t="s">
        <v>214</v>
      </c>
      <c r="P68">
        <v>0</v>
      </c>
      <c r="Q68">
        <v>3317547407</v>
      </c>
      <c r="R68" t="s">
        <v>22</v>
      </c>
    </row>
    <row r="69" spans="1:18" x14ac:dyDescent="0.2">
      <c r="A69" t="s">
        <v>215</v>
      </c>
      <c r="B69" t="s">
        <v>216</v>
      </c>
      <c r="C69" t="s">
        <v>20</v>
      </c>
      <c r="D69" t="s">
        <v>217</v>
      </c>
      <c r="E69">
        <v>5164858462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5164858462</v>
      </c>
      <c r="M69">
        <v>2133097777</v>
      </c>
      <c r="N69">
        <v>2133097777</v>
      </c>
      <c r="O69" t="s">
        <v>218</v>
      </c>
      <c r="P69">
        <v>0</v>
      </c>
      <c r="Q69">
        <v>3031760685</v>
      </c>
      <c r="R69" t="s">
        <v>219</v>
      </c>
    </row>
    <row r="70" spans="1:18" x14ac:dyDescent="0.2">
      <c r="A70" t="s">
        <v>220</v>
      </c>
      <c r="B70" t="s">
        <v>221</v>
      </c>
      <c r="C70" t="s">
        <v>20</v>
      </c>
      <c r="D70" t="s">
        <v>222</v>
      </c>
      <c r="E70">
        <v>411092820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411092820</v>
      </c>
      <c r="M70">
        <v>125306098</v>
      </c>
      <c r="N70">
        <v>125306098</v>
      </c>
      <c r="O70" t="s">
        <v>223</v>
      </c>
      <c r="P70">
        <v>0</v>
      </c>
      <c r="Q70">
        <v>285786722</v>
      </c>
      <c r="R70" t="s">
        <v>224</v>
      </c>
    </row>
    <row r="71" spans="1:18" x14ac:dyDescent="0.2">
      <c r="A71" t="s">
        <v>225</v>
      </c>
      <c r="B71" t="s">
        <v>226</v>
      </c>
      <c r="C71" t="s">
        <v>20</v>
      </c>
      <c r="E71">
        <v>6949193063</v>
      </c>
      <c r="F71">
        <v>0</v>
      </c>
      <c r="G71">
        <v>918409614</v>
      </c>
      <c r="H71">
        <v>0</v>
      </c>
      <c r="I71">
        <v>0</v>
      </c>
      <c r="J71">
        <v>0</v>
      </c>
      <c r="K71">
        <v>0</v>
      </c>
      <c r="L71">
        <v>6030783449</v>
      </c>
      <c r="M71">
        <v>1892401862</v>
      </c>
      <c r="N71">
        <v>1892401862</v>
      </c>
      <c r="O71" t="s">
        <v>227</v>
      </c>
      <c r="P71">
        <v>0</v>
      </c>
      <c r="Q71">
        <v>4138381587</v>
      </c>
      <c r="R71" t="s">
        <v>22</v>
      </c>
    </row>
    <row r="72" spans="1:18" x14ac:dyDescent="0.2">
      <c r="A72" t="s">
        <v>228</v>
      </c>
      <c r="B72" t="s">
        <v>229</v>
      </c>
      <c r="C72" t="s">
        <v>20</v>
      </c>
      <c r="E72">
        <v>177228932</v>
      </c>
      <c r="F72">
        <v>0</v>
      </c>
      <c r="G72">
        <v>59521148</v>
      </c>
      <c r="H72">
        <v>0</v>
      </c>
      <c r="I72">
        <v>0</v>
      </c>
      <c r="J72">
        <v>0</v>
      </c>
      <c r="K72">
        <v>0</v>
      </c>
      <c r="L72">
        <v>117707784</v>
      </c>
      <c r="M72">
        <v>37906412.469999999</v>
      </c>
      <c r="N72">
        <v>37906412.469999999</v>
      </c>
      <c r="O72" t="s">
        <v>230</v>
      </c>
      <c r="P72">
        <v>0</v>
      </c>
      <c r="Q72">
        <v>79801371.530000001</v>
      </c>
      <c r="R72" t="s">
        <v>231</v>
      </c>
    </row>
    <row r="73" spans="1:18" x14ac:dyDescent="0.2">
      <c r="A73" t="s">
        <v>232</v>
      </c>
      <c r="B73" t="s">
        <v>233</v>
      </c>
      <c r="C73" t="s">
        <v>20</v>
      </c>
      <c r="E73">
        <v>132921699</v>
      </c>
      <c r="F73">
        <v>0</v>
      </c>
      <c r="G73">
        <v>44640861</v>
      </c>
      <c r="H73">
        <v>0</v>
      </c>
      <c r="I73">
        <v>0</v>
      </c>
      <c r="J73">
        <v>0</v>
      </c>
      <c r="K73">
        <v>0</v>
      </c>
      <c r="L73">
        <v>88280838</v>
      </c>
      <c r="M73">
        <v>28429809.530000001</v>
      </c>
      <c r="N73">
        <v>28429809.530000001</v>
      </c>
      <c r="O73" t="s">
        <v>230</v>
      </c>
      <c r="P73">
        <v>0</v>
      </c>
      <c r="Q73">
        <v>59851028.469999999</v>
      </c>
      <c r="R73" t="s">
        <v>234</v>
      </c>
    </row>
    <row r="74" spans="1:18" x14ac:dyDescent="0.2">
      <c r="A74" t="s">
        <v>235</v>
      </c>
      <c r="B74" t="s">
        <v>236</v>
      </c>
      <c r="C74" t="s">
        <v>20</v>
      </c>
      <c r="E74">
        <v>3627336157</v>
      </c>
      <c r="F74">
        <v>0</v>
      </c>
      <c r="G74">
        <v>397266966</v>
      </c>
      <c r="H74">
        <v>0</v>
      </c>
      <c r="I74">
        <v>0</v>
      </c>
      <c r="J74">
        <v>0</v>
      </c>
      <c r="K74">
        <v>0</v>
      </c>
      <c r="L74">
        <v>3230069191</v>
      </c>
      <c r="M74">
        <v>1011355991.05</v>
      </c>
      <c r="N74">
        <v>1011355991.05</v>
      </c>
      <c r="O74" t="s">
        <v>237</v>
      </c>
      <c r="P74">
        <v>0</v>
      </c>
      <c r="Q74">
        <v>2218713199.9499998</v>
      </c>
      <c r="R74" t="s">
        <v>238</v>
      </c>
    </row>
    <row r="75" spans="1:18" x14ac:dyDescent="0.2">
      <c r="A75" t="s">
        <v>239</v>
      </c>
      <c r="B75" t="s">
        <v>240</v>
      </c>
      <c r="C75" t="s">
        <v>20</v>
      </c>
      <c r="E75">
        <v>3011706275</v>
      </c>
      <c r="F75">
        <v>0</v>
      </c>
      <c r="G75">
        <v>416980639</v>
      </c>
      <c r="H75">
        <v>0</v>
      </c>
      <c r="I75">
        <v>0</v>
      </c>
      <c r="J75">
        <v>0</v>
      </c>
      <c r="K75">
        <v>0</v>
      </c>
      <c r="L75">
        <v>2594725636</v>
      </c>
      <c r="M75">
        <v>814709648.95000005</v>
      </c>
      <c r="N75">
        <v>814709648.95000005</v>
      </c>
      <c r="O75" t="s">
        <v>241</v>
      </c>
      <c r="P75">
        <v>0</v>
      </c>
      <c r="Q75">
        <v>1780015987.05</v>
      </c>
      <c r="R75" t="s">
        <v>242</v>
      </c>
    </row>
    <row r="76" spans="1:18" x14ac:dyDescent="0.2">
      <c r="A76" t="s">
        <v>243</v>
      </c>
      <c r="B76" t="s">
        <v>244</v>
      </c>
      <c r="C76" t="s">
        <v>20</v>
      </c>
      <c r="E76">
        <v>108490064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108490064</v>
      </c>
      <c r="M76">
        <v>34188872</v>
      </c>
      <c r="N76">
        <v>34188872</v>
      </c>
      <c r="O76" t="s">
        <v>245</v>
      </c>
      <c r="P76">
        <v>0</v>
      </c>
      <c r="Q76">
        <v>74301192</v>
      </c>
      <c r="R76" t="s">
        <v>22</v>
      </c>
    </row>
    <row r="77" spans="1:18" x14ac:dyDescent="0.2">
      <c r="A77" t="s">
        <v>246</v>
      </c>
      <c r="B77" t="s">
        <v>247</v>
      </c>
      <c r="C77" t="s">
        <v>20</v>
      </c>
      <c r="E77">
        <v>108490064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108490064</v>
      </c>
      <c r="M77">
        <v>34188872</v>
      </c>
      <c r="N77">
        <v>34188872</v>
      </c>
      <c r="O77" t="s">
        <v>245</v>
      </c>
      <c r="P77">
        <v>0</v>
      </c>
      <c r="Q77">
        <v>74301192</v>
      </c>
      <c r="R77" t="s">
        <v>248</v>
      </c>
    </row>
    <row r="78" spans="1:18" x14ac:dyDescent="0.2">
      <c r="A78" t="s">
        <v>249</v>
      </c>
      <c r="B78" t="s">
        <v>250</v>
      </c>
      <c r="C78" t="s">
        <v>20</v>
      </c>
      <c r="E78">
        <v>1758188236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1758188236</v>
      </c>
      <c r="M78">
        <v>568347503</v>
      </c>
      <c r="N78">
        <v>568347503</v>
      </c>
      <c r="O78" t="s">
        <v>251</v>
      </c>
      <c r="P78">
        <v>0</v>
      </c>
      <c r="Q78">
        <v>1189840733</v>
      </c>
      <c r="R78" t="s">
        <v>252</v>
      </c>
    </row>
    <row r="79" spans="1:18" x14ac:dyDescent="0.2">
      <c r="A79" t="s">
        <v>253</v>
      </c>
      <c r="B79" t="s">
        <v>254</v>
      </c>
      <c r="C79" t="s">
        <v>20</v>
      </c>
      <c r="E79">
        <v>33421973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33421973</v>
      </c>
      <c r="M79">
        <v>6880698</v>
      </c>
      <c r="N79">
        <v>6880698</v>
      </c>
      <c r="O79" t="s">
        <v>255</v>
      </c>
      <c r="P79">
        <v>0</v>
      </c>
      <c r="Q79">
        <v>26541275</v>
      </c>
      <c r="R79" t="s">
        <v>22</v>
      </c>
    </row>
    <row r="80" spans="1:18" x14ac:dyDescent="0.2">
      <c r="A80" t="s">
        <v>256</v>
      </c>
      <c r="B80" t="s">
        <v>257</v>
      </c>
      <c r="C80" t="s">
        <v>20</v>
      </c>
      <c r="E80">
        <v>33421973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33421973</v>
      </c>
      <c r="M80">
        <v>6880698</v>
      </c>
      <c r="N80">
        <v>6880698</v>
      </c>
      <c r="O80" t="s">
        <v>255</v>
      </c>
      <c r="P80">
        <v>0</v>
      </c>
      <c r="Q80">
        <v>26541275</v>
      </c>
      <c r="R80" t="s">
        <v>22</v>
      </c>
    </row>
    <row r="81" spans="1:18" x14ac:dyDescent="0.2">
      <c r="A81" t="s">
        <v>258</v>
      </c>
      <c r="B81" t="s">
        <v>259</v>
      </c>
      <c r="C81" t="s">
        <v>20</v>
      </c>
      <c r="E81">
        <v>11330000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11330000</v>
      </c>
      <c r="M81">
        <v>0</v>
      </c>
      <c r="N81">
        <v>0</v>
      </c>
      <c r="O81" t="s">
        <v>66</v>
      </c>
      <c r="P81">
        <v>0</v>
      </c>
      <c r="Q81">
        <v>11330000</v>
      </c>
      <c r="R81" t="s">
        <v>48</v>
      </c>
    </row>
    <row r="82" spans="1:18" x14ac:dyDescent="0.2">
      <c r="A82" t="s">
        <v>260</v>
      </c>
      <c r="B82" t="s">
        <v>261</v>
      </c>
      <c r="C82" t="s">
        <v>20</v>
      </c>
      <c r="E82">
        <v>22091973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22091973</v>
      </c>
      <c r="M82">
        <v>6880698</v>
      </c>
      <c r="N82">
        <v>6880698</v>
      </c>
      <c r="O82" t="s">
        <v>262</v>
      </c>
      <c r="P82">
        <v>0</v>
      </c>
      <c r="Q82">
        <v>15211275</v>
      </c>
      <c r="R82" t="s">
        <v>263</v>
      </c>
    </row>
    <row r="83" spans="1:18" x14ac:dyDescent="0.2">
      <c r="A83" t="s">
        <v>264</v>
      </c>
      <c r="B83" t="s">
        <v>265</v>
      </c>
      <c r="C83" t="s">
        <v>20</v>
      </c>
      <c r="E83">
        <v>0</v>
      </c>
      <c r="F83">
        <v>11506000</v>
      </c>
      <c r="G83">
        <v>0</v>
      </c>
      <c r="H83">
        <v>0</v>
      </c>
      <c r="I83">
        <v>0</v>
      </c>
      <c r="J83">
        <v>0</v>
      </c>
      <c r="K83">
        <v>0</v>
      </c>
      <c r="L83">
        <v>11506000</v>
      </c>
      <c r="M83">
        <v>0</v>
      </c>
      <c r="N83">
        <v>0</v>
      </c>
      <c r="O83" t="s">
        <v>66</v>
      </c>
      <c r="P83">
        <v>0</v>
      </c>
      <c r="Q83">
        <v>11506000</v>
      </c>
      <c r="R83" t="s">
        <v>22</v>
      </c>
    </row>
    <row r="84" spans="1:18" x14ac:dyDescent="0.2">
      <c r="A84" t="s">
        <v>266</v>
      </c>
      <c r="B84" t="s">
        <v>267</v>
      </c>
      <c r="C84" t="s">
        <v>20</v>
      </c>
      <c r="E84">
        <v>0</v>
      </c>
      <c r="F84">
        <v>11506000</v>
      </c>
      <c r="G84">
        <v>0</v>
      </c>
      <c r="H84">
        <v>0</v>
      </c>
      <c r="I84">
        <v>0</v>
      </c>
      <c r="J84">
        <v>0</v>
      </c>
      <c r="K84">
        <v>0</v>
      </c>
      <c r="L84">
        <v>11506000</v>
      </c>
      <c r="M84">
        <v>0</v>
      </c>
      <c r="N84">
        <v>0</v>
      </c>
      <c r="O84" t="s">
        <v>66</v>
      </c>
      <c r="P84">
        <v>0</v>
      </c>
      <c r="Q84">
        <v>11506000</v>
      </c>
      <c r="R84" t="s">
        <v>22</v>
      </c>
    </row>
    <row r="85" spans="1:18" x14ac:dyDescent="0.2">
      <c r="A85" t="s">
        <v>268</v>
      </c>
      <c r="B85" t="s">
        <v>269</v>
      </c>
      <c r="C85" t="s">
        <v>20</v>
      </c>
      <c r="E85">
        <v>0</v>
      </c>
      <c r="F85">
        <v>11506000</v>
      </c>
      <c r="G85">
        <v>0</v>
      </c>
      <c r="H85">
        <v>0</v>
      </c>
      <c r="I85">
        <v>0</v>
      </c>
      <c r="J85">
        <v>0</v>
      </c>
      <c r="K85">
        <v>0</v>
      </c>
      <c r="L85">
        <v>11506000</v>
      </c>
      <c r="M85">
        <v>0</v>
      </c>
      <c r="N85">
        <v>0</v>
      </c>
      <c r="O85" t="s">
        <v>66</v>
      </c>
      <c r="P85">
        <v>0</v>
      </c>
      <c r="Q85">
        <v>11506000</v>
      </c>
      <c r="R85" t="s">
        <v>270</v>
      </c>
    </row>
    <row r="86" spans="1:18" x14ac:dyDescent="0.2">
      <c r="A86" t="s">
        <v>271</v>
      </c>
      <c r="B86" t="s">
        <v>272</v>
      </c>
      <c r="C86" t="s">
        <v>20</v>
      </c>
      <c r="E86">
        <v>8025105841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8025105841</v>
      </c>
      <c r="M86">
        <v>4238692971.1799989</v>
      </c>
      <c r="N86">
        <v>4238692971.1799989</v>
      </c>
      <c r="O86" t="s">
        <v>273</v>
      </c>
      <c r="P86">
        <v>0</v>
      </c>
      <c r="Q86">
        <v>3786412869.8200011</v>
      </c>
      <c r="R86" t="s">
        <v>22</v>
      </c>
    </row>
    <row r="87" spans="1:18" x14ac:dyDescent="0.2">
      <c r="A87" t="s">
        <v>274</v>
      </c>
      <c r="B87" t="s">
        <v>275</v>
      </c>
      <c r="C87" t="s">
        <v>20</v>
      </c>
      <c r="E87">
        <v>8025105841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8025105841</v>
      </c>
      <c r="M87">
        <v>4238692971.1799989</v>
      </c>
      <c r="N87">
        <v>4238692971.1799989</v>
      </c>
      <c r="O87" t="s">
        <v>273</v>
      </c>
      <c r="P87">
        <v>0</v>
      </c>
      <c r="Q87">
        <v>3786412869.8200011</v>
      </c>
      <c r="R87" t="s">
        <v>22</v>
      </c>
    </row>
    <row r="88" spans="1:18" x14ac:dyDescent="0.2">
      <c r="A88" t="s">
        <v>276</v>
      </c>
      <c r="B88" t="s">
        <v>277</v>
      </c>
      <c r="C88" t="s">
        <v>20</v>
      </c>
      <c r="D88" t="s">
        <v>217</v>
      </c>
      <c r="E88">
        <v>7705754382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7705754382</v>
      </c>
      <c r="M88">
        <v>4085561906.8199992</v>
      </c>
      <c r="N88">
        <v>4085561906.8199992</v>
      </c>
      <c r="O88" t="s">
        <v>278</v>
      </c>
      <c r="P88">
        <v>0</v>
      </c>
      <c r="Q88">
        <v>3620192475.1800008</v>
      </c>
      <c r="R88" t="s">
        <v>279</v>
      </c>
    </row>
    <row r="89" spans="1:18" x14ac:dyDescent="0.2">
      <c r="A89" t="s">
        <v>280</v>
      </c>
      <c r="B89" t="s">
        <v>281</v>
      </c>
      <c r="C89" t="s">
        <v>20</v>
      </c>
      <c r="D89" t="s">
        <v>217</v>
      </c>
      <c r="E89">
        <v>3396564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3396564</v>
      </c>
      <c r="M89">
        <v>1538907.89</v>
      </c>
      <c r="N89">
        <v>1538907.89</v>
      </c>
      <c r="O89" t="s">
        <v>282</v>
      </c>
      <c r="P89">
        <v>0</v>
      </c>
      <c r="Q89">
        <v>1857656.11</v>
      </c>
      <c r="R89" t="s">
        <v>283</v>
      </c>
    </row>
    <row r="90" spans="1:18" x14ac:dyDescent="0.2">
      <c r="A90" t="s">
        <v>284</v>
      </c>
      <c r="B90" t="s">
        <v>285</v>
      </c>
      <c r="C90" t="s">
        <v>20</v>
      </c>
      <c r="E90">
        <v>315954895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315954895</v>
      </c>
      <c r="M90">
        <v>151592156.47</v>
      </c>
      <c r="N90">
        <v>151592156.47</v>
      </c>
      <c r="O90" t="s">
        <v>286</v>
      </c>
      <c r="P90">
        <v>0</v>
      </c>
      <c r="Q90">
        <v>164362738.53</v>
      </c>
      <c r="R90" t="s">
        <v>22</v>
      </c>
    </row>
    <row r="91" spans="1:18" x14ac:dyDescent="0.2">
      <c r="A91" t="s">
        <v>287</v>
      </c>
      <c r="B91" t="s">
        <v>288</v>
      </c>
      <c r="C91" t="s">
        <v>20</v>
      </c>
      <c r="D91" t="s">
        <v>217</v>
      </c>
      <c r="E91">
        <v>315954895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315954895</v>
      </c>
      <c r="M91">
        <v>151592156.47</v>
      </c>
      <c r="N91">
        <v>151592156.47</v>
      </c>
      <c r="O91" t="s">
        <v>286</v>
      </c>
      <c r="P91">
        <v>0</v>
      </c>
      <c r="Q91">
        <v>164362738.53</v>
      </c>
      <c r="R91" t="s">
        <v>289</v>
      </c>
    </row>
    <row r="92" spans="1:18" x14ac:dyDescent="0.2">
      <c r="A92" t="s">
        <v>290</v>
      </c>
      <c r="B92" t="s">
        <v>291</v>
      </c>
      <c r="C92" t="s">
        <v>20</v>
      </c>
      <c r="E92">
        <v>142024213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142024213</v>
      </c>
      <c r="M92">
        <v>33803129.990000002</v>
      </c>
      <c r="N92">
        <v>33803129.990000002</v>
      </c>
      <c r="O92" t="s">
        <v>292</v>
      </c>
      <c r="P92">
        <v>0</v>
      </c>
      <c r="Q92">
        <v>108221083.01000001</v>
      </c>
      <c r="R92" t="s">
        <v>22</v>
      </c>
    </row>
    <row r="93" spans="1:18" x14ac:dyDescent="0.2">
      <c r="A93" t="s">
        <v>293</v>
      </c>
      <c r="B93" t="s">
        <v>294</v>
      </c>
      <c r="C93" t="s">
        <v>20</v>
      </c>
      <c r="E93">
        <v>142024213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142024213</v>
      </c>
      <c r="M93">
        <v>33803129.990000002</v>
      </c>
      <c r="N93">
        <v>33803129.990000002</v>
      </c>
      <c r="O93" t="s">
        <v>292</v>
      </c>
      <c r="P93">
        <v>0</v>
      </c>
      <c r="Q93">
        <v>108221083.01000001</v>
      </c>
      <c r="R93" t="s">
        <v>22</v>
      </c>
    </row>
    <row r="94" spans="1:18" x14ac:dyDescent="0.2">
      <c r="A94" t="s">
        <v>295</v>
      </c>
      <c r="B94" t="s">
        <v>296</v>
      </c>
      <c r="C94" t="s">
        <v>20</v>
      </c>
      <c r="E94">
        <v>142024213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142024213</v>
      </c>
      <c r="M94">
        <v>33803129.990000002</v>
      </c>
      <c r="N94">
        <v>33803129.990000002</v>
      </c>
      <c r="O94" t="s">
        <v>292</v>
      </c>
      <c r="P94">
        <v>0</v>
      </c>
      <c r="Q94">
        <v>108221083.01000001</v>
      </c>
      <c r="R94" t="s">
        <v>22</v>
      </c>
    </row>
    <row r="95" spans="1:18" x14ac:dyDescent="0.2">
      <c r="A95" t="s">
        <v>297</v>
      </c>
      <c r="B95" t="s">
        <v>298</v>
      </c>
      <c r="C95" t="s">
        <v>20</v>
      </c>
      <c r="D95" t="s">
        <v>217</v>
      </c>
      <c r="E95">
        <v>106032935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106032935</v>
      </c>
      <c r="M95">
        <v>33803129.990000002</v>
      </c>
      <c r="N95">
        <v>33803129.990000002</v>
      </c>
      <c r="O95" t="s">
        <v>299</v>
      </c>
      <c r="P95">
        <v>0</v>
      </c>
      <c r="Q95">
        <v>72229805.00999999</v>
      </c>
      <c r="R95" t="s">
        <v>300</v>
      </c>
    </row>
    <row r="96" spans="1:18" x14ac:dyDescent="0.2">
      <c r="A96" t="s">
        <v>301</v>
      </c>
      <c r="B96" t="s">
        <v>302</v>
      </c>
      <c r="C96" t="s">
        <v>20</v>
      </c>
      <c r="D96" t="s">
        <v>217</v>
      </c>
      <c r="E96">
        <v>35991278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35991278</v>
      </c>
      <c r="M96">
        <v>0</v>
      </c>
      <c r="N96">
        <v>0</v>
      </c>
      <c r="O96" t="s">
        <v>66</v>
      </c>
      <c r="P96">
        <v>0</v>
      </c>
      <c r="Q96">
        <v>35991278</v>
      </c>
      <c r="R96" t="s">
        <v>303</v>
      </c>
    </row>
    <row r="97" spans="1:18" x14ac:dyDescent="0.2">
      <c r="A97" t="s">
        <v>304</v>
      </c>
      <c r="B97" t="s">
        <v>305</v>
      </c>
      <c r="C97" t="s">
        <v>20</v>
      </c>
      <c r="E97">
        <v>2200000</v>
      </c>
      <c r="F97">
        <v>2672756935</v>
      </c>
      <c r="G97">
        <v>0</v>
      </c>
      <c r="H97">
        <v>0</v>
      </c>
      <c r="I97">
        <v>0</v>
      </c>
      <c r="J97">
        <v>0</v>
      </c>
      <c r="K97">
        <v>0</v>
      </c>
      <c r="L97">
        <v>2674956935</v>
      </c>
      <c r="M97">
        <v>452493.92</v>
      </c>
      <c r="N97">
        <v>452493.92</v>
      </c>
      <c r="O97" t="s">
        <v>306</v>
      </c>
      <c r="P97">
        <v>106393.18</v>
      </c>
      <c r="Q97">
        <v>2674504441.0799999</v>
      </c>
      <c r="R97" t="s">
        <v>22</v>
      </c>
    </row>
    <row r="98" spans="1:18" x14ac:dyDescent="0.2">
      <c r="A98" t="s">
        <v>307</v>
      </c>
      <c r="B98" t="s">
        <v>308</v>
      </c>
      <c r="C98" t="s">
        <v>20</v>
      </c>
      <c r="E98">
        <v>2200000</v>
      </c>
      <c r="F98">
        <v>74817285</v>
      </c>
      <c r="G98">
        <v>0</v>
      </c>
      <c r="H98">
        <v>0</v>
      </c>
      <c r="I98">
        <v>0</v>
      </c>
      <c r="J98">
        <v>0</v>
      </c>
      <c r="K98">
        <v>0</v>
      </c>
      <c r="L98">
        <v>77017285</v>
      </c>
      <c r="M98">
        <v>452493.92</v>
      </c>
      <c r="N98">
        <v>452493.92</v>
      </c>
      <c r="O98" t="s">
        <v>309</v>
      </c>
      <c r="P98">
        <v>106393.18</v>
      </c>
      <c r="Q98">
        <v>76564791.079999998</v>
      </c>
      <c r="R98" t="s">
        <v>22</v>
      </c>
    </row>
    <row r="99" spans="1:18" x14ac:dyDescent="0.2">
      <c r="A99" t="s">
        <v>310</v>
      </c>
      <c r="B99" t="s">
        <v>311</v>
      </c>
      <c r="C99" t="s">
        <v>20</v>
      </c>
      <c r="E99">
        <v>2200000</v>
      </c>
      <c r="F99">
        <v>74817285</v>
      </c>
      <c r="G99">
        <v>0</v>
      </c>
      <c r="H99">
        <v>0</v>
      </c>
      <c r="I99">
        <v>0</v>
      </c>
      <c r="J99">
        <v>0</v>
      </c>
      <c r="K99">
        <v>0</v>
      </c>
      <c r="L99">
        <v>77017285</v>
      </c>
      <c r="M99">
        <v>452493.92</v>
      </c>
      <c r="N99">
        <v>452493.92</v>
      </c>
      <c r="O99" t="s">
        <v>309</v>
      </c>
      <c r="P99">
        <v>106393.18</v>
      </c>
      <c r="Q99">
        <v>76564791.079999998</v>
      </c>
      <c r="R99" t="s">
        <v>22</v>
      </c>
    </row>
    <row r="100" spans="1:18" x14ac:dyDescent="0.2">
      <c r="A100" t="s">
        <v>312</v>
      </c>
      <c r="B100" t="s">
        <v>313</v>
      </c>
      <c r="C100" t="s">
        <v>20</v>
      </c>
      <c r="E100">
        <v>100000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100000</v>
      </c>
      <c r="M100">
        <v>0</v>
      </c>
      <c r="N100">
        <v>0</v>
      </c>
      <c r="O100" t="s">
        <v>66</v>
      </c>
      <c r="P100">
        <v>0</v>
      </c>
      <c r="Q100">
        <v>100000</v>
      </c>
      <c r="R100" t="s">
        <v>314</v>
      </c>
    </row>
    <row r="101" spans="1:18" x14ac:dyDescent="0.2">
      <c r="A101" t="s">
        <v>315</v>
      </c>
      <c r="B101" t="s">
        <v>316</v>
      </c>
      <c r="C101" t="s">
        <v>20</v>
      </c>
      <c r="E101">
        <v>100000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100000</v>
      </c>
      <c r="M101">
        <v>0</v>
      </c>
      <c r="N101">
        <v>0</v>
      </c>
      <c r="O101" t="s">
        <v>66</v>
      </c>
      <c r="P101">
        <v>0</v>
      </c>
      <c r="Q101">
        <v>100000</v>
      </c>
      <c r="R101" t="s">
        <v>317</v>
      </c>
    </row>
    <row r="102" spans="1:18" x14ac:dyDescent="0.2">
      <c r="A102" t="s">
        <v>318</v>
      </c>
      <c r="B102" t="s">
        <v>319</v>
      </c>
      <c r="C102" t="s">
        <v>20</v>
      </c>
      <c r="D102" t="s">
        <v>222</v>
      </c>
      <c r="E102">
        <v>100000</v>
      </c>
      <c r="F102">
        <v>1246958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1346958</v>
      </c>
      <c r="M102">
        <v>0</v>
      </c>
      <c r="N102">
        <v>0</v>
      </c>
      <c r="O102" t="s">
        <v>66</v>
      </c>
      <c r="P102">
        <v>0</v>
      </c>
      <c r="Q102">
        <v>1346958</v>
      </c>
      <c r="R102" t="s">
        <v>320</v>
      </c>
    </row>
    <row r="103" spans="1:18" x14ac:dyDescent="0.2">
      <c r="A103" t="s">
        <v>321</v>
      </c>
      <c r="B103" t="s">
        <v>322</v>
      </c>
      <c r="C103" t="s">
        <v>20</v>
      </c>
      <c r="E103">
        <v>100000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100000</v>
      </c>
      <c r="M103">
        <v>0</v>
      </c>
      <c r="N103">
        <v>0</v>
      </c>
      <c r="O103" t="s">
        <v>66</v>
      </c>
      <c r="P103">
        <v>0</v>
      </c>
      <c r="Q103">
        <v>100000</v>
      </c>
      <c r="R103" t="s">
        <v>323</v>
      </c>
    </row>
    <row r="104" spans="1:18" x14ac:dyDescent="0.2">
      <c r="A104" t="s">
        <v>324</v>
      </c>
      <c r="B104" t="s">
        <v>325</v>
      </c>
      <c r="C104" t="s">
        <v>20</v>
      </c>
      <c r="E104">
        <v>100000</v>
      </c>
      <c r="F104">
        <v>33859033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33959033</v>
      </c>
      <c r="M104">
        <v>0</v>
      </c>
      <c r="N104">
        <v>0</v>
      </c>
      <c r="O104" t="s">
        <v>66</v>
      </c>
      <c r="P104">
        <v>0</v>
      </c>
      <c r="Q104">
        <v>33959033</v>
      </c>
      <c r="R104" t="s">
        <v>326</v>
      </c>
    </row>
    <row r="105" spans="1:18" x14ac:dyDescent="0.2">
      <c r="A105" t="s">
        <v>327</v>
      </c>
      <c r="B105" t="s">
        <v>328</v>
      </c>
      <c r="C105" t="s">
        <v>20</v>
      </c>
      <c r="E105">
        <v>100000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100000</v>
      </c>
      <c r="M105">
        <v>0</v>
      </c>
      <c r="N105">
        <v>0</v>
      </c>
      <c r="O105" t="s">
        <v>66</v>
      </c>
      <c r="P105">
        <v>0</v>
      </c>
      <c r="Q105">
        <v>100000</v>
      </c>
      <c r="R105" t="s">
        <v>329</v>
      </c>
    </row>
    <row r="106" spans="1:18" x14ac:dyDescent="0.2">
      <c r="A106" t="s">
        <v>330</v>
      </c>
      <c r="B106" t="s">
        <v>331</v>
      </c>
      <c r="C106" t="s">
        <v>20</v>
      </c>
      <c r="E106">
        <v>100000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100000</v>
      </c>
      <c r="M106">
        <v>0</v>
      </c>
      <c r="N106">
        <v>0</v>
      </c>
      <c r="O106" t="s">
        <v>66</v>
      </c>
      <c r="P106">
        <v>0</v>
      </c>
      <c r="Q106">
        <v>100000</v>
      </c>
      <c r="R106" t="s">
        <v>332</v>
      </c>
    </row>
    <row r="107" spans="1:18" x14ac:dyDescent="0.2">
      <c r="A107" t="s">
        <v>333</v>
      </c>
      <c r="B107" t="s">
        <v>334</v>
      </c>
      <c r="C107" t="s">
        <v>20</v>
      </c>
      <c r="E107">
        <v>100000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100000</v>
      </c>
      <c r="M107">
        <v>0</v>
      </c>
      <c r="N107">
        <v>0</v>
      </c>
      <c r="O107" t="s">
        <v>66</v>
      </c>
      <c r="P107">
        <v>0</v>
      </c>
      <c r="Q107">
        <v>100000</v>
      </c>
      <c r="R107" t="s">
        <v>335</v>
      </c>
    </row>
    <row r="108" spans="1:18" x14ac:dyDescent="0.2">
      <c r="A108" t="s">
        <v>336</v>
      </c>
      <c r="B108" t="s">
        <v>337</v>
      </c>
      <c r="C108" t="s">
        <v>20</v>
      </c>
      <c r="D108" t="s">
        <v>217</v>
      </c>
      <c r="E108">
        <v>100000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100000</v>
      </c>
      <c r="M108">
        <v>0</v>
      </c>
      <c r="N108">
        <v>0</v>
      </c>
      <c r="O108" t="s">
        <v>66</v>
      </c>
      <c r="P108">
        <v>0</v>
      </c>
      <c r="Q108">
        <v>100000</v>
      </c>
      <c r="R108" t="s">
        <v>338</v>
      </c>
    </row>
    <row r="109" spans="1:18" x14ac:dyDescent="0.2">
      <c r="A109" t="s">
        <v>339</v>
      </c>
      <c r="B109" t="s">
        <v>340</v>
      </c>
      <c r="C109" t="s">
        <v>20</v>
      </c>
      <c r="E109">
        <v>100000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100000</v>
      </c>
      <c r="M109">
        <v>67077</v>
      </c>
      <c r="N109">
        <v>67077</v>
      </c>
      <c r="O109" t="s">
        <v>341</v>
      </c>
      <c r="P109">
        <v>0</v>
      </c>
      <c r="Q109">
        <v>32923</v>
      </c>
      <c r="R109" t="s">
        <v>342</v>
      </c>
    </row>
    <row r="110" spans="1:18" x14ac:dyDescent="0.2">
      <c r="A110" t="s">
        <v>343</v>
      </c>
      <c r="B110" t="s">
        <v>344</v>
      </c>
      <c r="C110" t="s">
        <v>20</v>
      </c>
      <c r="E110">
        <v>100000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100000</v>
      </c>
      <c r="M110">
        <v>140</v>
      </c>
      <c r="N110">
        <v>140</v>
      </c>
      <c r="O110" t="s">
        <v>345</v>
      </c>
      <c r="P110">
        <v>0</v>
      </c>
      <c r="Q110">
        <v>99860</v>
      </c>
      <c r="R110" t="s">
        <v>346</v>
      </c>
    </row>
    <row r="111" spans="1:18" x14ac:dyDescent="0.2">
      <c r="A111" t="s">
        <v>347</v>
      </c>
      <c r="B111" t="s">
        <v>348</v>
      </c>
      <c r="C111" t="s">
        <v>20</v>
      </c>
      <c r="E111">
        <v>100000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100000</v>
      </c>
      <c r="M111">
        <v>1708</v>
      </c>
      <c r="N111">
        <v>1708</v>
      </c>
      <c r="O111" t="s">
        <v>349</v>
      </c>
      <c r="P111">
        <v>0</v>
      </c>
      <c r="Q111">
        <v>98292</v>
      </c>
      <c r="R111" t="s">
        <v>350</v>
      </c>
    </row>
    <row r="112" spans="1:18" x14ac:dyDescent="0.2">
      <c r="A112" t="s">
        <v>351</v>
      </c>
      <c r="B112" t="s">
        <v>352</v>
      </c>
      <c r="C112" t="s">
        <v>20</v>
      </c>
      <c r="E112">
        <v>100000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100000</v>
      </c>
      <c r="M112">
        <v>7483</v>
      </c>
      <c r="N112">
        <v>7483</v>
      </c>
      <c r="O112" t="s">
        <v>353</v>
      </c>
      <c r="P112">
        <v>0</v>
      </c>
      <c r="Q112">
        <v>92517</v>
      </c>
      <c r="R112" t="s">
        <v>354</v>
      </c>
    </row>
    <row r="113" spans="1:18" x14ac:dyDescent="0.2">
      <c r="A113" t="s">
        <v>355</v>
      </c>
      <c r="B113" t="s">
        <v>356</v>
      </c>
      <c r="C113" t="s">
        <v>20</v>
      </c>
      <c r="E113">
        <v>100000</v>
      </c>
      <c r="F113">
        <v>305089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405089</v>
      </c>
      <c r="M113">
        <v>0</v>
      </c>
      <c r="N113">
        <v>0</v>
      </c>
      <c r="O113" t="s">
        <v>66</v>
      </c>
      <c r="P113">
        <v>0</v>
      </c>
      <c r="Q113">
        <v>405089</v>
      </c>
      <c r="R113" t="s">
        <v>357</v>
      </c>
    </row>
    <row r="114" spans="1:18" x14ac:dyDescent="0.2">
      <c r="A114" t="s">
        <v>358</v>
      </c>
      <c r="B114" t="s">
        <v>359</v>
      </c>
      <c r="C114" t="s">
        <v>20</v>
      </c>
      <c r="E114">
        <v>100000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100000</v>
      </c>
      <c r="M114">
        <v>5431.95</v>
      </c>
      <c r="N114">
        <v>5431.95</v>
      </c>
      <c r="O114" t="s">
        <v>360</v>
      </c>
      <c r="P114">
        <v>0</v>
      </c>
      <c r="Q114">
        <v>94568.05</v>
      </c>
      <c r="R114" t="s">
        <v>361</v>
      </c>
    </row>
    <row r="115" spans="1:18" x14ac:dyDescent="0.2">
      <c r="A115" t="s">
        <v>362</v>
      </c>
      <c r="B115" t="s">
        <v>363</v>
      </c>
      <c r="C115" t="s">
        <v>20</v>
      </c>
      <c r="D115" t="s">
        <v>217</v>
      </c>
      <c r="E115">
        <v>100000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100000</v>
      </c>
      <c r="M115">
        <v>66259.790000000008</v>
      </c>
      <c r="N115">
        <v>66259.790000000008</v>
      </c>
      <c r="O115" t="s">
        <v>364</v>
      </c>
      <c r="P115">
        <v>0</v>
      </c>
      <c r="Q115">
        <v>33740.209999999992</v>
      </c>
      <c r="R115" t="s">
        <v>365</v>
      </c>
    </row>
    <row r="116" spans="1:18" x14ac:dyDescent="0.2">
      <c r="A116" t="s">
        <v>366</v>
      </c>
      <c r="B116" t="s">
        <v>367</v>
      </c>
      <c r="C116" t="s">
        <v>20</v>
      </c>
      <c r="E116">
        <v>100000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100000</v>
      </c>
      <c r="M116">
        <v>25360</v>
      </c>
      <c r="N116">
        <v>25360</v>
      </c>
      <c r="O116" t="s">
        <v>368</v>
      </c>
      <c r="P116">
        <v>0</v>
      </c>
      <c r="Q116">
        <v>74640</v>
      </c>
      <c r="R116" t="s">
        <v>369</v>
      </c>
    </row>
    <row r="117" spans="1:18" x14ac:dyDescent="0.2">
      <c r="A117" t="s">
        <v>370</v>
      </c>
      <c r="B117" t="s">
        <v>371</v>
      </c>
      <c r="C117" t="s">
        <v>20</v>
      </c>
      <c r="D117" t="s">
        <v>217</v>
      </c>
      <c r="E117">
        <v>100000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100000</v>
      </c>
      <c r="M117">
        <v>0</v>
      </c>
      <c r="N117">
        <v>0</v>
      </c>
      <c r="O117" t="s">
        <v>66</v>
      </c>
      <c r="P117">
        <v>0</v>
      </c>
      <c r="Q117">
        <v>100000</v>
      </c>
      <c r="R117" t="s">
        <v>372</v>
      </c>
    </row>
    <row r="118" spans="1:18" x14ac:dyDescent="0.2">
      <c r="A118" t="s">
        <v>373</v>
      </c>
      <c r="B118" t="s">
        <v>374</v>
      </c>
      <c r="C118" t="s">
        <v>20</v>
      </c>
      <c r="E118">
        <v>100000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100000</v>
      </c>
      <c r="M118">
        <v>344</v>
      </c>
      <c r="N118">
        <v>344</v>
      </c>
      <c r="O118" t="s">
        <v>375</v>
      </c>
      <c r="P118">
        <v>0</v>
      </c>
      <c r="Q118">
        <v>99656</v>
      </c>
      <c r="R118" t="s">
        <v>376</v>
      </c>
    </row>
    <row r="119" spans="1:18" x14ac:dyDescent="0.2">
      <c r="A119" t="s">
        <v>377</v>
      </c>
      <c r="B119" t="s">
        <v>378</v>
      </c>
      <c r="C119" t="s">
        <v>20</v>
      </c>
      <c r="E119">
        <v>100000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100000</v>
      </c>
      <c r="M119">
        <v>16597</v>
      </c>
      <c r="N119">
        <v>16597</v>
      </c>
      <c r="O119" t="s">
        <v>379</v>
      </c>
      <c r="P119">
        <v>0</v>
      </c>
      <c r="Q119">
        <v>83403</v>
      </c>
      <c r="R119" t="s">
        <v>380</v>
      </c>
    </row>
    <row r="120" spans="1:18" x14ac:dyDescent="0.2">
      <c r="A120" t="s">
        <v>381</v>
      </c>
      <c r="B120" t="s">
        <v>382</v>
      </c>
      <c r="C120" t="s">
        <v>20</v>
      </c>
      <c r="E120">
        <v>100000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100000</v>
      </c>
      <c r="M120">
        <v>47252</v>
      </c>
      <c r="N120">
        <v>47252</v>
      </c>
      <c r="O120" t="s">
        <v>383</v>
      </c>
      <c r="P120">
        <v>0</v>
      </c>
      <c r="Q120">
        <v>52748</v>
      </c>
      <c r="R120" t="s">
        <v>384</v>
      </c>
    </row>
    <row r="121" spans="1:18" x14ac:dyDescent="0.2">
      <c r="A121" t="s">
        <v>385</v>
      </c>
      <c r="B121" t="s">
        <v>386</v>
      </c>
      <c r="C121" t="s">
        <v>20</v>
      </c>
      <c r="E121">
        <v>100000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100000</v>
      </c>
      <c r="M121">
        <v>182207.18</v>
      </c>
      <c r="N121">
        <v>182207.18</v>
      </c>
      <c r="O121" t="s">
        <v>387</v>
      </c>
      <c r="P121">
        <v>82207.179999999993</v>
      </c>
      <c r="Q121">
        <v>-82207.179999999993</v>
      </c>
      <c r="R121" t="s">
        <v>388</v>
      </c>
    </row>
    <row r="122" spans="1:18" x14ac:dyDescent="0.2">
      <c r="A122" t="s">
        <v>389</v>
      </c>
      <c r="B122" t="s">
        <v>390</v>
      </c>
      <c r="C122" t="s">
        <v>20</v>
      </c>
      <c r="D122" t="s">
        <v>217</v>
      </c>
      <c r="E122">
        <v>0</v>
      </c>
      <c r="F122">
        <v>68666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68666</v>
      </c>
      <c r="M122">
        <v>0</v>
      </c>
      <c r="N122">
        <v>0</v>
      </c>
      <c r="O122" t="s">
        <v>66</v>
      </c>
      <c r="P122">
        <v>0</v>
      </c>
      <c r="Q122">
        <v>68666</v>
      </c>
      <c r="R122" t="s">
        <v>391</v>
      </c>
    </row>
    <row r="123" spans="1:18" x14ac:dyDescent="0.2">
      <c r="A123" t="s">
        <v>392</v>
      </c>
      <c r="B123" t="s">
        <v>393</v>
      </c>
      <c r="C123" t="s">
        <v>20</v>
      </c>
      <c r="E123">
        <v>0</v>
      </c>
      <c r="F123">
        <v>964878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964878</v>
      </c>
      <c r="M123">
        <v>586</v>
      </c>
      <c r="N123">
        <v>586</v>
      </c>
      <c r="O123" t="s">
        <v>394</v>
      </c>
      <c r="P123">
        <v>0</v>
      </c>
      <c r="Q123">
        <v>964292</v>
      </c>
      <c r="R123" t="s">
        <v>395</v>
      </c>
    </row>
    <row r="124" spans="1:18" x14ac:dyDescent="0.2">
      <c r="A124" t="s">
        <v>396</v>
      </c>
      <c r="B124" t="s">
        <v>397</v>
      </c>
      <c r="C124" t="s">
        <v>20</v>
      </c>
      <c r="E124">
        <v>0</v>
      </c>
      <c r="F124">
        <v>78760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78760</v>
      </c>
      <c r="M124">
        <v>2244</v>
      </c>
      <c r="N124">
        <v>2244</v>
      </c>
      <c r="O124" t="s">
        <v>398</v>
      </c>
      <c r="P124">
        <v>0</v>
      </c>
      <c r="Q124">
        <v>76516</v>
      </c>
      <c r="R124" t="s">
        <v>399</v>
      </c>
    </row>
    <row r="125" spans="1:18" x14ac:dyDescent="0.2">
      <c r="A125" t="s">
        <v>400</v>
      </c>
      <c r="B125" t="s">
        <v>401</v>
      </c>
      <c r="C125" t="s">
        <v>20</v>
      </c>
      <c r="D125" t="s">
        <v>217</v>
      </c>
      <c r="E125">
        <v>0</v>
      </c>
      <c r="F125">
        <v>21155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21155</v>
      </c>
      <c r="M125">
        <v>22</v>
      </c>
      <c r="N125">
        <v>22</v>
      </c>
      <c r="O125" t="s">
        <v>402</v>
      </c>
      <c r="P125">
        <v>0</v>
      </c>
      <c r="Q125">
        <v>21133</v>
      </c>
      <c r="R125" t="s">
        <v>403</v>
      </c>
    </row>
    <row r="126" spans="1:18" x14ac:dyDescent="0.2">
      <c r="A126" t="s">
        <v>404</v>
      </c>
      <c r="B126" t="s">
        <v>405</v>
      </c>
      <c r="C126" t="s">
        <v>20</v>
      </c>
      <c r="E126">
        <v>0</v>
      </c>
      <c r="F126">
        <v>5073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5073</v>
      </c>
      <c r="M126">
        <v>29259</v>
      </c>
      <c r="N126">
        <v>29259</v>
      </c>
      <c r="O126" t="s">
        <v>406</v>
      </c>
      <c r="P126">
        <v>24186</v>
      </c>
      <c r="Q126">
        <v>-24186</v>
      </c>
      <c r="R126" t="s">
        <v>407</v>
      </c>
    </row>
    <row r="127" spans="1:18" x14ac:dyDescent="0.2">
      <c r="A127" t="s">
        <v>408</v>
      </c>
      <c r="B127" t="s">
        <v>409</v>
      </c>
      <c r="C127" t="s">
        <v>20</v>
      </c>
      <c r="E127">
        <v>0</v>
      </c>
      <c r="F127">
        <v>44241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44241</v>
      </c>
      <c r="M127">
        <v>0</v>
      </c>
      <c r="N127">
        <v>0</v>
      </c>
      <c r="O127" t="s">
        <v>66</v>
      </c>
      <c r="P127">
        <v>0</v>
      </c>
      <c r="Q127">
        <v>44241</v>
      </c>
      <c r="R127" t="s">
        <v>410</v>
      </c>
    </row>
    <row r="128" spans="1:18" x14ac:dyDescent="0.2">
      <c r="A128" t="s">
        <v>411</v>
      </c>
      <c r="B128" t="s">
        <v>412</v>
      </c>
      <c r="C128" t="s">
        <v>20</v>
      </c>
      <c r="E128">
        <v>0</v>
      </c>
      <c r="F128">
        <v>444819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444819</v>
      </c>
      <c r="M128">
        <v>0</v>
      </c>
      <c r="N128">
        <v>0</v>
      </c>
      <c r="O128" t="s">
        <v>66</v>
      </c>
      <c r="P128">
        <v>0</v>
      </c>
      <c r="Q128">
        <v>444819</v>
      </c>
      <c r="R128" t="s">
        <v>413</v>
      </c>
    </row>
    <row r="129" spans="1:18" x14ac:dyDescent="0.2">
      <c r="A129" t="s">
        <v>414</v>
      </c>
      <c r="B129" t="s">
        <v>415</v>
      </c>
      <c r="C129" t="s">
        <v>20</v>
      </c>
      <c r="E129">
        <v>0</v>
      </c>
      <c r="F129">
        <v>190945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190945</v>
      </c>
      <c r="M129">
        <v>420</v>
      </c>
      <c r="N129">
        <v>420</v>
      </c>
      <c r="O129" t="s">
        <v>416</v>
      </c>
      <c r="P129">
        <v>0</v>
      </c>
      <c r="Q129">
        <v>190525</v>
      </c>
      <c r="R129" t="s">
        <v>417</v>
      </c>
    </row>
    <row r="130" spans="1:18" x14ac:dyDescent="0.2">
      <c r="A130" t="s">
        <v>418</v>
      </c>
      <c r="B130" t="s">
        <v>419</v>
      </c>
      <c r="C130" t="s">
        <v>20</v>
      </c>
      <c r="E130">
        <v>0</v>
      </c>
      <c r="F130">
        <v>66818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66818</v>
      </c>
      <c r="M130">
        <v>103</v>
      </c>
      <c r="N130">
        <v>103</v>
      </c>
      <c r="O130" t="s">
        <v>420</v>
      </c>
      <c r="P130">
        <v>0</v>
      </c>
      <c r="Q130">
        <v>66715</v>
      </c>
      <c r="R130" t="s">
        <v>421</v>
      </c>
    </row>
    <row r="131" spans="1:18" x14ac:dyDescent="0.2">
      <c r="A131" t="s">
        <v>422</v>
      </c>
      <c r="B131" t="s">
        <v>423</v>
      </c>
      <c r="C131" t="s">
        <v>20</v>
      </c>
      <c r="D131" t="s">
        <v>217</v>
      </c>
      <c r="E131">
        <v>0</v>
      </c>
      <c r="F131">
        <v>40180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40180</v>
      </c>
      <c r="M131">
        <v>0</v>
      </c>
      <c r="N131">
        <v>0</v>
      </c>
      <c r="O131" t="s">
        <v>66</v>
      </c>
      <c r="P131">
        <v>0</v>
      </c>
      <c r="Q131">
        <v>40180</v>
      </c>
      <c r="R131" t="s">
        <v>424</v>
      </c>
    </row>
    <row r="132" spans="1:18" x14ac:dyDescent="0.2">
      <c r="A132" t="s">
        <v>425</v>
      </c>
      <c r="B132" t="s">
        <v>426</v>
      </c>
      <c r="C132" t="s">
        <v>20</v>
      </c>
      <c r="E132">
        <v>0</v>
      </c>
      <c r="F132">
        <v>2944082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2944082</v>
      </c>
      <c r="M132">
        <v>0</v>
      </c>
      <c r="N132">
        <v>0</v>
      </c>
      <c r="O132" t="s">
        <v>66</v>
      </c>
      <c r="P132">
        <v>0</v>
      </c>
      <c r="Q132">
        <v>2944082</v>
      </c>
      <c r="R132" t="s">
        <v>427</v>
      </c>
    </row>
    <row r="133" spans="1:18" x14ac:dyDescent="0.2">
      <c r="A133" t="s">
        <v>428</v>
      </c>
      <c r="B133" t="s">
        <v>429</v>
      </c>
      <c r="C133" t="s">
        <v>20</v>
      </c>
      <c r="E133">
        <v>0</v>
      </c>
      <c r="F133">
        <v>2528388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2528388</v>
      </c>
      <c r="M133">
        <v>0</v>
      </c>
      <c r="N133">
        <v>0</v>
      </c>
      <c r="O133" t="s">
        <v>66</v>
      </c>
      <c r="P133">
        <v>0</v>
      </c>
      <c r="Q133">
        <v>2528388</v>
      </c>
      <c r="R133" t="s">
        <v>430</v>
      </c>
    </row>
    <row r="134" spans="1:18" x14ac:dyDescent="0.2">
      <c r="A134" t="s">
        <v>431</v>
      </c>
      <c r="B134" t="s">
        <v>432</v>
      </c>
      <c r="C134" t="s">
        <v>20</v>
      </c>
      <c r="E134">
        <v>0</v>
      </c>
      <c r="F134">
        <v>32008200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32008200</v>
      </c>
      <c r="M134">
        <v>0</v>
      </c>
      <c r="N134">
        <v>0</v>
      </c>
      <c r="O134" t="s">
        <v>66</v>
      </c>
      <c r="P134">
        <v>0</v>
      </c>
      <c r="Q134">
        <v>32008200</v>
      </c>
      <c r="R134" t="s">
        <v>433</v>
      </c>
    </row>
    <row r="135" spans="1:18" x14ac:dyDescent="0.2">
      <c r="A135" t="s">
        <v>434</v>
      </c>
      <c r="B135" t="s">
        <v>435</v>
      </c>
      <c r="C135" t="s">
        <v>20</v>
      </c>
      <c r="E135">
        <v>0</v>
      </c>
      <c r="F135">
        <v>2597939650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2597939650</v>
      </c>
      <c r="M135">
        <v>0</v>
      </c>
      <c r="N135">
        <v>0</v>
      </c>
      <c r="O135" t="s">
        <v>66</v>
      </c>
      <c r="P135">
        <v>0</v>
      </c>
      <c r="Q135">
        <v>2597939650</v>
      </c>
      <c r="R135" t="s">
        <v>22</v>
      </c>
    </row>
    <row r="136" spans="1:18" x14ac:dyDescent="0.2">
      <c r="A136" t="s">
        <v>436</v>
      </c>
      <c r="B136" t="s">
        <v>437</v>
      </c>
      <c r="C136" t="s">
        <v>20</v>
      </c>
      <c r="E136">
        <v>0</v>
      </c>
      <c r="F136">
        <v>2597939650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2597939650</v>
      </c>
      <c r="M136">
        <v>0</v>
      </c>
      <c r="N136">
        <v>0</v>
      </c>
      <c r="O136" t="s">
        <v>66</v>
      </c>
      <c r="P136">
        <v>0</v>
      </c>
      <c r="Q136">
        <v>2597939650</v>
      </c>
      <c r="R136" t="s">
        <v>22</v>
      </c>
    </row>
    <row r="137" spans="1:18" x14ac:dyDescent="0.2">
      <c r="A137" t="s">
        <v>438</v>
      </c>
      <c r="B137" t="s">
        <v>439</v>
      </c>
      <c r="C137" t="s">
        <v>20</v>
      </c>
      <c r="E137">
        <v>0</v>
      </c>
      <c r="F137">
        <v>90719950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90719950</v>
      </c>
      <c r="M137">
        <v>0</v>
      </c>
      <c r="N137">
        <v>0</v>
      </c>
      <c r="O137" t="s">
        <v>66</v>
      </c>
      <c r="P137">
        <v>0</v>
      </c>
      <c r="Q137">
        <v>90719950</v>
      </c>
      <c r="R137" t="s">
        <v>440</v>
      </c>
    </row>
    <row r="138" spans="1:18" x14ac:dyDescent="0.2">
      <c r="A138" t="s">
        <v>438</v>
      </c>
      <c r="B138" t="s">
        <v>439</v>
      </c>
      <c r="C138" t="s">
        <v>20</v>
      </c>
      <c r="E138">
        <v>0</v>
      </c>
      <c r="F138">
        <v>99565927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99565927</v>
      </c>
      <c r="M138">
        <v>0</v>
      </c>
      <c r="N138">
        <v>0</v>
      </c>
      <c r="O138" t="s">
        <v>66</v>
      </c>
      <c r="P138">
        <v>0</v>
      </c>
      <c r="Q138">
        <v>99565927</v>
      </c>
      <c r="R138" t="s">
        <v>441</v>
      </c>
    </row>
    <row r="139" spans="1:18" x14ac:dyDescent="0.2">
      <c r="A139" t="s">
        <v>442</v>
      </c>
      <c r="B139" t="s">
        <v>439</v>
      </c>
      <c r="C139" t="s">
        <v>20</v>
      </c>
      <c r="E139">
        <v>0</v>
      </c>
      <c r="F139">
        <v>115911592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115911592</v>
      </c>
      <c r="M139">
        <v>0</v>
      </c>
      <c r="N139">
        <v>0</v>
      </c>
      <c r="O139" t="s">
        <v>66</v>
      </c>
      <c r="P139">
        <v>0</v>
      </c>
      <c r="Q139">
        <v>115911592</v>
      </c>
      <c r="R139" t="s">
        <v>443</v>
      </c>
    </row>
    <row r="140" spans="1:18" x14ac:dyDescent="0.2">
      <c r="A140" t="s">
        <v>444</v>
      </c>
      <c r="B140" t="s">
        <v>439</v>
      </c>
      <c r="C140" t="s">
        <v>20</v>
      </c>
      <c r="E140">
        <v>0</v>
      </c>
      <c r="F140">
        <v>4021970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4021970</v>
      </c>
      <c r="M140">
        <v>0</v>
      </c>
      <c r="N140">
        <v>0</v>
      </c>
      <c r="O140" t="s">
        <v>66</v>
      </c>
      <c r="P140">
        <v>0</v>
      </c>
      <c r="Q140">
        <v>4021970</v>
      </c>
      <c r="R140" t="s">
        <v>445</v>
      </c>
    </row>
    <row r="141" spans="1:18" x14ac:dyDescent="0.2">
      <c r="A141" t="s">
        <v>446</v>
      </c>
      <c r="B141" t="s">
        <v>439</v>
      </c>
      <c r="C141" t="s">
        <v>20</v>
      </c>
      <c r="E141">
        <v>0</v>
      </c>
      <c r="F141">
        <v>8887000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8887000</v>
      </c>
      <c r="M141">
        <v>0</v>
      </c>
      <c r="N141">
        <v>0</v>
      </c>
      <c r="O141" t="s">
        <v>66</v>
      </c>
      <c r="P141">
        <v>0</v>
      </c>
      <c r="Q141">
        <v>8887000</v>
      </c>
      <c r="R141" t="s">
        <v>447</v>
      </c>
    </row>
    <row r="142" spans="1:18" x14ac:dyDescent="0.2">
      <c r="A142" t="s">
        <v>448</v>
      </c>
      <c r="B142" t="s">
        <v>439</v>
      </c>
      <c r="C142" t="s">
        <v>20</v>
      </c>
      <c r="E142">
        <v>0</v>
      </c>
      <c r="F142">
        <v>618954316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618954316</v>
      </c>
      <c r="M142">
        <v>0</v>
      </c>
      <c r="N142">
        <v>0</v>
      </c>
      <c r="O142" t="s">
        <v>66</v>
      </c>
      <c r="P142">
        <v>0</v>
      </c>
      <c r="Q142">
        <v>618954316</v>
      </c>
      <c r="R142" t="s">
        <v>449</v>
      </c>
    </row>
    <row r="143" spans="1:18" x14ac:dyDescent="0.2">
      <c r="A143" t="s">
        <v>450</v>
      </c>
      <c r="B143" t="s">
        <v>439</v>
      </c>
      <c r="C143" t="s">
        <v>20</v>
      </c>
      <c r="E143">
        <v>0</v>
      </c>
      <c r="F143">
        <v>43937862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43937862</v>
      </c>
      <c r="M143">
        <v>0</v>
      </c>
      <c r="N143">
        <v>0</v>
      </c>
      <c r="O143" t="s">
        <v>66</v>
      </c>
      <c r="P143">
        <v>0</v>
      </c>
      <c r="Q143">
        <v>43937862</v>
      </c>
      <c r="R143" t="s">
        <v>451</v>
      </c>
    </row>
    <row r="144" spans="1:18" x14ac:dyDescent="0.2">
      <c r="A144" t="s">
        <v>452</v>
      </c>
      <c r="B144" t="s">
        <v>439</v>
      </c>
      <c r="C144" t="s">
        <v>20</v>
      </c>
      <c r="E144">
        <v>0</v>
      </c>
      <c r="F144">
        <v>56099684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56099684</v>
      </c>
      <c r="M144">
        <v>0</v>
      </c>
      <c r="N144">
        <v>0</v>
      </c>
      <c r="O144" t="s">
        <v>66</v>
      </c>
      <c r="P144">
        <v>0</v>
      </c>
      <c r="Q144">
        <v>56099684</v>
      </c>
      <c r="R144" t="s">
        <v>453</v>
      </c>
    </row>
    <row r="145" spans="1:18" x14ac:dyDescent="0.2">
      <c r="A145" t="s">
        <v>454</v>
      </c>
      <c r="B145" t="s">
        <v>439</v>
      </c>
      <c r="C145" t="s">
        <v>20</v>
      </c>
      <c r="E145">
        <v>0</v>
      </c>
      <c r="F145">
        <v>40975367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40975367</v>
      </c>
      <c r="M145">
        <v>0</v>
      </c>
      <c r="N145">
        <v>0</v>
      </c>
      <c r="O145" t="s">
        <v>66</v>
      </c>
      <c r="P145">
        <v>0</v>
      </c>
      <c r="Q145">
        <v>40975367</v>
      </c>
      <c r="R145" t="s">
        <v>455</v>
      </c>
    </row>
    <row r="146" spans="1:18" x14ac:dyDescent="0.2">
      <c r="A146" t="s">
        <v>456</v>
      </c>
      <c r="B146" t="s">
        <v>439</v>
      </c>
      <c r="C146" t="s">
        <v>20</v>
      </c>
      <c r="E146">
        <v>0</v>
      </c>
      <c r="F146">
        <v>5357255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5357255</v>
      </c>
      <c r="M146">
        <v>0</v>
      </c>
      <c r="N146">
        <v>0</v>
      </c>
      <c r="O146" t="s">
        <v>66</v>
      </c>
      <c r="P146">
        <v>0</v>
      </c>
      <c r="Q146">
        <v>5357255</v>
      </c>
      <c r="R146" t="s">
        <v>457</v>
      </c>
    </row>
    <row r="147" spans="1:18" x14ac:dyDescent="0.2">
      <c r="A147" t="s">
        <v>458</v>
      </c>
      <c r="B147" t="s">
        <v>439</v>
      </c>
      <c r="C147" t="s">
        <v>20</v>
      </c>
      <c r="E147">
        <v>0</v>
      </c>
      <c r="F147">
        <v>108867154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108867154</v>
      </c>
      <c r="M147">
        <v>0</v>
      </c>
      <c r="N147">
        <v>0</v>
      </c>
      <c r="O147" t="s">
        <v>66</v>
      </c>
      <c r="P147">
        <v>0</v>
      </c>
      <c r="Q147">
        <v>108867154</v>
      </c>
      <c r="R147" t="s">
        <v>459</v>
      </c>
    </row>
    <row r="148" spans="1:18" x14ac:dyDescent="0.2">
      <c r="A148" t="s">
        <v>460</v>
      </c>
      <c r="B148" t="s">
        <v>439</v>
      </c>
      <c r="C148" t="s">
        <v>20</v>
      </c>
      <c r="E148">
        <v>0</v>
      </c>
      <c r="F148">
        <v>31127038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31127038</v>
      </c>
      <c r="M148">
        <v>0</v>
      </c>
      <c r="N148">
        <v>0</v>
      </c>
      <c r="O148" t="s">
        <v>66</v>
      </c>
      <c r="P148">
        <v>0</v>
      </c>
      <c r="Q148">
        <v>31127038</v>
      </c>
      <c r="R148" t="s">
        <v>461</v>
      </c>
    </row>
    <row r="149" spans="1:18" x14ac:dyDescent="0.2">
      <c r="A149" t="s">
        <v>462</v>
      </c>
      <c r="B149" t="s">
        <v>439</v>
      </c>
      <c r="C149" t="s">
        <v>20</v>
      </c>
      <c r="E149">
        <v>0</v>
      </c>
      <c r="F149">
        <v>7683287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7683287</v>
      </c>
      <c r="M149">
        <v>0</v>
      </c>
      <c r="N149">
        <v>0</v>
      </c>
      <c r="O149" t="s">
        <v>66</v>
      </c>
      <c r="P149">
        <v>0</v>
      </c>
      <c r="Q149">
        <v>7683287</v>
      </c>
      <c r="R149" t="s">
        <v>463</v>
      </c>
    </row>
    <row r="150" spans="1:18" x14ac:dyDescent="0.2">
      <c r="A150" t="s">
        <v>464</v>
      </c>
      <c r="B150" t="s">
        <v>439</v>
      </c>
      <c r="C150" t="s">
        <v>20</v>
      </c>
      <c r="E150">
        <v>0</v>
      </c>
      <c r="F150">
        <v>229972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229972</v>
      </c>
      <c r="M150">
        <v>0</v>
      </c>
      <c r="N150">
        <v>0</v>
      </c>
      <c r="O150" t="s">
        <v>66</v>
      </c>
      <c r="P150">
        <v>0</v>
      </c>
      <c r="Q150">
        <v>229972</v>
      </c>
      <c r="R150" t="s">
        <v>465</v>
      </c>
    </row>
    <row r="151" spans="1:18" x14ac:dyDescent="0.2">
      <c r="A151" t="s">
        <v>466</v>
      </c>
      <c r="B151" t="s">
        <v>439</v>
      </c>
      <c r="C151" t="s">
        <v>20</v>
      </c>
      <c r="E151">
        <v>0</v>
      </c>
      <c r="F151">
        <v>8367680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8367680</v>
      </c>
      <c r="M151">
        <v>0</v>
      </c>
      <c r="N151">
        <v>0</v>
      </c>
      <c r="O151" t="s">
        <v>66</v>
      </c>
      <c r="P151">
        <v>0</v>
      </c>
      <c r="Q151">
        <v>8367680</v>
      </c>
      <c r="R151" t="s">
        <v>467</v>
      </c>
    </row>
    <row r="152" spans="1:18" x14ac:dyDescent="0.2">
      <c r="A152" t="s">
        <v>468</v>
      </c>
      <c r="B152" t="s">
        <v>439</v>
      </c>
      <c r="C152" t="s">
        <v>20</v>
      </c>
      <c r="E152">
        <v>0</v>
      </c>
      <c r="F152">
        <v>10601391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10601391</v>
      </c>
      <c r="M152">
        <v>0</v>
      </c>
      <c r="N152">
        <v>0</v>
      </c>
      <c r="O152" t="s">
        <v>66</v>
      </c>
      <c r="P152">
        <v>0</v>
      </c>
      <c r="Q152">
        <v>10601391</v>
      </c>
      <c r="R152" t="s">
        <v>469</v>
      </c>
    </row>
    <row r="153" spans="1:18" x14ac:dyDescent="0.2">
      <c r="A153" t="s">
        <v>470</v>
      </c>
      <c r="B153" t="s">
        <v>439</v>
      </c>
      <c r="C153" t="s">
        <v>20</v>
      </c>
      <c r="E153">
        <v>0</v>
      </c>
      <c r="F153">
        <v>1728517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1728517</v>
      </c>
      <c r="M153">
        <v>0</v>
      </c>
      <c r="N153">
        <v>0</v>
      </c>
      <c r="O153" t="s">
        <v>66</v>
      </c>
      <c r="P153">
        <v>0</v>
      </c>
      <c r="Q153">
        <v>1728517</v>
      </c>
      <c r="R153" t="s">
        <v>471</v>
      </c>
    </row>
    <row r="154" spans="1:18" x14ac:dyDescent="0.2">
      <c r="A154" t="s">
        <v>472</v>
      </c>
      <c r="B154" t="s">
        <v>439</v>
      </c>
      <c r="C154" t="s">
        <v>20</v>
      </c>
      <c r="E154">
        <v>0</v>
      </c>
      <c r="F154">
        <v>1728517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1728517</v>
      </c>
      <c r="M154">
        <v>0</v>
      </c>
      <c r="N154">
        <v>0</v>
      </c>
      <c r="O154" t="s">
        <v>66</v>
      </c>
      <c r="P154">
        <v>0</v>
      </c>
      <c r="Q154">
        <v>1728517</v>
      </c>
      <c r="R154" t="s">
        <v>473</v>
      </c>
    </row>
    <row r="155" spans="1:18" x14ac:dyDescent="0.2">
      <c r="A155" t="s">
        <v>474</v>
      </c>
      <c r="B155" t="s">
        <v>439</v>
      </c>
      <c r="C155" t="s">
        <v>20</v>
      </c>
      <c r="E155">
        <v>0</v>
      </c>
      <c r="F155">
        <v>1728516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1728516</v>
      </c>
      <c r="M155">
        <v>0</v>
      </c>
      <c r="N155">
        <v>0</v>
      </c>
      <c r="O155" t="s">
        <v>66</v>
      </c>
      <c r="P155">
        <v>0</v>
      </c>
      <c r="Q155">
        <v>1728516</v>
      </c>
      <c r="R155" t="s">
        <v>475</v>
      </c>
    </row>
    <row r="156" spans="1:18" x14ac:dyDescent="0.2">
      <c r="A156" t="s">
        <v>476</v>
      </c>
      <c r="B156" t="s">
        <v>439</v>
      </c>
      <c r="C156" t="s">
        <v>20</v>
      </c>
      <c r="E156">
        <v>0</v>
      </c>
      <c r="F156">
        <v>258187240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258187240</v>
      </c>
      <c r="M156">
        <v>0</v>
      </c>
      <c r="N156">
        <v>0</v>
      </c>
      <c r="O156" t="s">
        <v>66</v>
      </c>
      <c r="P156">
        <v>0</v>
      </c>
      <c r="Q156">
        <v>258187240</v>
      </c>
      <c r="R156" t="s">
        <v>477</v>
      </c>
    </row>
    <row r="157" spans="1:18" x14ac:dyDescent="0.2">
      <c r="A157" t="s">
        <v>478</v>
      </c>
      <c r="B157" t="s">
        <v>439</v>
      </c>
      <c r="C157" t="s">
        <v>20</v>
      </c>
      <c r="E157">
        <v>0</v>
      </c>
      <c r="F157">
        <v>86751825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86751825</v>
      </c>
      <c r="M157">
        <v>0</v>
      </c>
      <c r="N157">
        <v>0</v>
      </c>
      <c r="O157" t="s">
        <v>66</v>
      </c>
      <c r="P157">
        <v>0</v>
      </c>
      <c r="Q157">
        <v>86751825</v>
      </c>
      <c r="R157" t="s">
        <v>479</v>
      </c>
    </row>
    <row r="158" spans="1:18" x14ac:dyDescent="0.2">
      <c r="A158" t="s">
        <v>480</v>
      </c>
      <c r="B158" t="s">
        <v>439</v>
      </c>
      <c r="C158" t="s">
        <v>20</v>
      </c>
      <c r="E158">
        <v>0</v>
      </c>
      <c r="F158">
        <v>28507497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28507497</v>
      </c>
      <c r="M158">
        <v>0</v>
      </c>
      <c r="N158">
        <v>0</v>
      </c>
      <c r="O158" t="s">
        <v>66</v>
      </c>
      <c r="P158">
        <v>0</v>
      </c>
      <c r="Q158">
        <v>28507497</v>
      </c>
      <c r="R158" t="s">
        <v>481</v>
      </c>
    </row>
    <row r="159" spans="1:18" x14ac:dyDescent="0.2">
      <c r="A159" t="s">
        <v>482</v>
      </c>
      <c r="B159" t="s">
        <v>439</v>
      </c>
      <c r="C159" t="s">
        <v>20</v>
      </c>
      <c r="E159">
        <v>0</v>
      </c>
      <c r="F159">
        <v>591872650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591872650</v>
      </c>
      <c r="M159">
        <v>0</v>
      </c>
      <c r="N159">
        <v>0</v>
      </c>
      <c r="O159" t="s">
        <v>66</v>
      </c>
      <c r="P159">
        <v>0</v>
      </c>
      <c r="Q159">
        <v>591872650</v>
      </c>
      <c r="R159" t="s">
        <v>483</v>
      </c>
    </row>
    <row r="160" spans="1:18" x14ac:dyDescent="0.2">
      <c r="A160" t="s">
        <v>484</v>
      </c>
      <c r="B160" t="s">
        <v>439</v>
      </c>
      <c r="C160" t="s">
        <v>20</v>
      </c>
      <c r="D160" t="s">
        <v>217</v>
      </c>
      <c r="E160">
        <v>0</v>
      </c>
      <c r="F160">
        <v>10232114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10232114</v>
      </c>
      <c r="M160">
        <v>0</v>
      </c>
      <c r="N160">
        <v>0</v>
      </c>
      <c r="O160" t="s">
        <v>66</v>
      </c>
      <c r="P160">
        <v>0</v>
      </c>
      <c r="Q160">
        <v>10232114</v>
      </c>
      <c r="R160" t="s">
        <v>485</v>
      </c>
    </row>
    <row r="161" spans="1:18" x14ac:dyDescent="0.2">
      <c r="A161" t="s">
        <v>486</v>
      </c>
      <c r="B161" t="s">
        <v>439</v>
      </c>
      <c r="C161" t="s">
        <v>20</v>
      </c>
      <c r="E161">
        <v>0</v>
      </c>
      <c r="F161">
        <v>32037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32037</v>
      </c>
      <c r="M161">
        <v>0</v>
      </c>
      <c r="N161">
        <v>0</v>
      </c>
      <c r="O161" t="s">
        <v>66</v>
      </c>
      <c r="P161">
        <v>0</v>
      </c>
      <c r="Q161">
        <v>32037</v>
      </c>
      <c r="R161" t="s">
        <v>487</v>
      </c>
    </row>
    <row r="162" spans="1:18" x14ac:dyDescent="0.2">
      <c r="A162" t="s">
        <v>488</v>
      </c>
      <c r="B162" t="s">
        <v>439</v>
      </c>
      <c r="C162" t="s">
        <v>20</v>
      </c>
      <c r="E162">
        <v>0</v>
      </c>
      <c r="F162">
        <v>271982093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271982093</v>
      </c>
      <c r="M162">
        <v>0</v>
      </c>
      <c r="N162">
        <v>0</v>
      </c>
      <c r="O162" t="s">
        <v>66</v>
      </c>
      <c r="P162">
        <v>0</v>
      </c>
      <c r="Q162">
        <v>271982093</v>
      </c>
      <c r="R162" t="s">
        <v>489</v>
      </c>
    </row>
    <row r="163" spans="1:18" x14ac:dyDescent="0.2">
      <c r="A163" t="s">
        <v>490</v>
      </c>
      <c r="B163" t="s">
        <v>439</v>
      </c>
      <c r="C163" t="s">
        <v>20</v>
      </c>
      <c r="E163">
        <v>0</v>
      </c>
      <c r="F163">
        <v>93881199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93881199</v>
      </c>
      <c r="M163">
        <v>0</v>
      </c>
      <c r="N163">
        <v>0</v>
      </c>
      <c r="O163" t="s">
        <v>66</v>
      </c>
      <c r="P163">
        <v>0</v>
      </c>
      <c r="Q163">
        <v>93881199</v>
      </c>
      <c r="R163" t="s">
        <v>491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E730"/>
  <sheetViews>
    <sheetView topLeftCell="H1" workbookViewId="0">
      <selection activeCell="R3" sqref="R3"/>
    </sheetView>
  </sheetViews>
  <sheetFormatPr baseColWidth="10" defaultColWidth="8.83203125" defaultRowHeight="15" x14ac:dyDescent="0.2"/>
  <cols>
    <col min="18" max="18" width="21.6640625" customWidth="1"/>
    <col min="25" max="25" width="21" customWidth="1"/>
    <col min="28" max="28" width="20" customWidth="1"/>
  </cols>
  <sheetData>
    <row r="2" spans="1:31" x14ac:dyDescent="0.2">
      <c r="A2" t="s">
        <v>492</v>
      </c>
      <c r="B2" t="s">
        <v>493</v>
      </c>
      <c r="C2" t="s">
        <v>494</v>
      </c>
      <c r="D2" t="s">
        <v>495</v>
      </c>
      <c r="E2" t="s">
        <v>496</v>
      </c>
      <c r="F2" t="s">
        <v>497</v>
      </c>
      <c r="G2" t="s">
        <v>498</v>
      </c>
      <c r="H2" t="s">
        <v>499</v>
      </c>
      <c r="I2" t="s">
        <v>500</v>
      </c>
      <c r="J2" t="s">
        <v>501</v>
      </c>
      <c r="K2" t="s">
        <v>502</v>
      </c>
      <c r="L2" t="s">
        <v>503</v>
      </c>
      <c r="M2" t="s">
        <v>504</v>
      </c>
      <c r="N2" t="s">
        <v>505</v>
      </c>
      <c r="O2" t="s">
        <v>506</v>
      </c>
      <c r="P2" t="s">
        <v>17</v>
      </c>
      <c r="Q2" t="s">
        <v>507</v>
      </c>
      <c r="R2" t="s">
        <v>508</v>
      </c>
      <c r="S2" t="s">
        <v>5</v>
      </c>
      <c r="T2" t="s">
        <v>509</v>
      </c>
      <c r="U2" t="s">
        <v>7</v>
      </c>
      <c r="V2" t="s">
        <v>510</v>
      </c>
      <c r="W2" t="s">
        <v>9</v>
      </c>
      <c r="X2" t="s">
        <v>511</v>
      </c>
      <c r="Y2" t="s">
        <v>512</v>
      </c>
      <c r="Z2" t="s">
        <v>513</v>
      </c>
      <c r="AA2" t="s">
        <v>514</v>
      </c>
      <c r="AB2" t="s">
        <v>515</v>
      </c>
      <c r="AC2" t="s">
        <v>516</v>
      </c>
      <c r="AD2" t="s">
        <v>16</v>
      </c>
      <c r="AE2" t="s">
        <v>517</v>
      </c>
    </row>
    <row r="3" spans="1:31" x14ac:dyDescent="0.2">
      <c r="A3" t="s">
        <v>518</v>
      </c>
      <c r="B3" t="s">
        <v>519</v>
      </c>
      <c r="C3" t="s">
        <v>22</v>
      </c>
      <c r="D3" t="s">
        <v>520</v>
      </c>
      <c r="E3" t="s">
        <v>521</v>
      </c>
      <c r="F3" t="s">
        <v>522</v>
      </c>
      <c r="G3" t="s">
        <v>22</v>
      </c>
      <c r="H3" t="s">
        <v>22</v>
      </c>
      <c r="I3" t="s">
        <v>22</v>
      </c>
      <c r="J3" t="s">
        <v>523</v>
      </c>
      <c r="K3" t="s">
        <v>22</v>
      </c>
      <c r="L3" t="s">
        <v>524</v>
      </c>
      <c r="N3" t="s">
        <v>525</v>
      </c>
      <c r="O3" t="s">
        <v>526</v>
      </c>
      <c r="P3" t="s">
        <v>22</v>
      </c>
      <c r="Q3" t="s">
        <v>527</v>
      </c>
      <c r="R3">
        <v>9972660329</v>
      </c>
      <c r="S3">
        <v>2638356092</v>
      </c>
      <c r="T3">
        <v>895409614</v>
      </c>
      <c r="U3">
        <v>719815360</v>
      </c>
      <c r="V3">
        <v>719815360</v>
      </c>
      <c r="W3">
        <v>0</v>
      </c>
      <c r="X3">
        <v>0</v>
      </c>
      <c r="Y3">
        <v>11715606807</v>
      </c>
      <c r="Z3">
        <v>5499833154.2700005</v>
      </c>
      <c r="AA3">
        <v>5165697643.3800001</v>
      </c>
      <c r="AB3">
        <v>2867434788.2199998</v>
      </c>
      <c r="AC3">
        <v>2867434788.2199998</v>
      </c>
      <c r="AD3">
        <v>6215773652.7299995</v>
      </c>
      <c r="AE3">
        <v>46.94</v>
      </c>
    </row>
    <row r="4" spans="1:31" x14ac:dyDescent="0.2">
      <c r="A4" t="s">
        <v>518</v>
      </c>
      <c r="B4" t="s">
        <v>519</v>
      </c>
      <c r="C4" t="s">
        <v>22</v>
      </c>
      <c r="D4" t="s">
        <v>520</v>
      </c>
      <c r="E4" t="s">
        <v>521</v>
      </c>
      <c r="F4" t="s">
        <v>522</v>
      </c>
      <c r="G4" t="s">
        <v>22</v>
      </c>
      <c r="H4" t="s">
        <v>22</v>
      </c>
      <c r="I4" t="s">
        <v>22</v>
      </c>
      <c r="J4" t="s">
        <v>523</v>
      </c>
      <c r="K4" t="s">
        <v>22</v>
      </c>
      <c r="L4" t="s">
        <v>524</v>
      </c>
      <c r="N4" t="s">
        <v>528</v>
      </c>
      <c r="O4" t="s">
        <v>529</v>
      </c>
      <c r="P4" t="s">
        <v>22</v>
      </c>
      <c r="Q4" t="s">
        <v>527</v>
      </c>
      <c r="R4">
        <v>2399080536</v>
      </c>
      <c r="S4">
        <v>61287136</v>
      </c>
      <c r="T4">
        <v>152667595</v>
      </c>
      <c r="U4">
        <v>246798380</v>
      </c>
      <c r="V4">
        <v>246798380</v>
      </c>
      <c r="W4">
        <v>0</v>
      </c>
      <c r="X4">
        <v>0</v>
      </c>
      <c r="Y4">
        <v>2307700077</v>
      </c>
      <c r="Z4">
        <v>1165871784.0999999</v>
      </c>
      <c r="AA4">
        <v>1153898457.0999999</v>
      </c>
      <c r="AB4">
        <v>809679807.10000002</v>
      </c>
      <c r="AC4">
        <v>809679807.10000002</v>
      </c>
      <c r="AD4">
        <v>1141828292.9000001</v>
      </c>
      <c r="AE4">
        <v>50.52</v>
      </c>
    </row>
    <row r="5" spans="1:31" x14ac:dyDescent="0.2">
      <c r="A5" t="s">
        <v>518</v>
      </c>
      <c r="B5" t="s">
        <v>519</v>
      </c>
      <c r="C5" t="s">
        <v>22</v>
      </c>
      <c r="D5" t="s">
        <v>520</v>
      </c>
      <c r="E5" t="s">
        <v>521</v>
      </c>
      <c r="F5" t="s">
        <v>522</v>
      </c>
      <c r="G5" t="s">
        <v>22</v>
      </c>
      <c r="H5" t="s">
        <v>22</v>
      </c>
      <c r="I5" t="s">
        <v>22</v>
      </c>
      <c r="J5" t="s">
        <v>523</v>
      </c>
      <c r="K5" t="s">
        <v>22</v>
      </c>
      <c r="L5" t="s">
        <v>524</v>
      </c>
      <c r="N5" t="s">
        <v>530</v>
      </c>
      <c r="O5" t="s">
        <v>531</v>
      </c>
      <c r="P5" t="s">
        <v>22</v>
      </c>
      <c r="Q5" t="s">
        <v>527</v>
      </c>
      <c r="R5">
        <v>1044961427</v>
      </c>
      <c r="S5">
        <v>0</v>
      </c>
      <c r="T5">
        <v>0</v>
      </c>
      <c r="U5">
        <v>35333312</v>
      </c>
      <c r="V5">
        <v>15333312</v>
      </c>
      <c r="W5">
        <v>0</v>
      </c>
      <c r="X5">
        <v>0</v>
      </c>
      <c r="Y5">
        <v>1064961427</v>
      </c>
      <c r="Z5">
        <v>429657617</v>
      </c>
      <c r="AA5">
        <v>429657617</v>
      </c>
      <c r="AB5">
        <v>429657617</v>
      </c>
      <c r="AC5">
        <v>429657617</v>
      </c>
      <c r="AD5">
        <v>635303810</v>
      </c>
      <c r="AE5">
        <v>40.340000000000003</v>
      </c>
    </row>
    <row r="6" spans="1:31" x14ac:dyDescent="0.2">
      <c r="A6" t="s">
        <v>518</v>
      </c>
      <c r="B6" t="s">
        <v>519</v>
      </c>
      <c r="C6" t="s">
        <v>22</v>
      </c>
      <c r="D6" t="s">
        <v>520</v>
      </c>
      <c r="E6" t="s">
        <v>521</v>
      </c>
      <c r="F6" t="s">
        <v>522</v>
      </c>
      <c r="G6" t="s">
        <v>22</v>
      </c>
      <c r="H6" t="s">
        <v>22</v>
      </c>
      <c r="I6" t="s">
        <v>22</v>
      </c>
      <c r="J6" t="s">
        <v>523</v>
      </c>
      <c r="K6" t="s">
        <v>22</v>
      </c>
      <c r="L6" t="s">
        <v>524</v>
      </c>
      <c r="N6" t="s">
        <v>532</v>
      </c>
      <c r="O6" t="s">
        <v>533</v>
      </c>
      <c r="P6" t="s">
        <v>22</v>
      </c>
      <c r="Q6" t="s">
        <v>527</v>
      </c>
      <c r="R6">
        <v>1044961427</v>
      </c>
      <c r="S6">
        <v>0</v>
      </c>
      <c r="T6">
        <v>0</v>
      </c>
      <c r="U6">
        <v>35333312</v>
      </c>
      <c r="V6">
        <v>15333312</v>
      </c>
      <c r="W6">
        <v>0</v>
      </c>
      <c r="X6">
        <v>0</v>
      </c>
      <c r="Y6">
        <v>1064961427</v>
      </c>
      <c r="Z6">
        <v>429657617</v>
      </c>
      <c r="AA6">
        <v>429657617</v>
      </c>
      <c r="AB6">
        <v>429657617</v>
      </c>
      <c r="AC6">
        <v>429657617</v>
      </c>
      <c r="AD6">
        <v>635303810</v>
      </c>
      <c r="AE6">
        <v>40.340000000000003</v>
      </c>
    </row>
    <row r="7" spans="1:31" x14ac:dyDescent="0.2">
      <c r="A7" t="s">
        <v>518</v>
      </c>
      <c r="B7" t="s">
        <v>519</v>
      </c>
      <c r="C7" t="s">
        <v>22</v>
      </c>
      <c r="D7" t="s">
        <v>520</v>
      </c>
      <c r="E7" t="s">
        <v>521</v>
      </c>
      <c r="F7" t="s">
        <v>522</v>
      </c>
      <c r="G7" t="s">
        <v>22</v>
      </c>
      <c r="H7" t="s">
        <v>22</v>
      </c>
      <c r="I7" t="s">
        <v>22</v>
      </c>
      <c r="J7" t="s">
        <v>523</v>
      </c>
      <c r="K7" t="s">
        <v>22</v>
      </c>
      <c r="L7" t="s">
        <v>524</v>
      </c>
      <c r="N7" t="s">
        <v>534</v>
      </c>
      <c r="O7" t="s">
        <v>535</v>
      </c>
      <c r="P7" t="s">
        <v>22</v>
      </c>
      <c r="Q7" t="s">
        <v>527</v>
      </c>
      <c r="R7">
        <v>641724601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641724601</v>
      </c>
      <c r="Z7">
        <v>239489910</v>
      </c>
      <c r="AA7">
        <v>239489910</v>
      </c>
      <c r="AB7">
        <v>239489910</v>
      </c>
      <c r="AC7">
        <v>239489910</v>
      </c>
      <c r="AD7">
        <v>402234691</v>
      </c>
      <c r="AE7">
        <v>37.32</v>
      </c>
    </row>
    <row r="8" spans="1:31" x14ac:dyDescent="0.2">
      <c r="A8" t="s">
        <v>518</v>
      </c>
      <c r="B8" t="s">
        <v>519</v>
      </c>
      <c r="C8" t="s">
        <v>22</v>
      </c>
      <c r="D8" t="s">
        <v>520</v>
      </c>
      <c r="E8" t="s">
        <v>521</v>
      </c>
      <c r="F8" t="s">
        <v>522</v>
      </c>
      <c r="G8" t="s">
        <v>22</v>
      </c>
      <c r="H8" t="s">
        <v>22</v>
      </c>
      <c r="I8" t="s">
        <v>22</v>
      </c>
      <c r="J8" t="s">
        <v>523</v>
      </c>
      <c r="K8" t="s">
        <v>22</v>
      </c>
      <c r="L8" t="s">
        <v>524</v>
      </c>
      <c r="N8" t="s">
        <v>536</v>
      </c>
      <c r="O8" t="s">
        <v>537</v>
      </c>
      <c r="P8" t="s">
        <v>22</v>
      </c>
      <c r="Q8" t="s">
        <v>527</v>
      </c>
      <c r="R8">
        <v>641724601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641724601</v>
      </c>
      <c r="Z8">
        <v>239489910</v>
      </c>
      <c r="AA8">
        <v>239489910</v>
      </c>
      <c r="AB8">
        <v>239489910</v>
      </c>
      <c r="AC8">
        <v>239489910</v>
      </c>
      <c r="AD8">
        <v>402234691</v>
      </c>
      <c r="AE8">
        <v>37.32</v>
      </c>
    </row>
    <row r="9" spans="1:31" x14ac:dyDescent="0.2">
      <c r="A9" t="s">
        <v>518</v>
      </c>
      <c r="B9" t="s">
        <v>519</v>
      </c>
      <c r="C9" t="s">
        <v>22</v>
      </c>
      <c r="D9" t="s">
        <v>520</v>
      </c>
      <c r="E9" t="s">
        <v>521</v>
      </c>
      <c r="F9" t="s">
        <v>522</v>
      </c>
      <c r="G9" t="s">
        <v>22</v>
      </c>
      <c r="H9" t="s">
        <v>22</v>
      </c>
      <c r="I9" t="s">
        <v>22</v>
      </c>
      <c r="J9" t="s">
        <v>523</v>
      </c>
      <c r="K9" t="s">
        <v>22</v>
      </c>
      <c r="L9" t="s">
        <v>524</v>
      </c>
      <c r="N9" t="s">
        <v>538</v>
      </c>
      <c r="O9" t="s">
        <v>539</v>
      </c>
      <c r="P9" t="s">
        <v>48</v>
      </c>
      <c r="Q9" t="s">
        <v>540</v>
      </c>
      <c r="R9">
        <v>420525611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420525611</v>
      </c>
      <c r="Z9">
        <v>121199551</v>
      </c>
      <c r="AA9">
        <v>121199551</v>
      </c>
      <c r="AB9">
        <v>121199551</v>
      </c>
      <c r="AC9">
        <v>121199551</v>
      </c>
      <c r="AD9">
        <v>299326060</v>
      </c>
      <c r="AE9">
        <v>28.82</v>
      </c>
    </row>
    <row r="10" spans="1:31" x14ac:dyDescent="0.2">
      <c r="A10" t="s">
        <v>518</v>
      </c>
      <c r="B10" t="s">
        <v>519</v>
      </c>
      <c r="C10" t="s">
        <v>22</v>
      </c>
      <c r="D10" t="s">
        <v>520</v>
      </c>
      <c r="E10" t="s">
        <v>521</v>
      </c>
      <c r="F10" t="s">
        <v>522</v>
      </c>
      <c r="G10" t="s">
        <v>22</v>
      </c>
      <c r="H10" t="s">
        <v>22</v>
      </c>
      <c r="I10" t="s">
        <v>22</v>
      </c>
      <c r="J10" t="s">
        <v>523</v>
      </c>
      <c r="K10" t="s">
        <v>22</v>
      </c>
      <c r="L10" t="s">
        <v>524</v>
      </c>
      <c r="N10" t="s">
        <v>538</v>
      </c>
      <c r="O10" t="s">
        <v>539</v>
      </c>
      <c r="P10" t="s">
        <v>242</v>
      </c>
      <c r="Q10" t="s">
        <v>541</v>
      </c>
      <c r="R10">
        <v>84222946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84222946</v>
      </c>
      <c r="Z10">
        <v>81830446</v>
      </c>
      <c r="AA10">
        <v>81830446</v>
      </c>
      <c r="AB10">
        <v>81830446</v>
      </c>
      <c r="AC10">
        <v>81830446</v>
      </c>
      <c r="AD10">
        <v>2392500</v>
      </c>
      <c r="AE10">
        <v>97.16</v>
      </c>
    </row>
    <row r="11" spans="1:31" x14ac:dyDescent="0.2">
      <c r="A11" t="s">
        <v>518</v>
      </c>
      <c r="B11" t="s">
        <v>519</v>
      </c>
      <c r="C11" t="s">
        <v>22</v>
      </c>
      <c r="D11" t="s">
        <v>520</v>
      </c>
      <c r="E11" t="s">
        <v>521</v>
      </c>
      <c r="F11" t="s">
        <v>522</v>
      </c>
      <c r="G11" t="s">
        <v>22</v>
      </c>
      <c r="H11" t="s">
        <v>22</v>
      </c>
      <c r="I11" t="s">
        <v>22</v>
      </c>
      <c r="J11" t="s">
        <v>523</v>
      </c>
      <c r="K11" t="s">
        <v>22</v>
      </c>
      <c r="L11" t="s">
        <v>524</v>
      </c>
      <c r="N11" t="s">
        <v>542</v>
      </c>
      <c r="O11" t="s">
        <v>543</v>
      </c>
      <c r="P11" t="s">
        <v>242</v>
      </c>
      <c r="Q11" t="s">
        <v>541</v>
      </c>
      <c r="R11">
        <v>8891918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8891918</v>
      </c>
      <c r="Z11">
        <v>3637952</v>
      </c>
      <c r="AA11">
        <v>3637952</v>
      </c>
      <c r="AB11">
        <v>3637952</v>
      </c>
      <c r="AC11">
        <v>3637952</v>
      </c>
      <c r="AD11">
        <v>5253966</v>
      </c>
      <c r="AE11">
        <v>40.909999999999997</v>
      </c>
    </row>
    <row r="12" spans="1:31" x14ac:dyDescent="0.2">
      <c r="A12" t="s">
        <v>518</v>
      </c>
      <c r="B12" t="s">
        <v>519</v>
      </c>
      <c r="C12" t="s">
        <v>22</v>
      </c>
      <c r="D12" t="s">
        <v>520</v>
      </c>
      <c r="E12" t="s">
        <v>521</v>
      </c>
      <c r="F12" t="s">
        <v>522</v>
      </c>
      <c r="G12" t="s">
        <v>22</v>
      </c>
      <c r="H12" t="s">
        <v>22</v>
      </c>
      <c r="I12" t="s">
        <v>22</v>
      </c>
      <c r="J12" t="s">
        <v>523</v>
      </c>
      <c r="K12" t="s">
        <v>22</v>
      </c>
      <c r="L12" t="s">
        <v>524</v>
      </c>
      <c r="N12" t="s">
        <v>544</v>
      </c>
      <c r="O12" t="s">
        <v>545</v>
      </c>
      <c r="P12" t="s">
        <v>242</v>
      </c>
      <c r="Q12" t="s">
        <v>541</v>
      </c>
      <c r="R12">
        <v>17976000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17976000</v>
      </c>
      <c r="Z12">
        <v>8560565</v>
      </c>
      <c r="AA12">
        <v>8560565</v>
      </c>
      <c r="AB12">
        <v>8560565</v>
      </c>
      <c r="AC12">
        <v>8560565</v>
      </c>
      <c r="AD12">
        <v>9415435</v>
      </c>
      <c r="AE12">
        <v>47.62</v>
      </c>
    </row>
    <row r="13" spans="1:31" x14ac:dyDescent="0.2">
      <c r="A13" t="s">
        <v>518</v>
      </c>
      <c r="B13" t="s">
        <v>519</v>
      </c>
      <c r="C13" t="s">
        <v>22</v>
      </c>
      <c r="D13" t="s">
        <v>520</v>
      </c>
      <c r="E13" t="s">
        <v>521</v>
      </c>
      <c r="F13" t="s">
        <v>522</v>
      </c>
      <c r="G13" t="s">
        <v>22</v>
      </c>
      <c r="H13" t="s">
        <v>22</v>
      </c>
      <c r="I13" t="s">
        <v>22</v>
      </c>
      <c r="J13" t="s">
        <v>523</v>
      </c>
      <c r="K13" t="s">
        <v>22</v>
      </c>
      <c r="L13" t="s">
        <v>524</v>
      </c>
      <c r="N13" t="s">
        <v>546</v>
      </c>
      <c r="O13" t="s">
        <v>547</v>
      </c>
      <c r="P13" t="s">
        <v>242</v>
      </c>
      <c r="Q13" t="s">
        <v>541</v>
      </c>
      <c r="R13">
        <v>22109488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22109488</v>
      </c>
      <c r="Z13">
        <v>0</v>
      </c>
      <c r="AA13">
        <v>0</v>
      </c>
      <c r="AB13">
        <v>0</v>
      </c>
      <c r="AC13">
        <v>0</v>
      </c>
      <c r="AD13">
        <v>22109488</v>
      </c>
      <c r="AE13">
        <v>0</v>
      </c>
    </row>
    <row r="14" spans="1:31" x14ac:dyDescent="0.2">
      <c r="A14" t="s">
        <v>518</v>
      </c>
      <c r="B14" t="s">
        <v>519</v>
      </c>
      <c r="C14" t="s">
        <v>22</v>
      </c>
      <c r="D14" t="s">
        <v>520</v>
      </c>
      <c r="E14" t="s">
        <v>521</v>
      </c>
      <c r="F14" t="s">
        <v>522</v>
      </c>
      <c r="G14" t="s">
        <v>22</v>
      </c>
      <c r="H14" t="s">
        <v>22</v>
      </c>
      <c r="I14" t="s">
        <v>22</v>
      </c>
      <c r="J14" t="s">
        <v>523</v>
      </c>
      <c r="K14" t="s">
        <v>22</v>
      </c>
      <c r="L14" t="s">
        <v>524</v>
      </c>
      <c r="N14" t="s">
        <v>548</v>
      </c>
      <c r="O14" t="s">
        <v>549</v>
      </c>
      <c r="P14" t="s">
        <v>242</v>
      </c>
      <c r="Q14" t="s">
        <v>541</v>
      </c>
      <c r="R14">
        <v>16987259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16987259</v>
      </c>
      <c r="Z14">
        <v>10415841</v>
      </c>
      <c r="AA14">
        <v>10415841</v>
      </c>
      <c r="AB14">
        <v>10415841</v>
      </c>
      <c r="AC14">
        <v>10415841</v>
      </c>
      <c r="AD14">
        <v>6571418</v>
      </c>
      <c r="AE14">
        <v>61.32</v>
      </c>
    </row>
    <row r="15" spans="1:31" x14ac:dyDescent="0.2">
      <c r="A15" t="s">
        <v>518</v>
      </c>
      <c r="B15" t="s">
        <v>519</v>
      </c>
      <c r="C15" t="s">
        <v>22</v>
      </c>
      <c r="D15" t="s">
        <v>520</v>
      </c>
      <c r="E15" t="s">
        <v>521</v>
      </c>
      <c r="F15" t="s">
        <v>522</v>
      </c>
      <c r="G15" t="s">
        <v>22</v>
      </c>
      <c r="H15" t="s">
        <v>22</v>
      </c>
      <c r="I15" t="s">
        <v>22</v>
      </c>
      <c r="J15" t="s">
        <v>523</v>
      </c>
      <c r="K15" t="s">
        <v>22</v>
      </c>
      <c r="L15" t="s">
        <v>524</v>
      </c>
      <c r="N15" t="s">
        <v>550</v>
      </c>
      <c r="O15" t="s">
        <v>551</v>
      </c>
      <c r="P15" t="s">
        <v>22</v>
      </c>
      <c r="Q15" t="s">
        <v>527</v>
      </c>
      <c r="R15">
        <v>71011379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71011379</v>
      </c>
      <c r="Z15">
        <v>13845555</v>
      </c>
      <c r="AA15">
        <v>13845555</v>
      </c>
      <c r="AB15">
        <v>13845555</v>
      </c>
      <c r="AC15">
        <v>13845555</v>
      </c>
      <c r="AD15">
        <v>57165824</v>
      </c>
      <c r="AE15">
        <v>19.5</v>
      </c>
    </row>
    <row r="16" spans="1:31" x14ac:dyDescent="0.2">
      <c r="A16" t="s">
        <v>518</v>
      </c>
      <c r="B16" t="s">
        <v>519</v>
      </c>
      <c r="C16" t="s">
        <v>22</v>
      </c>
      <c r="D16" t="s">
        <v>520</v>
      </c>
      <c r="E16" t="s">
        <v>521</v>
      </c>
      <c r="F16" t="s">
        <v>522</v>
      </c>
      <c r="G16" t="s">
        <v>22</v>
      </c>
      <c r="H16" t="s">
        <v>22</v>
      </c>
      <c r="I16" t="s">
        <v>22</v>
      </c>
      <c r="J16" t="s">
        <v>523</v>
      </c>
      <c r="K16" t="s">
        <v>22</v>
      </c>
      <c r="L16" t="s">
        <v>524</v>
      </c>
      <c r="N16" t="s">
        <v>552</v>
      </c>
      <c r="O16" t="s">
        <v>553</v>
      </c>
      <c r="P16" t="s">
        <v>242</v>
      </c>
      <c r="Q16" t="s">
        <v>541</v>
      </c>
      <c r="R16">
        <v>47980661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47980661</v>
      </c>
      <c r="Z16">
        <v>0</v>
      </c>
      <c r="AA16">
        <v>0</v>
      </c>
      <c r="AB16">
        <v>0</v>
      </c>
      <c r="AC16">
        <v>0</v>
      </c>
      <c r="AD16">
        <v>47980661</v>
      </c>
      <c r="AE16">
        <v>0</v>
      </c>
    </row>
    <row r="17" spans="1:31" x14ac:dyDescent="0.2">
      <c r="A17" t="s">
        <v>518</v>
      </c>
      <c r="B17" t="s">
        <v>519</v>
      </c>
      <c r="C17" t="s">
        <v>22</v>
      </c>
      <c r="D17" t="s">
        <v>520</v>
      </c>
      <c r="E17" t="s">
        <v>521</v>
      </c>
      <c r="F17" t="s">
        <v>522</v>
      </c>
      <c r="G17" t="s">
        <v>22</v>
      </c>
      <c r="H17" t="s">
        <v>22</v>
      </c>
      <c r="I17" t="s">
        <v>22</v>
      </c>
      <c r="J17" t="s">
        <v>523</v>
      </c>
      <c r="K17" t="s">
        <v>22</v>
      </c>
      <c r="L17" t="s">
        <v>524</v>
      </c>
      <c r="N17" t="s">
        <v>554</v>
      </c>
      <c r="O17" t="s">
        <v>555</v>
      </c>
      <c r="P17" t="s">
        <v>242</v>
      </c>
      <c r="Q17" t="s">
        <v>541</v>
      </c>
      <c r="R17">
        <v>23030718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23030718</v>
      </c>
      <c r="Z17">
        <v>13845555</v>
      </c>
      <c r="AA17">
        <v>13845555</v>
      </c>
      <c r="AB17">
        <v>13845555</v>
      </c>
      <c r="AC17">
        <v>13845555</v>
      </c>
      <c r="AD17">
        <v>9185163</v>
      </c>
      <c r="AE17">
        <v>60.12</v>
      </c>
    </row>
    <row r="18" spans="1:31" x14ac:dyDescent="0.2">
      <c r="A18" t="s">
        <v>518</v>
      </c>
      <c r="B18" t="s">
        <v>519</v>
      </c>
      <c r="C18" t="s">
        <v>22</v>
      </c>
      <c r="D18" t="s">
        <v>520</v>
      </c>
      <c r="E18" t="s">
        <v>521</v>
      </c>
      <c r="F18" t="s">
        <v>522</v>
      </c>
      <c r="G18" t="s">
        <v>22</v>
      </c>
      <c r="H18" t="s">
        <v>22</v>
      </c>
      <c r="I18" t="s">
        <v>22</v>
      </c>
      <c r="J18" t="s">
        <v>523</v>
      </c>
      <c r="K18" t="s">
        <v>22</v>
      </c>
      <c r="L18" t="s">
        <v>524</v>
      </c>
      <c r="N18" t="s">
        <v>556</v>
      </c>
      <c r="O18" t="s">
        <v>557</v>
      </c>
      <c r="P18" t="s">
        <v>22</v>
      </c>
      <c r="Q18" t="s">
        <v>527</v>
      </c>
      <c r="R18">
        <v>300001527</v>
      </c>
      <c r="S18">
        <v>0</v>
      </c>
      <c r="T18">
        <v>0</v>
      </c>
      <c r="U18">
        <v>5430200</v>
      </c>
      <c r="V18">
        <v>5430200</v>
      </c>
      <c r="W18">
        <v>0</v>
      </c>
      <c r="X18">
        <v>0</v>
      </c>
      <c r="Y18">
        <v>300001527</v>
      </c>
      <c r="Z18">
        <v>136314495</v>
      </c>
      <c r="AA18">
        <v>136314495</v>
      </c>
      <c r="AB18">
        <v>136314495</v>
      </c>
      <c r="AC18">
        <v>136314495</v>
      </c>
      <c r="AD18">
        <v>163687032</v>
      </c>
      <c r="AE18">
        <v>45.44</v>
      </c>
    </row>
    <row r="19" spans="1:31" x14ac:dyDescent="0.2">
      <c r="A19" t="s">
        <v>518</v>
      </c>
      <c r="B19" t="s">
        <v>519</v>
      </c>
      <c r="C19" t="s">
        <v>22</v>
      </c>
      <c r="D19" t="s">
        <v>520</v>
      </c>
      <c r="E19" t="s">
        <v>521</v>
      </c>
      <c r="F19" t="s">
        <v>522</v>
      </c>
      <c r="G19" t="s">
        <v>22</v>
      </c>
      <c r="H19" t="s">
        <v>22</v>
      </c>
      <c r="I19" t="s">
        <v>22</v>
      </c>
      <c r="J19" t="s">
        <v>523</v>
      </c>
      <c r="K19" t="s">
        <v>22</v>
      </c>
      <c r="L19" t="s">
        <v>524</v>
      </c>
      <c r="N19" t="s">
        <v>558</v>
      </c>
      <c r="O19" t="s">
        <v>559</v>
      </c>
      <c r="P19" t="s">
        <v>242</v>
      </c>
      <c r="Q19" t="s">
        <v>541</v>
      </c>
      <c r="R19">
        <v>63675332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63675332</v>
      </c>
      <c r="Z19">
        <v>25459300</v>
      </c>
      <c r="AA19">
        <v>25459300</v>
      </c>
      <c r="AB19">
        <v>25459300</v>
      </c>
      <c r="AC19">
        <v>25459300</v>
      </c>
      <c r="AD19">
        <v>38216032</v>
      </c>
      <c r="AE19">
        <v>39.979999999999997</v>
      </c>
    </row>
    <row r="20" spans="1:31" x14ac:dyDescent="0.2">
      <c r="A20" t="s">
        <v>518</v>
      </c>
      <c r="B20" t="s">
        <v>519</v>
      </c>
      <c r="C20" t="s">
        <v>22</v>
      </c>
      <c r="D20" t="s">
        <v>520</v>
      </c>
      <c r="E20" t="s">
        <v>521</v>
      </c>
      <c r="F20" t="s">
        <v>522</v>
      </c>
      <c r="G20" t="s">
        <v>22</v>
      </c>
      <c r="H20" t="s">
        <v>22</v>
      </c>
      <c r="I20" t="s">
        <v>22</v>
      </c>
      <c r="J20" t="s">
        <v>523</v>
      </c>
      <c r="K20" t="s">
        <v>22</v>
      </c>
      <c r="L20" t="s">
        <v>524</v>
      </c>
      <c r="N20" t="s">
        <v>560</v>
      </c>
      <c r="O20" t="s">
        <v>561</v>
      </c>
      <c r="P20" t="s">
        <v>242</v>
      </c>
      <c r="Q20" t="s">
        <v>541</v>
      </c>
      <c r="R20">
        <v>45103367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45103367</v>
      </c>
      <c r="Z20">
        <v>18032900</v>
      </c>
      <c r="AA20">
        <v>18032900</v>
      </c>
      <c r="AB20">
        <v>18032900</v>
      </c>
      <c r="AC20">
        <v>18032900</v>
      </c>
      <c r="AD20">
        <v>27070467</v>
      </c>
      <c r="AE20">
        <v>39.979999999999997</v>
      </c>
    </row>
    <row r="21" spans="1:31" x14ac:dyDescent="0.2">
      <c r="A21" t="s">
        <v>518</v>
      </c>
      <c r="B21" t="s">
        <v>519</v>
      </c>
      <c r="C21" t="s">
        <v>22</v>
      </c>
      <c r="D21" t="s">
        <v>520</v>
      </c>
      <c r="E21" t="s">
        <v>521</v>
      </c>
      <c r="F21" t="s">
        <v>522</v>
      </c>
      <c r="G21" t="s">
        <v>22</v>
      </c>
      <c r="H21" t="s">
        <v>22</v>
      </c>
      <c r="I21" t="s">
        <v>22</v>
      </c>
      <c r="J21" t="s">
        <v>523</v>
      </c>
      <c r="K21" t="s">
        <v>22</v>
      </c>
      <c r="L21" t="s">
        <v>524</v>
      </c>
      <c r="N21" t="s">
        <v>562</v>
      </c>
      <c r="O21" t="s">
        <v>563</v>
      </c>
      <c r="P21" t="s">
        <v>22</v>
      </c>
      <c r="Q21" t="s">
        <v>527</v>
      </c>
      <c r="R21">
        <v>58216536</v>
      </c>
      <c r="S21">
        <v>0</v>
      </c>
      <c r="T21">
        <v>0</v>
      </c>
      <c r="U21">
        <v>0</v>
      </c>
      <c r="V21">
        <v>4589600</v>
      </c>
      <c r="W21">
        <v>0</v>
      </c>
      <c r="X21">
        <v>0</v>
      </c>
      <c r="Y21">
        <v>53626936</v>
      </c>
      <c r="Z21">
        <v>48027395</v>
      </c>
      <c r="AA21">
        <v>48027395</v>
      </c>
      <c r="AB21">
        <v>48027395</v>
      </c>
      <c r="AC21">
        <v>48027395</v>
      </c>
      <c r="AD21">
        <v>5599541</v>
      </c>
      <c r="AE21">
        <v>89.56</v>
      </c>
    </row>
    <row r="22" spans="1:31" x14ac:dyDescent="0.2">
      <c r="A22" t="s">
        <v>518</v>
      </c>
      <c r="B22" t="s">
        <v>519</v>
      </c>
      <c r="C22" t="s">
        <v>22</v>
      </c>
      <c r="D22" t="s">
        <v>520</v>
      </c>
      <c r="E22" t="s">
        <v>521</v>
      </c>
      <c r="F22" t="s">
        <v>522</v>
      </c>
      <c r="G22" t="s">
        <v>22</v>
      </c>
      <c r="H22" t="s">
        <v>22</v>
      </c>
      <c r="I22" t="s">
        <v>22</v>
      </c>
      <c r="J22" t="s">
        <v>523</v>
      </c>
      <c r="K22" t="s">
        <v>22</v>
      </c>
      <c r="L22" t="s">
        <v>524</v>
      </c>
      <c r="N22" t="s">
        <v>564</v>
      </c>
      <c r="O22" t="s">
        <v>565</v>
      </c>
      <c r="P22" t="s">
        <v>242</v>
      </c>
      <c r="Q22" t="s">
        <v>541</v>
      </c>
      <c r="R22">
        <v>51979048</v>
      </c>
      <c r="S22">
        <v>0</v>
      </c>
      <c r="T22">
        <v>0</v>
      </c>
      <c r="U22">
        <v>0</v>
      </c>
      <c r="V22">
        <v>4589600</v>
      </c>
      <c r="W22">
        <v>0</v>
      </c>
      <c r="X22">
        <v>0</v>
      </c>
      <c r="Y22">
        <v>47389448</v>
      </c>
      <c r="Z22">
        <v>43049935</v>
      </c>
      <c r="AA22">
        <v>43049935</v>
      </c>
      <c r="AB22">
        <v>43049935</v>
      </c>
      <c r="AC22">
        <v>43049935</v>
      </c>
      <c r="AD22">
        <v>4339513</v>
      </c>
      <c r="AE22">
        <v>90.84</v>
      </c>
    </row>
    <row r="23" spans="1:31" x14ac:dyDescent="0.2">
      <c r="A23" t="s">
        <v>518</v>
      </c>
      <c r="B23" t="s">
        <v>519</v>
      </c>
      <c r="C23" t="s">
        <v>22</v>
      </c>
      <c r="D23" t="s">
        <v>520</v>
      </c>
      <c r="E23" t="s">
        <v>521</v>
      </c>
      <c r="F23" t="s">
        <v>522</v>
      </c>
      <c r="G23" t="s">
        <v>22</v>
      </c>
      <c r="H23" t="s">
        <v>22</v>
      </c>
      <c r="I23" t="s">
        <v>22</v>
      </c>
      <c r="J23" t="s">
        <v>523</v>
      </c>
      <c r="K23" t="s">
        <v>22</v>
      </c>
      <c r="L23" t="s">
        <v>524</v>
      </c>
      <c r="N23" t="s">
        <v>566</v>
      </c>
      <c r="O23" t="s">
        <v>567</v>
      </c>
      <c r="P23" t="s">
        <v>242</v>
      </c>
      <c r="Q23" t="s">
        <v>541</v>
      </c>
      <c r="R23">
        <v>6237488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6237488</v>
      </c>
      <c r="Z23">
        <v>4977460</v>
      </c>
      <c r="AA23">
        <v>4977460</v>
      </c>
      <c r="AB23">
        <v>4977460</v>
      </c>
      <c r="AC23">
        <v>4977460</v>
      </c>
      <c r="AD23">
        <v>1260028</v>
      </c>
      <c r="AE23">
        <v>79.8</v>
      </c>
    </row>
    <row r="24" spans="1:31" x14ac:dyDescent="0.2">
      <c r="A24" t="s">
        <v>518</v>
      </c>
      <c r="B24" t="s">
        <v>519</v>
      </c>
      <c r="C24" t="s">
        <v>22</v>
      </c>
      <c r="D24" t="s">
        <v>520</v>
      </c>
      <c r="E24" t="s">
        <v>521</v>
      </c>
      <c r="F24" t="s">
        <v>522</v>
      </c>
      <c r="G24" t="s">
        <v>22</v>
      </c>
      <c r="H24" t="s">
        <v>22</v>
      </c>
      <c r="I24" t="s">
        <v>22</v>
      </c>
      <c r="J24" t="s">
        <v>523</v>
      </c>
      <c r="K24" t="s">
        <v>22</v>
      </c>
      <c r="L24" t="s">
        <v>524</v>
      </c>
      <c r="N24" t="s">
        <v>568</v>
      </c>
      <c r="O24" t="s">
        <v>569</v>
      </c>
      <c r="P24" t="s">
        <v>242</v>
      </c>
      <c r="Q24" t="s">
        <v>541</v>
      </c>
      <c r="R24">
        <v>25945408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25945408</v>
      </c>
      <c r="Z24">
        <v>9723800</v>
      </c>
      <c r="AA24">
        <v>9723800</v>
      </c>
      <c r="AB24">
        <v>9723800</v>
      </c>
      <c r="AC24">
        <v>9723800</v>
      </c>
      <c r="AD24">
        <v>16221608</v>
      </c>
      <c r="AE24">
        <v>37.479999999999997</v>
      </c>
    </row>
    <row r="25" spans="1:31" x14ac:dyDescent="0.2">
      <c r="A25" t="s">
        <v>518</v>
      </c>
      <c r="B25" t="s">
        <v>519</v>
      </c>
      <c r="C25" t="s">
        <v>22</v>
      </c>
      <c r="D25" t="s">
        <v>520</v>
      </c>
      <c r="E25" t="s">
        <v>521</v>
      </c>
      <c r="F25" t="s">
        <v>522</v>
      </c>
      <c r="G25" t="s">
        <v>22</v>
      </c>
      <c r="H25" t="s">
        <v>22</v>
      </c>
      <c r="I25" t="s">
        <v>22</v>
      </c>
      <c r="J25" t="s">
        <v>523</v>
      </c>
      <c r="K25" t="s">
        <v>22</v>
      </c>
      <c r="L25" t="s">
        <v>524</v>
      </c>
      <c r="N25" t="s">
        <v>570</v>
      </c>
      <c r="O25" t="s">
        <v>571</v>
      </c>
      <c r="P25" t="s">
        <v>242</v>
      </c>
      <c r="Q25" t="s">
        <v>541</v>
      </c>
      <c r="R25">
        <v>2929074</v>
      </c>
      <c r="S25">
        <v>0</v>
      </c>
      <c r="T25">
        <v>0</v>
      </c>
      <c r="U25">
        <v>4589600</v>
      </c>
      <c r="V25">
        <v>0</v>
      </c>
      <c r="W25">
        <v>0</v>
      </c>
      <c r="X25">
        <v>0</v>
      </c>
      <c r="Y25">
        <v>7518674</v>
      </c>
      <c r="Z25">
        <v>3086600</v>
      </c>
      <c r="AA25">
        <v>3086600</v>
      </c>
      <c r="AB25">
        <v>3086600</v>
      </c>
      <c r="AC25">
        <v>3086600</v>
      </c>
      <c r="AD25">
        <v>4432074</v>
      </c>
      <c r="AE25">
        <v>41.05</v>
      </c>
    </row>
    <row r="26" spans="1:31" x14ac:dyDescent="0.2">
      <c r="A26" t="s">
        <v>518</v>
      </c>
      <c r="B26" t="s">
        <v>519</v>
      </c>
      <c r="C26" t="s">
        <v>22</v>
      </c>
      <c r="D26" t="s">
        <v>520</v>
      </c>
      <c r="E26" t="s">
        <v>521</v>
      </c>
      <c r="F26" t="s">
        <v>522</v>
      </c>
      <c r="G26" t="s">
        <v>22</v>
      </c>
      <c r="H26" t="s">
        <v>22</v>
      </c>
      <c r="I26" t="s">
        <v>22</v>
      </c>
      <c r="J26" t="s">
        <v>523</v>
      </c>
      <c r="K26" t="s">
        <v>22</v>
      </c>
      <c r="L26" t="s">
        <v>524</v>
      </c>
      <c r="N26" t="s">
        <v>572</v>
      </c>
      <c r="O26" t="s">
        <v>573</v>
      </c>
      <c r="P26" t="s">
        <v>242</v>
      </c>
      <c r="Q26" t="s">
        <v>541</v>
      </c>
      <c r="R26">
        <v>19459060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19459060</v>
      </c>
      <c r="Z26">
        <v>7293000</v>
      </c>
      <c r="AA26">
        <v>7293000</v>
      </c>
      <c r="AB26">
        <v>7293000</v>
      </c>
      <c r="AC26">
        <v>7293000</v>
      </c>
      <c r="AD26">
        <v>12166060</v>
      </c>
      <c r="AE26">
        <v>37.479999999999997</v>
      </c>
    </row>
    <row r="27" spans="1:31" x14ac:dyDescent="0.2">
      <c r="A27" t="s">
        <v>518</v>
      </c>
      <c r="B27" t="s">
        <v>519</v>
      </c>
      <c r="C27" t="s">
        <v>22</v>
      </c>
      <c r="D27" t="s">
        <v>520</v>
      </c>
      <c r="E27" t="s">
        <v>521</v>
      </c>
      <c r="F27" t="s">
        <v>522</v>
      </c>
      <c r="G27" t="s">
        <v>22</v>
      </c>
      <c r="H27" t="s">
        <v>22</v>
      </c>
      <c r="I27" t="s">
        <v>22</v>
      </c>
      <c r="J27" t="s">
        <v>523</v>
      </c>
      <c r="K27" t="s">
        <v>22</v>
      </c>
      <c r="L27" t="s">
        <v>524</v>
      </c>
      <c r="N27" t="s">
        <v>574</v>
      </c>
      <c r="O27" t="s">
        <v>575</v>
      </c>
      <c r="P27" t="s">
        <v>242</v>
      </c>
      <c r="Q27" t="s">
        <v>541</v>
      </c>
      <c r="R27">
        <v>3243183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3243183</v>
      </c>
      <c r="Z27">
        <v>1218300</v>
      </c>
      <c r="AA27">
        <v>1218300</v>
      </c>
      <c r="AB27">
        <v>1218300</v>
      </c>
      <c r="AC27">
        <v>1218300</v>
      </c>
      <c r="AD27">
        <v>2024883</v>
      </c>
      <c r="AE27">
        <v>37.56</v>
      </c>
    </row>
    <row r="28" spans="1:31" x14ac:dyDescent="0.2">
      <c r="A28" t="s">
        <v>518</v>
      </c>
      <c r="B28" t="s">
        <v>519</v>
      </c>
      <c r="C28" t="s">
        <v>22</v>
      </c>
      <c r="D28" t="s">
        <v>520</v>
      </c>
      <c r="E28" t="s">
        <v>521</v>
      </c>
      <c r="F28" t="s">
        <v>522</v>
      </c>
      <c r="G28" t="s">
        <v>22</v>
      </c>
      <c r="H28" t="s">
        <v>22</v>
      </c>
      <c r="I28" t="s">
        <v>22</v>
      </c>
      <c r="J28" t="s">
        <v>523</v>
      </c>
      <c r="K28" t="s">
        <v>22</v>
      </c>
      <c r="L28" t="s">
        <v>524</v>
      </c>
      <c r="N28" t="s">
        <v>576</v>
      </c>
      <c r="O28" t="s">
        <v>577</v>
      </c>
      <c r="P28" t="s">
        <v>242</v>
      </c>
      <c r="Q28" t="s">
        <v>541</v>
      </c>
      <c r="R28">
        <v>3243183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3243183</v>
      </c>
      <c r="Z28">
        <v>1218300</v>
      </c>
      <c r="AA28">
        <v>1218300</v>
      </c>
      <c r="AB28">
        <v>1218300</v>
      </c>
      <c r="AC28">
        <v>1218300</v>
      </c>
      <c r="AD28">
        <v>2024883</v>
      </c>
      <c r="AE28">
        <v>37.56</v>
      </c>
    </row>
    <row r="29" spans="1:31" x14ac:dyDescent="0.2">
      <c r="A29" t="s">
        <v>518</v>
      </c>
      <c r="B29" t="s">
        <v>519</v>
      </c>
      <c r="C29" t="s">
        <v>22</v>
      </c>
      <c r="D29" t="s">
        <v>520</v>
      </c>
      <c r="E29" t="s">
        <v>521</v>
      </c>
      <c r="F29" t="s">
        <v>522</v>
      </c>
      <c r="G29" t="s">
        <v>22</v>
      </c>
      <c r="H29" t="s">
        <v>22</v>
      </c>
      <c r="I29" t="s">
        <v>22</v>
      </c>
      <c r="J29" t="s">
        <v>523</v>
      </c>
      <c r="K29" t="s">
        <v>22</v>
      </c>
      <c r="L29" t="s">
        <v>524</v>
      </c>
      <c r="N29" t="s">
        <v>578</v>
      </c>
      <c r="O29" t="s">
        <v>579</v>
      </c>
      <c r="P29" t="s">
        <v>242</v>
      </c>
      <c r="Q29" t="s">
        <v>541</v>
      </c>
      <c r="R29">
        <v>6486359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6486359</v>
      </c>
      <c r="Z29">
        <v>2433000</v>
      </c>
      <c r="AA29">
        <v>2433000</v>
      </c>
      <c r="AB29">
        <v>2433000</v>
      </c>
      <c r="AC29">
        <v>2433000</v>
      </c>
      <c r="AD29">
        <v>4053359</v>
      </c>
      <c r="AE29">
        <v>37.51</v>
      </c>
    </row>
    <row r="30" spans="1:31" x14ac:dyDescent="0.2">
      <c r="A30" t="s">
        <v>518</v>
      </c>
      <c r="B30" t="s">
        <v>519</v>
      </c>
      <c r="C30" t="s">
        <v>22</v>
      </c>
      <c r="D30" t="s">
        <v>520</v>
      </c>
      <c r="E30" t="s">
        <v>521</v>
      </c>
      <c r="F30" t="s">
        <v>522</v>
      </c>
      <c r="G30" t="s">
        <v>22</v>
      </c>
      <c r="H30" t="s">
        <v>22</v>
      </c>
      <c r="I30" t="s">
        <v>22</v>
      </c>
      <c r="J30" t="s">
        <v>523</v>
      </c>
      <c r="K30" t="s">
        <v>22</v>
      </c>
      <c r="L30" t="s">
        <v>524</v>
      </c>
      <c r="N30" t="s">
        <v>580</v>
      </c>
      <c r="O30" t="s">
        <v>581</v>
      </c>
      <c r="P30" t="s">
        <v>22</v>
      </c>
      <c r="Q30" t="s">
        <v>527</v>
      </c>
      <c r="R30">
        <v>71700025</v>
      </c>
      <c r="S30">
        <v>0</v>
      </c>
      <c r="T30">
        <v>0</v>
      </c>
      <c r="U30">
        <v>840600</v>
      </c>
      <c r="V30">
        <v>840600</v>
      </c>
      <c r="W30">
        <v>0</v>
      </c>
      <c r="X30">
        <v>0</v>
      </c>
      <c r="Y30">
        <v>71700025</v>
      </c>
      <c r="Z30">
        <v>19821900</v>
      </c>
      <c r="AA30">
        <v>19821900</v>
      </c>
      <c r="AB30">
        <v>19821900</v>
      </c>
      <c r="AC30">
        <v>19821900</v>
      </c>
      <c r="AD30">
        <v>51878125</v>
      </c>
      <c r="AE30">
        <v>27.65</v>
      </c>
    </row>
    <row r="31" spans="1:31" x14ac:dyDescent="0.2">
      <c r="A31" t="s">
        <v>518</v>
      </c>
      <c r="B31" t="s">
        <v>519</v>
      </c>
      <c r="C31" t="s">
        <v>22</v>
      </c>
      <c r="D31" t="s">
        <v>520</v>
      </c>
      <c r="E31" t="s">
        <v>521</v>
      </c>
      <c r="F31" t="s">
        <v>522</v>
      </c>
      <c r="G31" t="s">
        <v>22</v>
      </c>
      <c r="H31" t="s">
        <v>22</v>
      </c>
      <c r="I31" t="s">
        <v>22</v>
      </c>
      <c r="J31" t="s">
        <v>523</v>
      </c>
      <c r="K31" t="s">
        <v>22</v>
      </c>
      <c r="L31" t="s">
        <v>524</v>
      </c>
      <c r="N31" t="s">
        <v>582</v>
      </c>
      <c r="O31" t="s">
        <v>559</v>
      </c>
      <c r="P31" t="s">
        <v>242</v>
      </c>
      <c r="Q31" t="s">
        <v>541</v>
      </c>
      <c r="R31">
        <v>37548864</v>
      </c>
      <c r="S31">
        <v>0</v>
      </c>
      <c r="T31">
        <v>0</v>
      </c>
      <c r="U31">
        <v>0</v>
      </c>
      <c r="V31">
        <v>840600</v>
      </c>
      <c r="W31">
        <v>0</v>
      </c>
      <c r="X31">
        <v>0</v>
      </c>
      <c r="Y31">
        <v>36708264</v>
      </c>
      <c r="Z31">
        <v>7653500</v>
      </c>
      <c r="AA31">
        <v>7653500</v>
      </c>
      <c r="AB31">
        <v>7653500</v>
      </c>
      <c r="AC31">
        <v>7653500</v>
      </c>
      <c r="AD31">
        <v>29054764</v>
      </c>
      <c r="AE31">
        <v>20.85</v>
      </c>
    </row>
    <row r="32" spans="1:31" x14ac:dyDescent="0.2">
      <c r="A32" t="s">
        <v>518</v>
      </c>
      <c r="B32" t="s">
        <v>519</v>
      </c>
      <c r="C32" t="s">
        <v>22</v>
      </c>
      <c r="D32" t="s">
        <v>520</v>
      </c>
      <c r="E32" t="s">
        <v>521</v>
      </c>
      <c r="F32" t="s">
        <v>522</v>
      </c>
      <c r="G32" t="s">
        <v>22</v>
      </c>
      <c r="H32" t="s">
        <v>22</v>
      </c>
      <c r="I32" t="s">
        <v>22</v>
      </c>
      <c r="J32" t="s">
        <v>523</v>
      </c>
      <c r="K32" t="s">
        <v>22</v>
      </c>
      <c r="L32" t="s">
        <v>524</v>
      </c>
      <c r="N32" t="s">
        <v>583</v>
      </c>
      <c r="O32" t="s">
        <v>561</v>
      </c>
      <c r="P32" t="s">
        <v>242</v>
      </c>
      <c r="Q32" t="s">
        <v>541</v>
      </c>
      <c r="R32">
        <v>29335050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29335050</v>
      </c>
      <c r="Z32">
        <v>10339500</v>
      </c>
      <c r="AA32">
        <v>10339500</v>
      </c>
      <c r="AB32">
        <v>10339500</v>
      </c>
      <c r="AC32">
        <v>10339500</v>
      </c>
      <c r="AD32">
        <v>18995550</v>
      </c>
      <c r="AE32">
        <v>35.25</v>
      </c>
    </row>
    <row r="33" spans="1:31" x14ac:dyDescent="0.2">
      <c r="A33" t="s">
        <v>518</v>
      </c>
      <c r="B33" t="s">
        <v>519</v>
      </c>
      <c r="C33" t="s">
        <v>22</v>
      </c>
      <c r="D33" t="s">
        <v>520</v>
      </c>
      <c r="E33" t="s">
        <v>521</v>
      </c>
      <c r="F33" t="s">
        <v>522</v>
      </c>
      <c r="G33" t="s">
        <v>22</v>
      </c>
      <c r="H33" t="s">
        <v>22</v>
      </c>
      <c r="I33" t="s">
        <v>22</v>
      </c>
      <c r="J33" t="s">
        <v>523</v>
      </c>
      <c r="K33" t="s">
        <v>22</v>
      </c>
      <c r="L33" t="s">
        <v>524</v>
      </c>
      <c r="N33" t="s">
        <v>584</v>
      </c>
      <c r="O33" t="s">
        <v>569</v>
      </c>
      <c r="P33" t="s">
        <v>242</v>
      </c>
      <c r="Q33" t="s">
        <v>541</v>
      </c>
      <c r="R33">
        <v>4693608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4693608</v>
      </c>
      <c r="Z33">
        <v>1656400</v>
      </c>
      <c r="AA33">
        <v>1656400</v>
      </c>
      <c r="AB33">
        <v>1656400</v>
      </c>
      <c r="AC33">
        <v>1656400</v>
      </c>
      <c r="AD33">
        <v>3037208</v>
      </c>
      <c r="AE33">
        <v>35.29</v>
      </c>
    </row>
    <row r="34" spans="1:31" x14ac:dyDescent="0.2">
      <c r="A34" t="s">
        <v>518</v>
      </c>
      <c r="B34" t="s">
        <v>519</v>
      </c>
      <c r="C34" t="s">
        <v>22</v>
      </c>
      <c r="D34" t="s">
        <v>520</v>
      </c>
      <c r="E34" t="s">
        <v>521</v>
      </c>
      <c r="F34" t="s">
        <v>522</v>
      </c>
      <c r="G34" t="s">
        <v>22</v>
      </c>
      <c r="H34" t="s">
        <v>22</v>
      </c>
      <c r="I34" t="s">
        <v>22</v>
      </c>
      <c r="J34" t="s">
        <v>523</v>
      </c>
      <c r="K34" t="s">
        <v>22</v>
      </c>
      <c r="L34" t="s">
        <v>524</v>
      </c>
      <c r="N34" t="s">
        <v>585</v>
      </c>
      <c r="O34" t="s">
        <v>571</v>
      </c>
      <c r="P34" t="s">
        <v>242</v>
      </c>
      <c r="Q34" t="s">
        <v>541</v>
      </c>
      <c r="R34">
        <v>122503</v>
      </c>
      <c r="S34">
        <v>0</v>
      </c>
      <c r="T34">
        <v>0</v>
      </c>
      <c r="U34">
        <v>840600</v>
      </c>
      <c r="V34">
        <v>0</v>
      </c>
      <c r="W34">
        <v>0</v>
      </c>
      <c r="X34">
        <v>0</v>
      </c>
      <c r="Y34">
        <v>963103</v>
      </c>
      <c r="Z34">
        <v>172500</v>
      </c>
      <c r="AA34">
        <v>172500</v>
      </c>
      <c r="AB34">
        <v>172500</v>
      </c>
      <c r="AC34">
        <v>172500</v>
      </c>
      <c r="AD34">
        <v>790603</v>
      </c>
      <c r="AE34">
        <v>17.91</v>
      </c>
    </row>
    <row r="35" spans="1:31" x14ac:dyDescent="0.2">
      <c r="A35" t="s">
        <v>518</v>
      </c>
      <c r="B35" t="s">
        <v>519</v>
      </c>
      <c r="C35" t="s">
        <v>22</v>
      </c>
      <c r="D35" t="s">
        <v>520</v>
      </c>
      <c r="E35" t="s">
        <v>521</v>
      </c>
      <c r="F35" t="s">
        <v>522</v>
      </c>
      <c r="G35" t="s">
        <v>22</v>
      </c>
      <c r="H35" t="s">
        <v>22</v>
      </c>
      <c r="I35" t="s">
        <v>22</v>
      </c>
      <c r="J35" t="s">
        <v>523</v>
      </c>
      <c r="K35" t="s">
        <v>22</v>
      </c>
      <c r="L35" t="s">
        <v>524</v>
      </c>
      <c r="N35" t="s">
        <v>586</v>
      </c>
      <c r="O35" t="s">
        <v>587</v>
      </c>
      <c r="P35" t="s">
        <v>22</v>
      </c>
      <c r="Q35" t="s">
        <v>527</v>
      </c>
      <c r="R35">
        <v>103235299</v>
      </c>
      <c r="S35">
        <v>0</v>
      </c>
      <c r="T35">
        <v>0</v>
      </c>
      <c r="U35">
        <v>29903112</v>
      </c>
      <c r="V35">
        <v>9903112</v>
      </c>
      <c r="W35">
        <v>0</v>
      </c>
      <c r="X35">
        <v>0</v>
      </c>
      <c r="Y35">
        <v>123235299</v>
      </c>
      <c r="Z35">
        <v>53853212</v>
      </c>
      <c r="AA35">
        <v>53853212</v>
      </c>
      <c r="AB35">
        <v>53853212</v>
      </c>
      <c r="AC35">
        <v>53853212</v>
      </c>
      <c r="AD35">
        <v>69382087</v>
      </c>
      <c r="AE35">
        <v>43.7</v>
      </c>
    </row>
    <row r="36" spans="1:31" x14ac:dyDescent="0.2">
      <c r="A36" t="s">
        <v>518</v>
      </c>
      <c r="B36" t="s">
        <v>519</v>
      </c>
      <c r="C36" t="s">
        <v>22</v>
      </c>
      <c r="D36" t="s">
        <v>520</v>
      </c>
      <c r="E36" t="s">
        <v>521</v>
      </c>
      <c r="F36" t="s">
        <v>522</v>
      </c>
      <c r="G36" t="s">
        <v>22</v>
      </c>
      <c r="H36" t="s">
        <v>22</v>
      </c>
      <c r="I36" t="s">
        <v>22</v>
      </c>
      <c r="J36" t="s">
        <v>523</v>
      </c>
      <c r="K36" t="s">
        <v>22</v>
      </c>
      <c r="L36" t="s">
        <v>524</v>
      </c>
      <c r="N36" t="s">
        <v>588</v>
      </c>
      <c r="O36" t="s">
        <v>551</v>
      </c>
      <c r="P36" t="s">
        <v>22</v>
      </c>
      <c r="Q36" t="s">
        <v>527</v>
      </c>
      <c r="R36">
        <v>36582545</v>
      </c>
      <c r="S36">
        <v>0</v>
      </c>
      <c r="T36">
        <v>0</v>
      </c>
      <c r="U36">
        <v>9903112</v>
      </c>
      <c r="V36">
        <v>9903112</v>
      </c>
      <c r="W36">
        <v>0</v>
      </c>
      <c r="X36">
        <v>0</v>
      </c>
      <c r="Y36">
        <v>36582545</v>
      </c>
      <c r="Z36">
        <v>23463227</v>
      </c>
      <c r="AA36">
        <v>23463227</v>
      </c>
      <c r="AB36">
        <v>23463227</v>
      </c>
      <c r="AC36">
        <v>23463227</v>
      </c>
      <c r="AD36">
        <v>13119318</v>
      </c>
      <c r="AE36">
        <v>64.14</v>
      </c>
    </row>
    <row r="37" spans="1:31" x14ac:dyDescent="0.2">
      <c r="A37" t="s">
        <v>518</v>
      </c>
      <c r="B37" t="s">
        <v>519</v>
      </c>
      <c r="C37" t="s">
        <v>22</v>
      </c>
      <c r="D37" t="s">
        <v>520</v>
      </c>
      <c r="E37" t="s">
        <v>521</v>
      </c>
      <c r="F37" t="s">
        <v>522</v>
      </c>
      <c r="G37" t="s">
        <v>22</v>
      </c>
      <c r="H37" t="s">
        <v>22</v>
      </c>
      <c r="I37" t="s">
        <v>22</v>
      </c>
      <c r="J37" t="s">
        <v>523</v>
      </c>
      <c r="K37" t="s">
        <v>22</v>
      </c>
      <c r="L37" t="s">
        <v>524</v>
      </c>
      <c r="N37" t="s">
        <v>589</v>
      </c>
      <c r="O37" t="s">
        <v>590</v>
      </c>
      <c r="P37" t="s">
        <v>242</v>
      </c>
      <c r="Q37" t="s">
        <v>541</v>
      </c>
      <c r="R37">
        <v>23778387</v>
      </c>
      <c r="S37">
        <v>0</v>
      </c>
      <c r="T37">
        <v>0</v>
      </c>
      <c r="U37">
        <v>0</v>
      </c>
      <c r="V37">
        <v>9903112</v>
      </c>
      <c r="W37">
        <v>0</v>
      </c>
      <c r="X37">
        <v>0</v>
      </c>
      <c r="Y37">
        <v>13875275</v>
      </c>
      <c r="Z37">
        <v>1901561</v>
      </c>
      <c r="AA37">
        <v>1901561</v>
      </c>
      <c r="AB37">
        <v>1901561</v>
      </c>
      <c r="AC37">
        <v>1901561</v>
      </c>
      <c r="AD37">
        <v>11973714</v>
      </c>
      <c r="AE37">
        <v>13.7</v>
      </c>
    </row>
    <row r="38" spans="1:31" x14ac:dyDescent="0.2">
      <c r="A38" t="s">
        <v>518</v>
      </c>
      <c r="B38" t="s">
        <v>519</v>
      </c>
      <c r="C38" t="s">
        <v>22</v>
      </c>
      <c r="D38" t="s">
        <v>520</v>
      </c>
      <c r="E38" t="s">
        <v>521</v>
      </c>
      <c r="F38" t="s">
        <v>522</v>
      </c>
      <c r="G38" t="s">
        <v>22</v>
      </c>
      <c r="H38" t="s">
        <v>22</v>
      </c>
      <c r="I38" t="s">
        <v>22</v>
      </c>
      <c r="J38" t="s">
        <v>523</v>
      </c>
      <c r="K38" t="s">
        <v>22</v>
      </c>
      <c r="L38" t="s">
        <v>524</v>
      </c>
      <c r="N38" t="s">
        <v>591</v>
      </c>
      <c r="O38" t="s">
        <v>592</v>
      </c>
      <c r="P38" t="s">
        <v>242</v>
      </c>
      <c r="Q38" t="s">
        <v>541</v>
      </c>
      <c r="R38">
        <v>10000000</v>
      </c>
      <c r="S38">
        <v>0</v>
      </c>
      <c r="T38">
        <v>0</v>
      </c>
      <c r="U38">
        <v>9903112</v>
      </c>
      <c r="V38">
        <v>0</v>
      </c>
      <c r="W38">
        <v>0</v>
      </c>
      <c r="X38">
        <v>0</v>
      </c>
      <c r="Y38">
        <v>19903112</v>
      </c>
      <c r="Z38">
        <v>19903112</v>
      </c>
      <c r="AA38">
        <v>19903112</v>
      </c>
      <c r="AB38">
        <v>19903112</v>
      </c>
      <c r="AC38">
        <v>19903112</v>
      </c>
      <c r="AD38">
        <v>0</v>
      </c>
      <c r="AE38">
        <v>100</v>
      </c>
    </row>
    <row r="39" spans="1:31" x14ac:dyDescent="0.2">
      <c r="A39" t="s">
        <v>518</v>
      </c>
      <c r="B39" t="s">
        <v>519</v>
      </c>
      <c r="C39" t="s">
        <v>22</v>
      </c>
      <c r="D39" t="s">
        <v>520</v>
      </c>
      <c r="E39" t="s">
        <v>521</v>
      </c>
      <c r="F39" t="s">
        <v>522</v>
      </c>
      <c r="G39" t="s">
        <v>22</v>
      </c>
      <c r="H39" t="s">
        <v>22</v>
      </c>
      <c r="I39" t="s">
        <v>22</v>
      </c>
      <c r="J39" t="s">
        <v>523</v>
      </c>
      <c r="K39" t="s">
        <v>22</v>
      </c>
      <c r="L39" t="s">
        <v>524</v>
      </c>
      <c r="N39" t="s">
        <v>593</v>
      </c>
      <c r="O39" t="s">
        <v>594</v>
      </c>
      <c r="P39" t="s">
        <v>242</v>
      </c>
      <c r="Q39" t="s">
        <v>541</v>
      </c>
      <c r="R39">
        <v>2804158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2804158</v>
      </c>
      <c r="Z39">
        <v>1658554</v>
      </c>
      <c r="AA39">
        <v>1658554</v>
      </c>
      <c r="AB39">
        <v>1658554</v>
      </c>
      <c r="AC39">
        <v>1658554</v>
      </c>
      <c r="AD39">
        <v>1145604</v>
      </c>
      <c r="AE39">
        <v>59.15</v>
      </c>
    </row>
    <row r="40" spans="1:31" x14ac:dyDescent="0.2">
      <c r="A40" t="s">
        <v>518</v>
      </c>
      <c r="B40" t="s">
        <v>519</v>
      </c>
      <c r="C40" t="s">
        <v>22</v>
      </c>
      <c r="D40" t="s">
        <v>520</v>
      </c>
      <c r="E40" t="s">
        <v>521</v>
      </c>
      <c r="F40" t="s">
        <v>522</v>
      </c>
      <c r="G40" t="s">
        <v>22</v>
      </c>
      <c r="H40" t="s">
        <v>22</v>
      </c>
      <c r="I40" t="s">
        <v>22</v>
      </c>
      <c r="J40" t="s">
        <v>523</v>
      </c>
      <c r="K40" t="s">
        <v>22</v>
      </c>
      <c r="L40" t="s">
        <v>524</v>
      </c>
      <c r="N40" t="s">
        <v>595</v>
      </c>
      <c r="O40" t="s">
        <v>596</v>
      </c>
      <c r="P40" t="s">
        <v>242</v>
      </c>
      <c r="Q40" t="s">
        <v>541</v>
      </c>
      <c r="R40">
        <v>56128635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56128635</v>
      </c>
      <c r="Z40">
        <v>18199285</v>
      </c>
      <c r="AA40">
        <v>18199285</v>
      </c>
      <c r="AB40">
        <v>18199285</v>
      </c>
      <c r="AC40">
        <v>18199285</v>
      </c>
      <c r="AD40">
        <v>37929350</v>
      </c>
      <c r="AE40">
        <v>32.42</v>
      </c>
    </row>
    <row r="41" spans="1:31" x14ac:dyDescent="0.2">
      <c r="A41" t="s">
        <v>518</v>
      </c>
      <c r="B41" t="s">
        <v>519</v>
      </c>
      <c r="C41" t="s">
        <v>22</v>
      </c>
      <c r="D41" t="s">
        <v>520</v>
      </c>
      <c r="E41" t="s">
        <v>521</v>
      </c>
      <c r="F41" t="s">
        <v>522</v>
      </c>
      <c r="G41" t="s">
        <v>22</v>
      </c>
      <c r="H41" t="s">
        <v>22</v>
      </c>
      <c r="I41" t="s">
        <v>22</v>
      </c>
      <c r="J41" t="s">
        <v>523</v>
      </c>
      <c r="K41" t="s">
        <v>22</v>
      </c>
      <c r="L41" t="s">
        <v>524</v>
      </c>
      <c r="N41" t="s">
        <v>597</v>
      </c>
      <c r="O41" t="s">
        <v>598</v>
      </c>
      <c r="P41" t="s">
        <v>242</v>
      </c>
      <c r="Q41" t="s">
        <v>541</v>
      </c>
      <c r="R41">
        <v>10524119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10524119</v>
      </c>
      <c r="Z41">
        <v>0</v>
      </c>
      <c r="AA41">
        <v>0</v>
      </c>
      <c r="AB41">
        <v>0</v>
      </c>
      <c r="AC41">
        <v>0</v>
      </c>
      <c r="AD41">
        <v>10524119</v>
      </c>
      <c r="AE41">
        <v>0</v>
      </c>
    </row>
    <row r="42" spans="1:31" x14ac:dyDescent="0.2">
      <c r="A42" t="s">
        <v>518</v>
      </c>
      <c r="B42" t="s">
        <v>519</v>
      </c>
      <c r="C42" t="s">
        <v>22</v>
      </c>
      <c r="D42" t="s">
        <v>520</v>
      </c>
      <c r="E42" t="s">
        <v>521</v>
      </c>
      <c r="F42" t="s">
        <v>522</v>
      </c>
      <c r="G42" t="s">
        <v>22</v>
      </c>
      <c r="H42" t="s">
        <v>22</v>
      </c>
      <c r="I42" t="s">
        <v>22</v>
      </c>
      <c r="J42" t="s">
        <v>523</v>
      </c>
      <c r="K42" t="s">
        <v>22</v>
      </c>
      <c r="L42" t="s">
        <v>524</v>
      </c>
      <c r="N42" t="s">
        <v>599</v>
      </c>
      <c r="O42" t="s">
        <v>600</v>
      </c>
      <c r="P42" t="s">
        <v>242</v>
      </c>
      <c r="Q42" t="s">
        <v>541</v>
      </c>
      <c r="R42">
        <v>0</v>
      </c>
      <c r="S42">
        <v>0</v>
      </c>
      <c r="T42">
        <v>0</v>
      </c>
      <c r="U42">
        <v>20000000</v>
      </c>
      <c r="V42">
        <v>0</v>
      </c>
      <c r="W42">
        <v>0</v>
      </c>
      <c r="X42">
        <v>0</v>
      </c>
      <c r="Y42">
        <v>20000000</v>
      </c>
      <c r="Z42">
        <v>12190700</v>
      </c>
      <c r="AA42">
        <v>12190700</v>
      </c>
      <c r="AB42">
        <v>12190700</v>
      </c>
      <c r="AC42">
        <v>12190700</v>
      </c>
      <c r="AD42">
        <v>7809300</v>
      </c>
      <c r="AE42">
        <v>60.95</v>
      </c>
    </row>
    <row r="43" spans="1:31" x14ac:dyDescent="0.2">
      <c r="A43" t="s">
        <v>518</v>
      </c>
      <c r="B43" t="s">
        <v>519</v>
      </c>
      <c r="C43" t="s">
        <v>22</v>
      </c>
      <c r="D43" t="s">
        <v>520</v>
      </c>
      <c r="E43" t="s">
        <v>521</v>
      </c>
      <c r="F43" t="s">
        <v>522</v>
      </c>
      <c r="G43" t="s">
        <v>22</v>
      </c>
      <c r="H43" t="s">
        <v>22</v>
      </c>
      <c r="I43" t="s">
        <v>22</v>
      </c>
      <c r="J43" t="s">
        <v>523</v>
      </c>
      <c r="K43" t="s">
        <v>22</v>
      </c>
      <c r="L43" t="s">
        <v>524</v>
      </c>
      <c r="N43" t="s">
        <v>601</v>
      </c>
      <c r="O43" t="s">
        <v>602</v>
      </c>
      <c r="P43" t="s">
        <v>22</v>
      </c>
      <c r="Q43" t="s">
        <v>527</v>
      </c>
      <c r="R43">
        <v>1252400000</v>
      </c>
      <c r="S43">
        <v>1607176</v>
      </c>
      <c r="T43">
        <v>152667595</v>
      </c>
      <c r="U43">
        <v>206135818</v>
      </c>
      <c r="V43">
        <v>231465068</v>
      </c>
      <c r="W43">
        <v>0</v>
      </c>
      <c r="X43">
        <v>0</v>
      </c>
      <c r="Y43">
        <v>1076010331</v>
      </c>
      <c r="Z43">
        <v>671355303.60000002</v>
      </c>
      <c r="AA43">
        <v>659381976.60000002</v>
      </c>
      <c r="AB43">
        <v>315163326.60000002</v>
      </c>
      <c r="AC43">
        <v>315163326.60000002</v>
      </c>
      <c r="AD43">
        <v>404655027.39999998</v>
      </c>
      <c r="AE43">
        <v>62.39</v>
      </c>
    </row>
    <row r="44" spans="1:31" x14ac:dyDescent="0.2">
      <c r="A44" t="s">
        <v>518</v>
      </c>
      <c r="B44" t="s">
        <v>519</v>
      </c>
      <c r="C44" t="s">
        <v>22</v>
      </c>
      <c r="D44" t="s">
        <v>520</v>
      </c>
      <c r="E44" t="s">
        <v>521</v>
      </c>
      <c r="F44" t="s">
        <v>522</v>
      </c>
      <c r="G44" t="s">
        <v>22</v>
      </c>
      <c r="H44" t="s">
        <v>22</v>
      </c>
      <c r="I44" t="s">
        <v>22</v>
      </c>
      <c r="J44" t="s">
        <v>523</v>
      </c>
      <c r="K44" t="s">
        <v>22</v>
      </c>
      <c r="L44" t="s">
        <v>524</v>
      </c>
      <c r="N44" t="s">
        <v>603</v>
      </c>
      <c r="O44" t="s">
        <v>604</v>
      </c>
      <c r="P44" t="s">
        <v>22</v>
      </c>
      <c r="Q44" t="s">
        <v>527</v>
      </c>
      <c r="R44">
        <v>80000000</v>
      </c>
      <c r="S44">
        <v>0</v>
      </c>
      <c r="T44">
        <v>80000000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</row>
    <row r="45" spans="1:31" x14ac:dyDescent="0.2">
      <c r="A45" t="s">
        <v>518</v>
      </c>
      <c r="B45" t="s">
        <v>519</v>
      </c>
      <c r="C45" t="s">
        <v>22</v>
      </c>
      <c r="D45" t="s">
        <v>520</v>
      </c>
      <c r="E45" t="s">
        <v>521</v>
      </c>
      <c r="F45" t="s">
        <v>522</v>
      </c>
      <c r="G45" t="s">
        <v>22</v>
      </c>
      <c r="H45" t="s">
        <v>22</v>
      </c>
      <c r="I45" t="s">
        <v>22</v>
      </c>
      <c r="J45" t="s">
        <v>523</v>
      </c>
      <c r="K45" t="s">
        <v>22</v>
      </c>
      <c r="L45" t="s">
        <v>524</v>
      </c>
      <c r="N45" t="s">
        <v>605</v>
      </c>
      <c r="O45" t="s">
        <v>606</v>
      </c>
      <c r="P45" t="s">
        <v>22</v>
      </c>
      <c r="Q45" t="s">
        <v>527</v>
      </c>
      <c r="R45">
        <v>80000000</v>
      </c>
      <c r="S45">
        <v>0</v>
      </c>
      <c r="T45">
        <v>80000000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</row>
    <row r="46" spans="1:31" x14ac:dyDescent="0.2">
      <c r="A46" t="s">
        <v>518</v>
      </c>
      <c r="B46" t="s">
        <v>519</v>
      </c>
      <c r="C46" t="s">
        <v>22</v>
      </c>
      <c r="D46" t="s">
        <v>520</v>
      </c>
      <c r="E46" t="s">
        <v>521</v>
      </c>
      <c r="F46" t="s">
        <v>522</v>
      </c>
      <c r="G46" t="s">
        <v>22</v>
      </c>
      <c r="H46" t="s">
        <v>22</v>
      </c>
      <c r="I46" t="s">
        <v>22</v>
      </c>
      <c r="J46" t="s">
        <v>523</v>
      </c>
      <c r="K46" t="s">
        <v>22</v>
      </c>
      <c r="L46" t="s">
        <v>524</v>
      </c>
      <c r="N46" t="s">
        <v>607</v>
      </c>
      <c r="O46" t="s">
        <v>608</v>
      </c>
      <c r="P46" t="s">
        <v>22</v>
      </c>
      <c r="Q46" t="s">
        <v>527</v>
      </c>
      <c r="R46">
        <v>40000000</v>
      </c>
      <c r="S46">
        <v>0</v>
      </c>
      <c r="T46">
        <v>40000000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</row>
    <row r="47" spans="1:31" x14ac:dyDescent="0.2">
      <c r="A47" t="s">
        <v>518</v>
      </c>
      <c r="B47" t="s">
        <v>519</v>
      </c>
      <c r="C47" t="s">
        <v>22</v>
      </c>
      <c r="D47" t="s">
        <v>520</v>
      </c>
      <c r="E47" t="s">
        <v>521</v>
      </c>
      <c r="F47" t="s">
        <v>522</v>
      </c>
      <c r="G47" t="s">
        <v>22</v>
      </c>
      <c r="H47" t="s">
        <v>22</v>
      </c>
      <c r="I47" t="s">
        <v>22</v>
      </c>
      <c r="J47" t="s">
        <v>523</v>
      </c>
      <c r="K47" t="s">
        <v>22</v>
      </c>
      <c r="L47" t="s">
        <v>524</v>
      </c>
      <c r="N47" t="s">
        <v>609</v>
      </c>
      <c r="O47" t="s">
        <v>610</v>
      </c>
      <c r="P47" t="s">
        <v>22</v>
      </c>
      <c r="Q47" t="s">
        <v>527</v>
      </c>
      <c r="R47">
        <v>40000000</v>
      </c>
      <c r="S47">
        <v>0</v>
      </c>
      <c r="T47">
        <v>40000000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</row>
    <row r="48" spans="1:31" x14ac:dyDescent="0.2">
      <c r="A48" t="s">
        <v>518</v>
      </c>
      <c r="B48" t="s">
        <v>519</v>
      </c>
      <c r="C48" t="s">
        <v>22</v>
      </c>
      <c r="D48" t="s">
        <v>520</v>
      </c>
      <c r="E48" t="s">
        <v>521</v>
      </c>
      <c r="F48" t="s">
        <v>522</v>
      </c>
      <c r="G48" t="s">
        <v>22</v>
      </c>
      <c r="H48" t="s">
        <v>22</v>
      </c>
      <c r="I48" t="s">
        <v>22</v>
      </c>
      <c r="J48" t="s">
        <v>523</v>
      </c>
      <c r="K48" t="s">
        <v>22</v>
      </c>
      <c r="L48" t="s">
        <v>524</v>
      </c>
      <c r="N48" t="s">
        <v>611</v>
      </c>
      <c r="O48" t="s">
        <v>612</v>
      </c>
      <c r="P48" t="s">
        <v>22</v>
      </c>
      <c r="Q48" t="s">
        <v>527</v>
      </c>
      <c r="R48">
        <v>40000000</v>
      </c>
      <c r="S48">
        <v>0</v>
      </c>
      <c r="T48">
        <v>40000000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</row>
    <row r="49" spans="1:31" x14ac:dyDescent="0.2">
      <c r="A49" t="s">
        <v>518</v>
      </c>
      <c r="B49" t="s">
        <v>519</v>
      </c>
      <c r="C49" t="s">
        <v>22</v>
      </c>
      <c r="D49" t="s">
        <v>520</v>
      </c>
      <c r="E49" t="s">
        <v>521</v>
      </c>
      <c r="F49" t="s">
        <v>522</v>
      </c>
      <c r="G49" t="s">
        <v>22</v>
      </c>
      <c r="H49" t="s">
        <v>22</v>
      </c>
      <c r="I49" t="s">
        <v>22</v>
      </c>
      <c r="J49" t="s">
        <v>523</v>
      </c>
      <c r="K49" t="s">
        <v>22</v>
      </c>
      <c r="L49" t="s">
        <v>524</v>
      </c>
      <c r="N49" t="s">
        <v>613</v>
      </c>
      <c r="O49" t="s">
        <v>614</v>
      </c>
      <c r="P49" t="s">
        <v>242</v>
      </c>
      <c r="Q49" t="s">
        <v>541</v>
      </c>
      <c r="R49">
        <v>40000000</v>
      </c>
      <c r="S49">
        <v>0</v>
      </c>
      <c r="T49">
        <v>40000000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</row>
    <row r="50" spans="1:31" x14ac:dyDescent="0.2">
      <c r="A50" t="s">
        <v>518</v>
      </c>
      <c r="B50" t="s">
        <v>519</v>
      </c>
      <c r="C50" t="s">
        <v>22</v>
      </c>
      <c r="D50" t="s">
        <v>520</v>
      </c>
      <c r="E50" t="s">
        <v>521</v>
      </c>
      <c r="F50" t="s">
        <v>522</v>
      </c>
      <c r="G50" t="s">
        <v>22</v>
      </c>
      <c r="H50" t="s">
        <v>22</v>
      </c>
      <c r="I50" t="s">
        <v>22</v>
      </c>
      <c r="J50" t="s">
        <v>523</v>
      </c>
      <c r="K50" t="s">
        <v>22</v>
      </c>
      <c r="L50" t="s">
        <v>524</v>
      </c>
      <c r="N50" t="s">
        <v>615</v>
      </c>
      <c r="O50" t="s">
        <v>616</v>
      </c>
      <c r="P50" t="s">
        <v>22</v>
      </c>
      <c r="Q50" t="s">
        <v>527</v>
      </c>
      <c r="R50">
        <v>40000000</v>
      </c>
      <c r="S50">
        <v>0</v>
      </c>
      <c r="T50">
        <v>40000000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</row>
    <row r="51" spans="1:31" x14ac:dyDescent="0.2">
      <c r="A51" t="s">
        <v>518</v>
      </c>
      <c r="B51" t="s">
        <v>519</v>
      </c>
      <c r="C51" t="s">
        <v>22</v>
      </c>
      <c r="D51" t="s">
        <v>520</v>
      </c>
      <c r="E51" t="s">
        <v>521</v>
      </c>
      <c r="F51" t="s">
        <v>522</v>
      </c>
      <c r="G51" t="s">
        <v>22</v>
      </c>
      <c r="H51" t="s">
        <v>22</v>
      </c>
      <c r="I51" t="s">
        <v>22</v>
      </c>
      <c r="J51" t="s">
        <v>523</v>
      </c>
      <c r="K51" t="s">
        <v>22</v>
      </c>
      <c r="L51" t="s">
        <v>524</v>
      </c>
      <c r="N51" t="s">
        <v>617</v>
      </c>
      <c r="O51" t="s">
        <v>618</v>
      </c>
      <c r="P51" t="s">
        <v>22</v>
      </c>
      <c r="Q51" t="s">
        <v>527</v>
      </c>
      <c r="R51">
        <v>40000000</v>
      </c>
      <c r="S51">
        <v>0</v>
      </c>
      <c r="T51">
        <v>40000000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</row>
    <row r="52" spans="1:31" x14ac:dyDescent="0.2">
      <c r="A52" t="s">
        <v>518</v>
      </c>
      <c r="B52" t="s">
        <v>519</v>
      </c>
      <c r="C52" t="s">
        <v>22</v>
      </c>
      <c r="D52" t="s">
        <v>520</v>
      </c>
      <c r="E52" t="s">
        <v>521</v>
      </c>
      <c r="F52" t="s">
        <v>522</v>
      </c>
      <c r="G52" t="s">
        <v>22</v>
      </c>
      <c r="H52" t="s">
        <v>22</v>
      </c>
      <c r="I52" t="s">
        <v>22</v>
      </c>
      <c r="J52" t="s">
        <v>523</v>
      </c>
      <c r="K52" t="s">
        <v>22</v>
      </c>
      <c r="L52" t="s">
        <v>524</v>
      </c>
      <c r="N52" t="s">
        <v>619</v>
      </c>
      <c r="O52" t="s">
        <v>620</v>
      </c>
      <c r="P52" t="s">
        <v>22</v>
      </c>
      <c r="Q52" t="s">
        <v>527</v>
      </c>
      <c r="R52">
        <v>40000000</v>
      </c>
      <c r="S52">
        <v>0</v>
      </c>
      <c r="T52">
        <v>40000000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</row>
    <row r="53" spans="1:31" x14ac:dyDescent="0.2">
      <c r="A53" t="s">
        <v>518</v>
      </c>
      <c r="B53" t="s">
        <v>519</v>
      </c>
      <c r="C53" t="s">
        <v>22</v>
      </c>
      <c r="D53" t="s">
        <v>520</v>
      </c>
      <c r="E53" t="s">
        <v>521</v>
      </c>
      <c r="F53" t="s">
        <v>522</v>
      </c>
      <c r="G53" t="s">
        <v>22</v>
      </c>
      <c r="H53" t="s">
        <v>22</v>
      </c>
      <c r="I53" t="s">
        <v>22</v>
      </c>
      <c r="J53" t="s">
        <v>523</v>
      </c>
      <c r="K53" t="s">
        <v>22</v>
      </c>
      <c r="L53" t="s">
        <v>524</v>
      </c>
      <c r="N53" t="s">
        <v>621</v>
      </c>
      <c r="O53" t="s">
        <v>622</v>
      </c>
      <c r="P53" t="s">
        <v>22</v>
      </c>
      <c r="Q53" t="s">
        <v>527</v>
      </c>
      <c r="R53">
        <v>40000000</v>
      </c>
      <c r="S53">
        <v>0</v>
      </c>
      <c r="T53">
        <v>40000000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</row>
    <row r="54" spans="1:31" x14ac:dyDescent="0.2">
      <c r="A54" t="s">
        <v>518</v>
      </c>
      <c r="B54" t="s">
        <v>519</v>
      </c>
      <c r="C54" t="s">
        <v>22</v>
      </c>
      <c r="D54" t="s">
        <v>520</v>
      </c>
      <c r="E54" t="s">
        <v>521</v>
      </c>
      <c r="F54" t="s">
        <v>522</v>
      </c>
      <c r="G54" t="s">
        <v>22</v>
      </c>
      <c r="H54" t="s">
        <v>22</v>
      </c>
      <c r="I54" t="s">
        <v>22</v>
      </c>
      <c r="J54" t="s">
        <v>523</v>
      </c>
      <c r="K54" t="s">
        <v>22</v>
      </c>
      <c r="L54" t="s">
        <v>524</v>
      </c>
      <c r="N54" t="s">
        <v>623</v>
      </c>
      <c r="O54" t="s">
        <v>624</v>
      </c>
      <c r="P54" t="s">
        <v>242</v>
      </c>
      <c r="Q54" t="s">
        <v>541</v>
      </c>
      <c r="R54">
        <v>40000000</v>
      </c>
      <c r="S54">
        <v>0</v>
      </c>
      <c r="T54">
        <v>40000000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</row>
    <row r="55" spans="1:31" x14ac:dyDescent="0.2">
      <c r="A55" t="s">
        <v>518</v>
      </c>
      <c r="B55" t="s">
        <v>519</v>
      </c>
      <c r="C55" t="s">
        <v>22</v>
      </c>
      <c r="D55" t="s">
        <v>520</v>
      </c>
      <c r="E55" t="s">
        <v>521</v>
      </c>
      <c r="F55" t="s">
        <v>522</v>
      </c>
      <c r="G55" t="s">
        <v>22</v>
      </c>
      <c r="H55" t="s">
        <v>22</v>
      </c>
      <c r="I55" t="s">
        <v>22</v>
      </c>
      <c r="J55" t="s">
        <v>523</v>
      </c>
      <c r="K55" t="s">
        <v>22</v>
      </c>
      <c r="L55" t="s">
        <v>524</v>
      </c>
      <c r="N55" t="s">
        <v>625</v>
      </c>
      <c r="O55" t="s">
        <v>626</v>
      </c>
      <c r="P55" t="s">
        <v>22</v>
      </c>
      <c r="Q55" t="s">
        <v>527</v>
      </c>
      <c r="R55">
        <v>1172400000</v>
      </c>
      <c r="S55">
        <v>1607176</v>
      </c>
      <c r="T55">
        <v>72667595</v>
      </c>
      <c r="U55">
        <v>206135818</v>
      </c>
      <c r="V55">
        <v>231465068</v>
      </c>
      <c r="W55">
        <v>0</v>
      </c>
      <c r="X55">
        <v>0</v>
      </c>
      <c r="Y55">
        <v>1076010331</v>
      </c>
      <c r="Z55">
        <v>671355303.60000002</v>
      </c>
      <c r="AA55">
        <v>659381976.60000002</v>
      </c>
      <c r="AB55">
        <v>315163326.60000002</v>
      </c>
      <c r="AC55">
        <v>315163326.60000002</v>
      </c>
      <c r="AD55">
        <v>404655027.39999998</v>
      </c>
      <c r="AE55">
        <v>62.39</v>
      </c>
    </row>
    <row r="56" spans="1:31" x14ac:dyDescent="0.2">
      <c r="A56" t="s">
        <v>518</v>
      </c>
      <c r="B56" t="s">
        <v>519</v>
      </c>
      <c r="C56" t="s">
        <v>22</v>
      </c>
      <c r="D56" t="s">
        <v>520</v>
      </c>
      <c r="E56" t="s">
        <v>521</v>
      </c>
      <c r="F56" t="s">
        <v>522</v>
      </c>
      <c r="G56" t="s">
        <v>22</v>
      </c>
      <c r="H56" t="s">
        <v>22</v>
      </c>
      <c r="I56" t="s">
        <v>22</v>
      </c>
      <c r="J56" t="s">
        <v>523</v>
      </c>
      <c r="K56" t="s">
        <v>22</v>
      </c>
      <c r="L56" t="s">
        <v>524</v>
      </c>
      <c r="N56" t="s">
        <v>627</v>
      </c>
      <c r="O56" t="s">
        <v>628</v>
      </c>
      <c r="P56" t="s">
        <v>22</v>
      </c>
      <c r="Q56" t="s">
        <v>527</v>
      </c>
      <c r="R56">
        <v>93900000</v>
      </c>
      <c r="S56">
        <v>1607176</v>
      </c>
      <c r="T56">
        <v>5000000</v>
      </c>
      <c r="U56">
        <v>0</v>
      </c>
      <c r="V56">
        <v>2000000</v>
      </c>
      <c r="W56">
        <v>0</v>
      </c>
      <c r="X56">
        <v>0</v>
      </c>
      <c r="Y56">
        <v>88507176</v>
      </c>
      <c r="Z56">
        <v>0</v>
      </c>
      <c r="AA56">
        <v>0</v>
      </c>
      <c r="AB56">
        <v>0</v>
      </c>
      <c r="AC56">
        <v>0</v>
      </c>
      <c r="AD56">
        <v>88507176</v>
      </c>
      <c r="AE56">
        <v>0</v>
      </c>
    </row>
    <row r="57" spans="1:31" x14ac:dyDescent="0.2">
      <c r="A57" t="s">
        <v>518</v>
      </c>
      <c r="B57" t="s">
        <v>519</v>
      </c>
      <c r="C57" t="s">
        <v>22</v>
      </c>
      <c r="D57" t="s">
        <v>520</v>
      </c>
      <c r="E57" t="s">
        <v>521</v>
      </c>
      <c r="F57" t="s">
        <v>522</v>
      </c>
      <c r="G57" t="s">
        <v>22</v>
      </c>
      <c r="H57" t="s">
        <v>22</v>
      </c>
      <c r="I57" t="s">
        <v>22</v>
      </c>
      <c r="J57" t="s">
        <v>523</v>
      </c>
      <c r="K57" t="s">
        <v>22</v>
      </c>
      <c r="L57" t="s">
        <v>524</v>
      </c>
      <c r="N57" t="s">
        <v>629</v>
      </c>
      <c r="O57" t="s">
        <v>630</v>
      </c>
      <c r="P57" t="s">
        <v>22</v>
      </c>
      <c r="Q57" t="s">
        <v>527</v>
      </c>
      <c r="R57">
        <v>23000000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23000000</v>
      </c>
      <c r="Z57">
        <v>0</v>
      </c>
      <c r="AA57">
        <v>0</v>
      </c>
      <c r="AB57">
        <v>0</v>
      </c>
      <c r="AC57">
        <v>0</v>
      </c>
      <c r="AD57">
        <v>23000000</v>
      </c>
      <c r="AE57">
        <v>0</v>
      </c>
    </row>
    <row r="58" spans="1:31" x14ac:dyDescent="0.2">
      <c r="A58" t="s">
        <v>518</v>
      </c>
      <c r="B58" t="s">
        <v>519</v>
      </c>
      <c r="C58" t="s">
        <v>22</v>
      </c>
      <c r="D58" t="s">
        <v>520</v>
      </c>
      <c r="E58" t="s">
        <v>521</v>
      </c>
      <c r="F58" t="s">
        <v>522</v>
      </c>
      <c r="G58" t="s">
        <v>22</v>
      </c>
      <c r="H58" t="s">
        <v>22</v>
      </c>
      <c r="I58" t="s">
        <v>631</v>
      </c>
      <c r="J58" t="s">
        <v>632</v>
      </c>
      <c r="K58" t="s">
        <v>22</v>
      </c>
      <c r="L58" t="s">
        <v>524</v>
      </c>
      <c r="N58" t="s">
        <v>633</v>
      </c>
      <c r="O58" t="s">
        <v>634</v>
      </c>
      <c r="P58" t="s">
        <v>242</v>
      </c>
      <c r="Q58" t="s">
        <v>541</v>
      </c>
      <c r="R58">
        <v>23000000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23000000</v>
      </c>
      <c r="Z58">
        <v>0</v>
      </c>
      <c r="AA58">
        <v>0</v>
      </c>
      <c r="AB58">
        <v>0</v>
      </c>
      <c r="AC58">
        <v>0</v>
      </c>
      <c r="AD58">
        <v>23000000</v>
      </c>
      <c r="AE58">
        <v>0</v>
      </c>
    </row>
    <row r="59" spans="1:31" x14ac:dyDescent="0.2">
      <c r="A59" t="s">
        <v>518</v>
      </c>
      <c r="B59" t="s">
        <v>519</v>
      </c>
      <c r="C59" t="s">
        <v>22</v>
      </c>
      <c r="D59" t="s">
        <v>520</v>
      </c>
      <c r="E59" t="s">
        <v>521</v>
      </c>
      <c r="F59" t="s">
        <v>522</v>
      </c>
      <c r="G59" t="s">
        <v>22</v>
      </c>
      <c r="H59" t="s">
        <v>22</v>
      </c>
      <c r="I59" t="s">
        <v>22</v>
      </c>
      <c r="J59" t="s">
        <v>523</v>
      </c>
      <c r="K59" t="s">
        <v>22</v>
      </c>
      <c r="L59" t="s">
        <v>524</v>
      </c>
      <c r="N59" t="s">
        <v>635</v>
      </c>
      <c r="O59" t="s">
        <v>636</v>
      </c>
      <c r="P59" t="s">
        <v>22</v>
      </c>
      <c r="Q59" t="s">
        <v>527</v>
      </c>
      <c r="R59">
        <v>60000000</v>
      </c>
      <c r="S59">
        <v>0</v>
      </c>
      <c r="T59">
        <v>5000000</v>
      </c>
      <c r="U59">
        <v>0</v>
      </c>
      <c r="V59">
        <v>2000000</v>
      </c>
      <c r="W59">
        <v>0</v>
      </c>
      <c r="X59">
        <v>0</v>
      </c>
      <c r="Y59">
        <v>53000000</v>
      </c>
      <c r="Z59">
        <v>0</v>
      </c>
      <c r="AA59">
        <v>0</v>
      </c>
      <c r="AB59">
        <v>0</v>
      </c>
      <c r="AC59">
        <v>0</v>
      </c>
      <c r="AD59">
        <v>53000000</v>
      </c>
      <c r="AE59">
        <v>0</v>
      </c>
    </row>
    <row r="60" spans="1:31" x14ac:dyDescent="0.2">
      <c r="A60" t="s">
        <v>518</v>
      </c>
      <c r="B60" t="s">
        <v>519</v>
      </c>
      <c r="C60" t="s">
        <v>22</v>
      </c>
      <c r="D60" t="s">
        <v>520</v>
      </c>
      <c r="E60" t="s">
        <v>521</v>
      </c>
      <c r="F60" t="s">
        <v>522</v>
      </c>
      <c r="G60" t="s">
        <v>22</v>
      </c>
      <c r="H60" t="s">
        <v>22</v>
      </c>
      <c r="I60" t="s">
        <v>637</v>
      </c>
      <c r="J60" t="s">
        <v>638</v>
      </c>
      <c r="K60" t="s">
        <v>22</v>
      </c>
      <c r="L60" t="s">
        <v>524</v>
      </c>
      <c r="N60" t="s">
        <v>639</v>
      </c>
      <c r="O60" t="s">
        <v>640</v>
      </c>
      <c r="P60" t="s">
        <v>242</v>
      </c>
      <c r="Q60" t="s">
        <v>541</v>
      </c>
      <c r="R60">
        <v>40000000</v>
      </c>
      <c r="S60">
        <v>0</v>
      </c>
      <c r="T60">
        <v>5000000</v>
      </c>
      <c r="U60">
        <v>0</v>
      </c>
      <c r="V60">
        <v>2000000</v>
      </c>
      <c r="W60">
        <v>0</v>
      </c>
      <c r="X60">
        <v>0</v>
      </c>
      <c r="Y60">
        <v>33000000</v>
      </c>
      <c r="Z60">
        <v>0</v>
      </c>
      <c r="AA60">
        <v>0</v>
      </c>
      <c r="AB60">
        <v>0</v>
      </c>
      <c r="AC60">
        <v>0</v>
      </c>
      <c r="AD60">
        <v>33000000</v>
      </c>
      <c r="AE60">
        <v>0</v>
      </c>
    </row>
    <row r="61" spans="1:31" x14ac:dyDescent="0.2">
      <c r="A61" t="s">
        <v>518</v>
      </c>
      <c r="B61" t="s">
        <v>519</v>
      </c>
      <c r="C61" t="s">
        <v>22</v>
      </c>
      <c r="D61" t="s">
        <v>520</v>
      </c>
      <c r="E61" t="s">
        <v>521</v>
      </c>
      <c r="F61" t="s">
        <v>522</v>
      </c>
      <c r="G61" t="s">
        <v>22</v>
      </c>
      <c r="H61" t="s">
        <v>22</v>
      </c>
      <c r="I61" t="s">
        <v>637</v>
      </c>
      <c r="J61" t="s">
        <v>638</v>
      </c>
      <c r="K61" t="s">
        <v>22</v>
      </c>
      <c r="L61" t="s">
        <v>524</v>
      </c>
      <c r="N61" t="s">
        <v>641</v>
      </c>
      <c r="O61" t="s">
        <v>642</v>
      </c>
      <c r="P61" t="s">
        <v>242</v>
      </c>
      <c r="Q61" t="s">
        <v>541</v>
      </c>
      <c r="R61">
        <v>20000000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20000000</v>
      </c>
      <c r="Z61">
        <v>0</v>
      </c>
      <c r="AA61">
        <v>0</v>
      </c>
      <c r="AB61">
        <v>0</v>
      </c>
      <c r="AC61">
        <v>0</v>
      </c>
      <c r="AD61">
        <v>20000000</v>
      </c>
      <c r="AE61">
        <v>0</v>
      </c>
    </row>
    <row r="62" spans="1:31" x14ac:dyDescent="0.2">
      <c r="A62" t="s">
        <v>518</v>
      </c>
      <c r="B62" t="s">
        <v>519</v>
      </c>
      <c r="C62" t="s">
        <v>22</v>
      </c>
      <c r="D62" t="s">
        <v>520</v>
      </c>
      <c r="E62" t="s">
        <v>521</v>
      </c>
      <c r="F62" t="s">
        <v>522</v>
      </c>
      <c r="G62" t="s">
        <v>22</v>
      </c>
      <c r="H62" t="s">
        <v>22</v>
      </c>
      <c r="I62" t="s">
        <v>22</v>
      </c>
      <c r="J62" t="s">
        <v>523</v>
      </c>
      <c r="K62" t="s">
        <v>22</v>
      </c>
      <c r="L62" t="s">
        <v>524</v>
      </c>
      <c r="N62" t="s">
        <v>643</v>
      </c>
      <c r="O62" t="s">
        <v>644</v>
      </c>
      <c r="P62" t="s">
        <v>22</v>
      </c>
      <c r="Q62" t="s">
        <v>527</v>
      </c>
      <c r="R62">
        <v>10000000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10000000</v>
      </c>
      <c r="Z62">
        <v>0</v>
      </c>
      <c r="AA62">
        <v>0</v>
      </c>
      <c r="AB62">
        <v>0</v>
      </c>
      <c r="AC62">
        <v>0</v>
      </c>
      <c r="AD62">
        <v>10000000</v>
      </c>
      <c r="AE62">
        <v>0</v>
      </c>
    </row>
    <row r="63" spans="1:31" x14ac:dyDescent="0.2">
      <c r="A63" t="s">
        <v>518</v>
      </c>
      <c r="B63" t="s">
        <v>519</v>
      </c>
      <c r="C63" t="s">
        <v>22</v>
      </c>
      <c r="D63" t="s">
        <v>520</v>
      </c>
      <c r="E63" t="s">
        <v>521</v>
      </c>
      <c r="F63" t="s">
        <v>522</v>
      </c>
      <c r="G63" t="s">
        <v>22</v>
      </c>
      <c r="H63" t="s">
        <v>22</v>
      </c>
      <c r="I63" t="s">
        <v>645</v>
      </c>
      <c r="J63" t="s">
        <v>646</v>
      </c>
      <c r="K63" t="s">
        <v>22</v>
      </c>
      <c r="L63" t="s">
        <v>524</v>
      </c>
      <c r="N63" t="s">
        <v>647</v>
      </c>
      <c r="O63" t="s">
        <v>648</v>
      </c>
      <c r="P63" t="s">
        <v>242</v>
      </c>
      <c r="Q63" t="s">
        <v>541</v>
      </c>
      <c r="R63">
        <v>10000000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10000000</v>
      </c>
      <c r="Z63">
        <v>0</v>
      </c>
      <c r="AA63">
        <v>0</v>
      </c>
      <c r="AB63">
        <v>0</v>
      </c>
      <c r="AC63">
        <v>0</v>
      </c>
      <c r="AD63">
        <v>10000000</v>
      </c>
      <c r="AE63">
        <v>0</v>
      </c>
    </row>
    <row r="64" spans="1:31" x14ac:dyDescent="0.2">
      <c r="A64" t="s">
        <v>518</v>
      </c>
      <c r="B64" t="s">
        <v>519</v>
      </c>
      <c r="C64" t="s">
        <v>22</v>
      </c>
      <c r="D64" t="s">
        <v>520</v>
      </c>
      <c r="E64" t="s">
        <v>521</v>
      </c>
      <c r="F64" t="s">
        <v>522</v>
      </c>
      <c r="G64" t="s">
        <v>22</v>
      </c>
      <c r="H64" t="s">
        <v>22</v>
      </c>
      <c r="I64" t="s">
        <v>22</v>
      </c>
      <c r="J64" t="s">
        <v>523</v>
      </c>
      <c r="K64" t="s">
        <v>22</v>
      </c>
      <c r="L64" t="s">
        <v>524</v>
      </c>
      <c r="N64" t="s">
        <v>649</v>
      </c>
      <c r="O64" t="s">
        <v>650</v>
      </c>
      <c r="P64" t="s">
        <v>22</v>
      </c>
      <c r="Q64" t="s">
        <v>527</v>
      </c>
      <c r="R64">
        <v>1078500000</v>
      </c>
      <c r="S64">
        <v>0</v>
      </c>
      <c r="T64">
        <v>67667595</v>
      </c>
      <c r="U64">
        <v>206135818</v>
      </c>
      <c r="V64">
        <v>229465068</v>
      </c>
      <c r="W64">
        <v>0</v>
      </c>
      <c r="X64">
        <v>0</v>
      </c>
      <c r="Y64">
        <v>987503155</v>
      </c>
      <c r="Z64">
        <v>671355303.60000002</v>
      </c>
      <c r="AA64">
        <v>659381976.60000002</v>
      </c>
      <c r="AB64">
        <v>315163326.60000002</v>
      </c>
      <c r="AC64">
        <v>315163326.60000002</v>
      </c>
      <c r="AD64">
        <v>316147851.39999998</v>
      </c>
      <c r="AE64">
        <v>67.989999999999995</v>
      </c>
    </row>
    <row r="65" spans="1:31" x14ac:dyDescent="0.2">
      <c r="A65" t="s">
        <v>518</v>
      </c>
      <c r="B65" t="s">
        <v>519</v>
      </c>
      <c r="C65" t="s">
        <v>22</v>
      </c>
      <c r="D65" t="s">
        <v>520</v>
      </c>
      <c r="E65" t="s">
        <v>521</v>
      </c>
      <c r="F65" t="s">
        <v>522</v>
      </c>
      <c r="G65" t="s">
        <v>22</v>
      </c>
      <c r="H65" t="s">
        <v>22</v>
      </c>
      <c r="I65" t="s">
        <v>651</v>
      </c>
      <c r="J65" t="s">
        <v>652</v>
      </c>
      <c r="K65" t="s">
        <v>22</v>
      </c>
      <c r="L65" t="s">
        <v>524</v>
      </c>
      <c r="N65" t="s">
        <v>653</v>
      </c>
      <c r="O65" t="s">
        <v>654</v>
      </c>
      <c r="P65" t="s">
        <v>242</v>
      </c>
      <c r="Q65" t="s">
        <v>541</v>
      </c>
      <c r="R65">
        <v>100000000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100000000</v>
      </c>
      <c r="Z65">
        <v>39352097</v>
      </c>
      <c r="AA65">
        <v>39352097</v>
      </c>
      <c r="AB65">
        <v>39352097</v>
      </c>
      <c r="AC65">
        <v>39352097</v>
      </c>
      <c r="AD65">
        <v>60647903</v>
      </c>
      <c r="AE65">
        <v>39.35</v>
      </c>
    </row>
    <row r="66" spans="1:31" x14ac:dyDescent="0.2">
      <c r="A66" t="s">
        <v>518</v>
      </c>
      <c r="B66" t="s">
        <v>519</v>
      </c>
      <c r="C66" t="s">
        <v>22</v>
      </c>
      <c r="D66" t="s">
        <v>520</v>
      </c>
      <c r="E66" t="s">
        <v>521</v>
      </c>
      <c r="F66" t="s">
        <v>522</v>
      </c>
      <c r="G66" t="s">
        <v>22</v>
      </c>
      <c r="H66" t="s">
        <v>22</v>
      </c>
      <c r="I66" t="s">
        <v>655</v>
      </c>
      <c r="J66" t="s">
        <v>656</v>
      </c>
      <c r="K66" t="s">
        <v>22</v>
      </c>
      <c r="L66" t="s">
        <v>524</v>
      </c>
      <c r="N66" t="s">
        <v>657</v>
      </c>
      <c r="O66" t="s">
        <v>658</v>
      </c>
      <c r="P66" t="s">
        <v>242</v>
      </c>
      <c r="Q66" t="s">
        <v>541</v>
      </c>
      <c r="R66">
        <v>1000000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1000000</v>
      </c>
      <c r="Z66">
        <v>609000</v>
      </c>
      <c r="AA66">
        <v>609000</v>
      </c>
      <c r="AB66">
        <v>609000</v>
      </c>
      <c r="AC66">
        <v>609000</v>
      </c>
      <c r="AD66">
        <v>391000</v>
      </c>
      <c r="AE66">
        <v>60.9</v>
      </c>
    </row>
    <row r="67" spans="1:31" x14ac:dyDescent="0.2">
      <c r="A67" t="s">
        <v>518</v>
      </c>
      <c r="B67" t="s">
        <v>519</v>
      </c>
      <c r="C67" t="s">
        <v>22</v>
      </c>
      <c r="D67" t="s">
        <v>520</v>
      </c>
      <c r="E67" t="s">
        <v>521</v>
      </c>
      <c r="F67" t="s">
        <v>522</v>
      </c>
      <c r="G67" t="s">
        <v>22</v>
      </c>
      <c r="H67" t="s">
        <v>22</v>
      </c>
      <c r="I67" t="s">
        <v>22</v>
      </c>
      <c r="J67" t="s">
        <v>523</v>
      </c>
      <c r="K67" t="s">
        <v>22</v>
      </c>
      <c r="L67" t="s">
        <v>524</v>
      </c>
      <c r="N67" t="s">
        <v>659</v>
      </c>
      <c r="O67" t="s">
        <v>660</v>
      </c>
      <c r="P67" t="s">
        <v>22</v>
      </c>
      <c r="Q67" t="s">
        <v>527</v>
      </c>
      <c r="R67">
        <v>141500000</v>
      </c>
      <c r="S67">
        <v>0</v>
      </c>
      <c r="T67">
        <v>14500000</v>
      </c>
      <c r="U67">
        <v>0</v>
      </c>
      <c r="V67">
        <v>5000000</v>
      </c>
      <c r="W67">
        <v>0</v>
      </c>
      <c r="X67">
        <v>0</v>
      </c>
      <c r="Y67">
        <v>122000000</v>
      </c>
      <c r="Z67">
        <v>105500000</v>
      </c>
      <c r="AA67">
        <v>94950000</v>
      </c>
      <c r="AB67">
        <v>21100000</v>
      </c>
      <c r="AC67">
        <v>21100000</v>
      </c>
      <c r="AD67">
        <v>16500000</v>
      </c>
      <c r="AE67">
        <v>86.48</v>
      </c>
    </row>
    <row r="68" spans="1:31" x14ac:dyDescent="0.2">
      <c r="A68" t="s">
        <v>518</v>
      </c>
      <c r="B68" t="s">
        <v>519</v>
      </c>
      <c r="C68" t="s">
        <v>22</v>
      </c>
      <c r="D68" t="s">
        <v>520</v>
      </c>
      <c r="E68" t="s">
        <v>521</v>
      </c>
      <c r="F68" t="s">
        <v>522</v>
      </c>
      <c r="G68" t="s">
        <v>22</v>
      </c>
      <c r="H68" t="s">
        <v>22</v>
      </c>
      <c r="I68" t="s">
        <v>661</v>
      </c>
      <c r="J68" t="s">
        <v>662</v>
      </c>
      <c r="K68" t="s">
        <v>22</v>
      </c>
      <c r="L68" t="s">
        <v>524</v>
      </c>
      <c r="N68" t="s">
        <v>663</v>
      </c>
      <c r="O68" t="s">
        <v>664</v>
      </c>
      <c r="P68" t="s">
        <v>242</v>
      </c>
      <c r="Q68" t="s">
        <v>541</v>
      </c>
      <c r="R68">
        <v>1500000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1500000</v>
      </c>
      <c r="Z68">
        <v>0</v>
      </c>
      <c r="AA68">
        <v>0</v>
      </c>
      <c r="AB68">
        <v>0</v>
      </c>
      <c r="AC68">
        <v>0</v>
      </c>
      <c r="AD68">
        <v>1500000</v>
      </c>
      <c r="AE68">
        <v>0</v>
      </c>
    </row>
    <row r="69" spans="1:31" x14ac:dyDescent="0.2">
      <c r="A69" t="s">
        <v>518</v>
      </c>
      <c r="B69" t="s">
        <v>519</v>
      </c>
      <c r="C69" t="s">
        <v>22</v>
      </c>
      <c r="D69" t="s">
        <v>520</v>
      </c>
      <c r="E69" t="s">
        <v>521</v>
      </c>
      <c r="F69" t="s">
        <v>522</v>
      </c>
      <c r="G69" t="s">
        <v>22</v>
      </c>
      <c r="H69" t="s">
        <v>22</v>
      </c>
      <c r="I69" t="s">
        <v>661</v>
      </c>
      <c r="J69" t="s">
        <v>662</v>
      </c>
      <c r="K69" t="s">
        <v>22</v>
      </c>
      <c r="L69" t="s">
        <v>524</v>
      </c>
      <c r="N69" t="s">
        <v>665</v>
      </c>
      <c r="O69" t="s">
        <v>666</v>
      </c>
      <c r="P69" t="s">
        <v>242</v>
      </c>
      <c r="Q69" t="s">
        <v>541</v>
      </c>
      <c r="R69">
        <v>15000000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15000000</v>
      </c>
      <c r="Z69">
        <v>0</v>
      </c>
      <c r="AA69">
        <v>0</v>
      </c>
      <c r="AB69">
        <v>0</v>
      </c>
      <c r="AC69">
        <v>0</v>
      </c>
      <c r="AD69">
        <v>15000000</v>
      </c>
      <c r="AE69">
        <v>0</v>
      </c>
    </row>
    <row r="70" spans="1:31" x14ac:dyDescent="0.2">
      <c r="A70" t="s">
        <v>518</v>
      </c>
      <c r="B70" t="s">
        <v>519</v>
      </c>
      <c r="C70" t="s">
        <v>22</v>
      </c>
      <c r="D70" t="s">
        <v>520</v>
      </c>
      <c r="E70" t="s">
        <v>521</v>
      </c>
      <c r="F70" t="s">
        <v>522</v>
      </c>
      <c r="G70" t="s">
        <v>22</v>
      </c>
      <c r="H70" t="s">
        <v>22</v>
      </c>
      <c r="I70" t="s">
        <v>667</v>
      </c>
      <c r="J70" t="s">
        <v>668</v>
      </c>
      <c r="K70" t="s">
        <v>22</v>
      </c>
      <c r="L70" t="s">
        <v>524</v>
      </c>
      <c r="N70" t="s">
        <v>669</v>
      </c>
      <c r="O70" t="s">
        <v>670</v>
      </c>
      <c r="P70" t="s">
        <v>242</v>
      </c>
      <c r="Q70" t="s">
        <v>541</v>
      </c>
      <c r="R70">
        <v>5000000</v>
      </c>
      <c r="S70">
        <v>0</v>
      </c>
      <c r="T70">
        <v>0</v>
      </c>
      <c r="U70">
        <v>0</v>
      </c>
      <c r="V70">
        <v>5000000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</row>
    <row r="71" spans="1:31" x14ac:dyDescent="0.2">
      <c r="A71" t="s">
        <v>518</v>
      </c>
      <c r="B71" t="s">
        <v>519</v>
      </c>
      <c r="C71" t="s">
        <v>22</v>
      </c>
      <c r="D71" t="s">
        <v>520</v>
      </c>
      <c r="E71" t="s">
        <v>521</v>
      </c>
      <c r="F71" t="s">
        <v>522</v>
      </c>
      <c r="G71" t="s">
        <v>22</v>
      </c>
      <c r="H71" t="s">
        <v>22</v>
      </c>
      <c r="I71" t="s">
        <v>671</v>
      </c>
      <c r="J71" t="s">
        <v>672</v>
      </c>
      <c r="K71" t="s">
        <v>22</v>
      </c>
      <c r="L71" t="s">
        <v>524</v>
      </c>
      <c r="N71" t="s">
        <v>669</v>
      </c>
      <c r="O71" t="s">
        <v>673</v>
      </c>
      <c r="P71" t="s">
        <v>242</v>
      </c>
      <c r="Q71" t="s">
        <v>541</v>
      </c>
      <c r="R71">
        <v>120000000</v>
      </c>
      <c r="S71">
        <v>0</v>
      </c>
      <c r="T71">
        <v>14500000</v>
      </c>
      <c r="U71">
        <v>0</v>
      </c>
      <c r="V71">
        <v>0</v>
      </c>
      <c r="W71">
        <v>0</v>
      </c>
      <c r="X71">
        <v>0</v>
      </c>
      <c r="Y71">
        <v>105500000</v>
      </c>
      <c r="Z71">
        <v>105500000</v>
      </c>
      <c r="AA71">
        <v>94950000</v>
      </c>
      <c r="AB71">
        <v>21100000</v>
      </c>
      <c r="AC71">
        <v>21100000</v>
      </c>
      <c r="AD71">
        <v>0</v>
      </c>
      <c r="AE71">
        <v>100</v>
      </c>
    </row>
    <row r="72" spans="1:31" x14ac:dyDescent="0.2">
      <c r="A72" t="s">
        <v>518</v>
      </c>
      <c r="B72" t="s">
        <v>519</v>
      </c>
      <c r="C72" t="s">
        <v>22</v>
      </c>
      <c r="D72" t="s">
        <v>520</v>
      </c>
      <c r="E72" t="s">
        <v>521</v>
      </c>
      <c r="F72" t="s">
        <v>522</v>
      </c>
      <c r="G72" t="s">
        <v>22</v>
      </c>
      <c r="H72" t="s">
        <v>22</v>
      </c>
      <c r="I72" t="s">
        <v>22</v>
      </c>
      <c r="J72" t="s">
        <v>523</v>
      </c>
      <c r="K72" t="s">
        <v>22</v>
      </c>
      <c r="L72" t="s">
        <v>524</v>
      </c>
      <c r="N72" t="s">
        <v>674</v>
      </c>
      <c r="O72" t="s">
        <v>675</v>
      </c>
      <c r="P72" t="s">
        <v>22</v>
      </c>
      <c r="Q72" t="s">
        <v>527</v>
      </c>
      <c r="R72">
        <v>323000000</v>
      </c>
      <c r="S72">
        <v>0</v>
      </c>
      <c r="T72">
        <v>53167595</v>
      </c>
      <c r="U72">
        <v>2990777</v>
      </c>
      <c r="V72">
        <v>188000000</v>
      </c>
      <c r="W72">
        <v>0</v>
      </c>
      <c r="X72">
        <v>0</v>
      </c>
      <c r="Y72">
        <v>84823182</v>
      </c>
      <c r="Z72">
        <v>45990408</v>
      </c>
      <c r="AA72">
        <v>45785881</v>
      </c>
      <c r="AB72">
        <v>22835881</v>
      </c>
      <c r="AC72">
        <v>22835881</v>
      </c>
      <c r="AD72">
        <v>38832774</v>
      </c>
      <c r="AE72">
        <v>54.22</v>
      </c>
    </row>
    <row r="73" spans="1:31" x14ac:dyDescent="0.2">
      <c r="A73" t="s">
        <v>518</v>
      </c>
      <c r="B73" t="s">
        <v>519</v>
      </c>
      <c r="C73" t="s">
        <v>22</v>
      </c>
      <c r="D73" t="s">
        <v>520</v>
      </c>
      <c r="E73" t="s">
        <v>521</v>
      </c>
      <c r="F73" t="s">
        <v>522</v>
      </c>
      <c r="G73" t="s">
        <v>22</v>
      </c>
      <c r="H73" t="s">
        <v>22</v>
      </c>
      <c r="I73" t="s">
        <v>676</v>
      </c>
      <c r="J73" t="s">
        <v>677</v>
      </c>
      <c r="K73" t="s">
        <v>22</v>
      </c>
      <c r="L73" t="s">
        <v>524</v>
      </c>
      <c r="N73" t="s">
        <v>678</v>
      </c>
      <c r="O73" t="s">
        <v>679</v>
      </c>
      <c r="P73" t="s">
        <v>242</v>
      </c>
      <c r="Q73" t="s">
        <v>541</v>
      </c>
      <c r="R73">
        <v>35000000</v>
      </c>
      <c r="S73">
        <v>0</v>
      </c>
      <c r="T73">
        <v>8394261</v>
      </c>
      <c r="U73">
        <v>0</v>
      </c>
      <c r="V73">
        <v>0</v>
      </c>
      <c r="W73">
        <v>0</v>
      </c>
      <c r="X73">
        <v>0</v>
      </c>
      <c r="Y73">
        <v>26605739</v>
      </c>
      <c r="Z73">
        <v>0</v>
      </c>
      <c r="AA73">
        <v>0</v>
      </c>
      <c r="AB73">
        <v>0</v>
      </c>
      <c r="AC73">
        <v>0</v>
      </c>
      <c r="AD73">
        <v>26605739</v>
      </c>
      <c r="AE73">
        <v>0</v>
      </c>
    </row>
    <row r="74" spans="1:31" x14ac:dyDescent="0.2">
      <c r="A74" t="s">
        <v>518</v>
      </c>
      <c r="B74" t="s">
        <v>519</v>
      </c>
      <c r="C74" t="s">
        <v>22</v>
      </c>
      <c r="D74" t="s">
        <v>520</v>
      </c>
      <c r="E74" t="s">
        <v>521</v>
      </c>
      <c r="F74" t="s">
        <v>522</v>
      </c>
      <c r="G74" t="s">
        <v>22</v>
      </c>
      <c r="H74" t="s">
        <v>22</v>
      </c>
      <c r="I74" t="s">
        <v>680</v>
      </c>
      <c r="J74" t="s">
        <v>681</v>
      </c>
      <c r="K74" t="s">
        <v>22</v>
      </c>
      <c r="L74" t="s">
        <v>524</v>
      </c>
      <c r="N74" t="s">
        <v>682</v>
      </c>
      <c r="O74" t="s">
        <v>683</v>
      </c>
      <c r="P74" t="s">
        <v>242</v>
      </c>
      <c r="Q74" t="s">
        <v>541</v>
      </c>
      <c r="R74">
        <v>30000000</v>
      </c>
      <c r="S74">
        <v>0</v>
      </c>
      <c r="T74">
        <v>4773334</v>
      </c>
      <c r="U74">
        <v>0</v>
      </c>
      <c r="V74">
        <v>0</v>
      </c>
      <c r="W74">
        <v>0</v>
      </c>
      <c r="X74">
        <v>0</v>
      </c>
      <c r="Y74">
        <v>25226666</v>
      </c>
      <c r="Z74">
        <v>25226666</v>
      </c>
      <c r="AA74">
        <v>25226666</v>
      </c>
      <c r="AB74">
        <v>20826666</v>
      </c>
      <c r="AC74">
        <v>20826666</v>
      </c>
      <c r="AD74">
        <v>0</v>
      </c>
      <c r="AE74">
        <v>100</v>
      </c>
    </row>
    <row r="75" spans="1:31" x14ac:dyDescent="0.2">
      <c r="A75" t="s">
        <v>518</v>
      </c>
      <c r="B75" t="s">
        <v>519</v>
      </c>
      <c r="C75" t="s">
        <v>22</v>
      </c>
      <c r="D75" t="s">
        <v>520</v>
      </c>
      <c r="E75" t="s">
        <v>521</v>
      </c>
      <c r="F75" t="s">
        <v>522</v>
      </c>
      <c r="G75" t="s">
        <v>22</v>
      </c>
      <c r="H75" t="s">
        <v>22</v>
      </c>
      <c r="I75" t="s">
        <v>684</v>
      </c>
      <c r="J75" t="s">
        <v>685</v>
      </c>
      <c r="K75" t="s">
        <v>22</v>
      </c>
      <c r="L75" t="s">
        <v>524</v>
      </c>
      <c r="N75" t="s">
        <v>686</v>
      </c>
      <c r="O75" t="s">
        <v>687</v>
      </c>
      <c r="P75" t="s">
        <v>242</v>
      </c>
      <c r="Q75" t="s">
        <v>541</v>
      </c>
      <c r="R75">
        <v>188000000</v>
      </c>
      <c r="S75">
        <v>0</v>
      </c>
      <c r="T75">
        <v>0</v>
      </c>
      <c r="U75">
        <v>0</v>
      </c>
      <c r="V75">
        <v>188000000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</row>
    <row r="76" spans="1:31" x14ac:dyDescent="0.2">
      <c r="A76" t="s">
        <v>518</v>
      </c>
      <c r="B76" t="s">
        <v>519</v>
      </c>
      <c r="C76" t="s">
        <v>22</v>
      </c>
      <c r="D76" t="s">
        <v>520</v>
      </c>
      <c r="E76" t="s">
        <v>521</v>
      </c>
      <c r="F76" t="s">
        <v>522</v>
      </c>
      <c r="G76" t="s">
        <v>22</v>
      </c>
      <c r="H76" t="s">
        <v>22</v>
      </c>
      <c r="I76" t="s">
        <v>688</v>
      </c>
      <c r="J76" t="s">
        <v>689</v>
      </c>
      <c r="K76" t="s">
        <v>22</v>
      </c>
      <c r="L76" t="s">
        <v>524</v>
      </c>
      <c r="N76" t="s">
        <v>690</v>
      </c>
      <c r="O76" t="s">
        <v>691</v>
      </c>
      <c r="P76" t="s">
        <v>242</v>
      </c>
      <c r="Q76" t="s">
        <v>541</v>
      </c>
      <c r="R76">
        <v>30000000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30000000</v>
      </c>
      <c r="Z76">
        <v>19789053</v>
      </c>
      <c r="AA76">
        <v>19584526</v>
      </c>
      <c r="AB76">
        <v>1034526</v>
      </c>
      <c r="AC76">
        <v>1034526</v>
      </c>
      <c r="AD76">
        <v>10210947</v>
      </c>
      <c r="AE76">
        <v>65.959999999999994</v>
      </c>
    </row>
    <row r="77" spans="1:31" x14ac:dyDescent="0.2">
      <c r="A77" t="s">
        <v>518</v>
      </c>
      <c r="B77" t="s">
        <v>519</v>
      </c>
      <c r="C77" t="s">
        <v>22</v>
      </c>
      <c r="D77" t="s">
        <v>520</v>
      </c>
      <c r="E77" t="s">
        <v>521</v>
      </c>
      <c r="F77" t="s">
        <v>522</v>
      </c>
      <c r="G77" t="s">
        <v>22</v>
      </c>
      <c r="H77" t="s">
        <v>22</v>
      </c>
      <c r="I77" t="s">
        <v>692</v>
      </c>
      <c r="J77" t="s">
        <v>693</v>
      </c>
      <c r="K77" t="s">
        <v>22</v>
      </c>
      <c r="L77" t="s">
        <v>524</v>
      </c>
      <c r="N77" t="s">
        <v>690</v>
      </c>
      <c r="O77" t="s">
        <v>694</v>
      </c>
      <c r="P77" t="s">
        <v>242</v>
      </c>
      <c r="Q77" t="s">
        <v>541</v>
      </c>
      <c r="R77">
        <v>0</v>
      </c>
      <c r="S77">
        <v>0</v>
      </c>
      <c r="T77">
        <v>0</v>
      </c>
      <c r="U77">
        <v>2500000</v>
      </c>
      <c r="V77">
        <v>0</v>
      </c>
      <c r="W77">
        <v>0</v>
      </c>
      <c r="X77">
        <v>0</v>
      </c>
      <c r="Y77">
        <v>2500000</v>
      </c>
      <c r="Z77">
        <v>483912</v>
      </c>
      <c r="AA77">
        <v>483912</v>
      </c>
      <c r="AB77">
        <v>483912</v>
      </c>
      <c r="AC77">
        <v>483912</v>
      </c>
      <c r="AD77">
        <v>2016088</v>
      </c>
      <c r="AE77">
        <v>19.36</v>
      </c>
    </row>
    <row r="78" spans="1:31" x14ac:dyDescent="0.2">
      <c r="A78" t="s">
        <v>518</v>
      </c>
      <c r="B78" t="s">
        <v>519</v>
      </c>
      <c r="C78" t="s">
        <v>22</v>
      </c>
      <c r="D78" t="s">
        <v>520</v>
      </c>
      <c r="E78" t="s">
        <v>521</v>
      </c>
      <c r="F78" t="s">
        <v>522</v>
      </c>
      <c r="G78" t="s">
        <v>22</v>
      </c>
      <c r="H78" t="s">
        <v>22</v>
      </c>
      <c r="I78" t="s">
        <v>695</v>
      </c>
      <c r="J78" t="s">
        <v>696</v>
      </c>
      <c r="K78" t="s">
        <v>22</v>
      </c>
      <c r="L78" t="s">
        <v>524</v>
      </c>
      <c r="N78" t="s">
        <v>697</v>
      </c>
      <c r="O78" t="s">
        <v>698</v>
      </c>
      <c r="P78" t="s">
        <v>242</v>
      </c>
      <c r="Q78" t="s">
        <v>541</v>
      </c>
      <c r="R78">
        <v>40000000</v>
      </c>
      <c r="S78">
        <v>0</v>
      </c>
      <c r="T78">
        <v>40000000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</row>
    <row r="79" spans="1:31" x14ac:dyDescent="0.2">
      <c r="A79" t="s">
        <v>518</v>
      </c>
      <c r="B79" t="s">
        <v>519</v>
      </c>
      <c r="C79" t="s">
        <v>22</v>
      </c>
      <c r="D79" t="s">
        <v>520</v>
      </c>
      <c r="E79" t="s">
        <v>521</v>
      </c>
      <c r="F79" t="s">
        <v>522</v>
      </c>
      <c r="G79" t="s">
        <v>22</v>
      </c>
      <c r="H79" t="s">
        <v>22</v>
      </c>
      <c r="I79" t="s">
        <v>695</v>
      </c>
      <c r="J79" t="s">
        <v>696</v>
      </c>
      <c r="K79" t="s">
        <v>22</v>
      </c>
      <c r="L79" t="s">
        <v>524</v>
      </c>
      <c r="N79" t="s">
        <v>699</v>
      </c>
      <c r="O79" t="s">
        <v>700</v>
      </c>
      <c r="P79" t="s">
        <v>242</v>
      </c>
      <c r="Q79" t="s">
        <v>541</v>
      </c>
      <c r="R79">
        <v>0</v>
      </c>
      <c r="S79">
        <v>0</v>
      </c>
      <c r="T79">
        <v>0</v>
      </c>
      <c r="U79">
        <v>490777</v>
      </c>
      <c r="V79">
        <v>0</v>
      </c>
      <c r="W79">
        <v>0</v>
      </c>
      <c r="X79">
        <v>0</v>
      </c>
      <c r="Y79">
        <v>490777</v>
      </c>
      <c r="Z79">
        <v>490777</v>
      </c>
      <c r="AA79">
        <v>490777</v>
      </c>
      <c r="AB79">
        <v>490777</v>
      </c>
      <c r="AC79">
        <v>490777</v>
      </c>
      <c r="AD79">
        <v>0</v>
      </c>
      <c r="AE79">
        <v>100</v>
      </c>
    </row>
    <row r="80" spans="1:31" x14ac:dyDescent="0.2">
      <c r="A80" t="s">
        <v>518</v>
      </c>
      <c r="B80" t="s">
        <v>519</v>
      </c>
      <c r="C80" t="s">
        <v>22</v>
      </c>
      <c r="D80" t="s">
        <v>520</v>
      </c>
      <c r="E80" t="s">
        <v>521</v>
      </c>
      <c r="F80" t="s">
        <v>522</v>
      </c>
      <c r="G80" t="s">
        <v>22</v>
      </c>
      <c r="H80" t="s">
        <v>22</v>
      </c>
      <c r="I80" t="s">
        <v>22</v>
      </c>
      <c r="J80" t="s">
        <v>523</v>
      </c>
      <c r="K80" t="s">
        <v>22</v>
      </c>
      <c r="L80" t="s">
        <v>524</v>
      </c>
      <c r="N80" t="s">
        <v>701</v>
      </c>
      <c r="O80" t="s">
        <v>702</v>
      </c>
      <c r="P80" t="s">
        <v>22</v>
      </c>
      <c r="Q80" t="s">
        <v>527</v>
      </c>
      <c r="R80">
        <v>473000000</v>
      </c>
      <c r="S80">
        <v>0</v>
      </c>
      <c r="T80">
        <v>0</v>
      </c>
      <c r="U80">
        <v>203145041</v>
      </c>
      <c r="V80">
        <v>36465068</v>
      </c>
      <c r="W80">
        <v>0</v>
      </c>
      <c r="X80">
        <v>0</v>
      </c>
      <c r="Y80">
        <v>639679973</v>
      </c>
      <c r="Z80">
        <v>468589265</v>
      </c>
      <c r="AA80">
        <v>467370465</v>
      </c>
      <c r="AB80">
        <v>219951815</v>
      </c>
      <c r="AC80">
        <v>219951815</v>
      </c>
      <c r="AD80">
        <v>171090708</v>
      </c>
      <c r="AE80">
        <v>73.25</v>
      </c>
    </row>
    <row r="81" spans="1:31" x14ac:dyDescent="0.2">
      <c r="A81" t="s">
        <v>518</v>
      </c>
      <c r="B81" t="s">
        <v>519</v>
      </c>
      <c r="C81" t="s">
        <v>22</v>
      </c>
      <c r="D81" t="s">
        <v>520</v>
      </c>
      <c r="E81" t="s">
        <v>521</v>
      </c>
      <c r="F81" t="s">
        <v>522</v>
      </c>
      <c r="G81" t="s">
        <v>22</v>
      </c>
      <c r="H81" t="s">
        <v>22</v>
      </c>
      <c r="I81" t="s">
        <v>703</v>
      </c>
      <c r="J81" t="s">
        <v>704</v>
      </c>
      <c r="K81" t="s">
        <v>22</v>
      </c>
      <c r="L81" t="s">
        <v>524</v>
      </c>
      <c r="N81" t="s">
        <v>705</v>
      </c>
      <c r="O81" t="s">
        <v>706</v>
      </c>
      <c r="P81" t="s">
        <v>242</v>
      </c>
      <c r="Q81" t="s">
        <v>541</v>
      </c>
      <c r="R81">
        <v>330000000</v>
      </c>
      <c r="S81">
        <v>0</v>
      </c>
      <c r="T81">
        <v>0</v>
      </c>
      <c r="U81">
        <v>188000000</v>
      </c>
      <c r="V81">
        <v>33145041</v>
      </c>
      <c r="W81">
        <v>0</v>
      </c>
      <c r="X81">
        <v>0</v>
      </c>
      <c r="Y81">
        <v>484854959</v>
      </c>
      <c r="Z81">
        <v>446842265</v>
      </c>
      <c r="AA81">
        <v>446753865</v>
      </c>
      <c r="AB81">
        <v>212279615</v>
      </c>
      <c r="AC81">
        <v>212279615</v>
      </c>
      <c r="AD81">
        <v>38012694</v>
      </c>
      <c r="AE81">
        <v>92.16</v>
      </c>
    </row>
    <row r="82" spans="1:31" x14ac:dyDescent="0.2">
      <c r="A82" t="s">
        <v>518</v>
      </c>
      <c r="B82" t="s">
        <v>519</v>
      </c>
      <c r="C82" t="s">
        <v>22</v>
      </c>
      <c r="D82" t="s">
        <v>520</v>
      </c>
      <c r="E82" t="s">
        <v>521</v>
      </c>
      <c r="F82" t="s">
        <v>522</v>
      </c>
      <c r="G82" t="s">
        <v>22</v>
      </c>
      <c r="H82" t="s">
        <v>22</v>
      </c>
      <c r="I82" t="s">
        <v>703</v>
      </c>
      <c r="J82" t="s">
        <v>704</v>
      </c>
      <c r="K82" t="s">
        <v>22</v>
      </c>
      <c r="L82" t="s">
        <v>524</v>
      </c>
      <c r="N82" t="s">
        <v>707</v>
      </c>
      <c r="O82" t="s">
        <v>708</v>
      </c>
      <c r="P82" t="s">
        <v>242</v>
      </c>
      <c r="Q82" t="s">
        <v>541</v>
      </c>
      <c r="R82">
        <v>30000000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30000000</v>
      </c>
      <c r="Z82">
        <v>0</v>
      </c>
      <c r="AA82">
        <v>0</v>
      </c>
      <c r="AB82">
        <v>0</v>
      </c>
      <c r="AC82">
        <v>0</v>
      </c>
      <c r="AD82">
        <v>30000000</v>
      </c>
      <c r="AE82">
        <v>0</v>
      </c>
    </row>
    <row r="83" spans="1:31" x14ac:dyDescent="0.2">
      <c r="A83" t="s">
        <v>518</v>
      </c>
      <c r="B83" t="s">
        <v>519</v>
      </c>
      <c r="C83" t="s">
        <v>22</v>
      </c>
      <c r="D83" t="s">
        <v>520</v>
      </c>
      <c r="E83" t="s">
        <v>521</v>
      </c>
      <c r="F83" t="s">
        <v>522</v>
      </c>
      <c r="G83" t="s">
        <v>22</v>
      </c>
      <c r="H83" t="s">
        <v>22</v>
      </c>
      <c r="I83" t="s">
        <v>703</v>
      </c>
      <c r="J83" t="s">
        <v>704</v>
      </c>
      <c r="K83" t="s">
        <v>22</v>
      </c>
      <c r="L83" t="s">
        <v>524</v>
      </c>
      <c r="N83" t="s">
        <v>709</v>
      </c>
      <c r="O83" t="s">
        <v>710</v>
      </c>
      <c r="P83" t="s">
        <v>242</v>
      </c>
      <c r="Q83" t="s">
        <v>541</v>
      </c>
      <c r="R83">
        <v>3000000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3000000</v>
      </c>
      <c r="Z83">
        <v>0</v>
      </c>
      <c r="AA83">
        <v>0</v>
      </c>
      <c r="AB83">
        <v>0</v>
      </c>
      <c r="AC83">
        <v>0</v>
      </c>
      <c r="AD83">
        <v>3000000</v>
      </c>
      <c r="AE83">
        <v>0</v>
      </c>
    </row>
    <row r="84" spans="1:31" x14ac:dyDescent="0.2">
      <c r="A84" t="s">
        <v>518</v>
      </c>
      <c r="B84" t="s">
        <v>519</v>
      </c>
      <c r="C84" t="s">
        <v>22</v>
      </c>
      <c r="D84" t="s">
        <v>520</v>
      </c>
      <c r="E84" t="s">
        <v>521</v>
      </c>
      <c r="F84" t="s">
        <v>522</v>
      </c>
      <c r="G84" t="s">
        <v>22</v>
      </c>
      <c r="H84" t="s">
        <v>22</v>
      </c>
      <c r="I84" t="s">
        <v>703</v>
      </c>
      <c r="J84" t="s">
        <v>704</v>
      </c>
      <c r="K84" t="s">
        <v>22</v>
      </c>
      <c r="L84" t="s">
        <v>524</v>
      </c>
      <c r="N84" t="s">
        <v>711</v>
      </c>
      <c r="O84" t="s">
        <v>712</v>
      </c>
      <c r="P84" t="s">
        <v>242</v>
      </c>
      <c r="Q84" t="s">
        <v>541</v>
      </c>
      <c r="R84">
        <v>25000000</v>
      </c>
      <c r="S84">
        <v>0</v>
      </c>
      <c r="T84">
        <v>0</v>
      </c>
      <c r="U84">
        <v>0</v>
      </c>
      <c r="V84">
        <v>3320027</v>
      </c>
      <c r="W84">
        <v>0</v>
      </c>
      <c r="X84">
        <v>0</v>
      </c>
      <c r="Y84">
        <v>21679973</v>
      </c>
      <c r="Z84">
        <v>0</v>
      </c>
      <c r="AA84">
        <v>0</v>
      </c>
      <c r="AB84">
        <v>0</v>
      </c>
      <c r="AC84">
        <v>0</v>
      </c>
      <c r="AD84">
        <v>21679973</v>
      </c>
      <c r="AE84">
        <v>0</v>
      </c>
    </row>
    <row r="85" spans="1:31" x14ac:dyDescent="0.2">
      <c r="A85" t="s">
        <v>518</v>
      </c>
      <c r="B85" t="s">
        <v>519</v>
      </c>
      <c r="C85" t="s">
        <v>22</v>
      </c>
      <c r="D85" t="s">
        <v>520</v>
      </c>
      <c r="E85" t="s">
        <v>521</v>
      </c>
      <c r="F85" t="s">
        <v>522</v>
      </c>
      <c r="G85" t="s">
        <v>22</v>
      </c>
      <c r="H85" t="s">
        <v>22</v>
      </c>
      <c r="I85" t="s">
        <v>703</v>
      </c>
      <c r="J85" t="s">
        <v>704</v>
      </c>
      <c r="K85" t="s">
        <v>22</v>
      </c>
      <c r="L85" t="s">
        <v>524</v>
      </c>
      <c r="N85" t="s">
        <v>713</v>
      </c>
      <c r="O85" t="s">
        <v>714</v>
      </c>
      <c r="P85" t="s">
        <v>242</v>
      </c>
      <c r="Q85" t="s">
        <v>541</v>
      </c>
      <c r="R85">
        <v>10000000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10000000</v>
      </c>
      <c r="Z85">
        <v>0</v>
      </c>
      <c r="AA85">
        <v>0</v>
      </c>
      <c r="AB85">
        <v>0</v>
      </c>
      <c r="AC85">
        <v>0</v>
      </c>
      <c r="AD85">
        <v>10000000</v>
      </c>
      <c r="AE85">
        <v>0</v>
      </c>
    </row>
    <row r="86" spans="1:31" x14ac:dyDescent="0.2">
      <c r="A86" t="s">
        <v>518</v>
      </c>
      <c r="B86" t="s">
        <v>519</v>
      </c>
      <c r="C86" t="s">
        <v>22</v>
      </c>
      <c r="D86" t="s">
        <v>520</v>
      </c>
      <c r="E86" t="s">
        <v>521</v>
      </c>
      <c r="F86" t="s">
        <v>522</v>
      </c>
      <c r="G86" t="s">
        <v>22</v>
      </c>
      <c r="H86" t="s">
        <v>22</v>
      </c>
      <c r="I86" t="s">
        <v>715</v>
      </c>
      <c r="J86" t="s">
        <v>716</v>
      </c>
      <c r="K86" t="s">
        <v>22</v>
      </c>
      <c r="L86" t="s">
        <v>524</v>
      </c>
      <c r="N86" t="s">
        <v>717</v>
      </c>
      <c r="O86" t="s">
        <v>718</v>
      </c>
      <c r="P86" t="s">
        <v>242</v>
      </c>
      <c r="Q86" t="s">
        <v>541</v>
      </c>
      <c r="R86">
        <v>75000000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75000000</v>
      </c>
      <c r="Z86">
        <v>20547000</v>
      </c>
      <c r="AA86">
        <v>19416600</v>
      </c>
      <c r="AB86">
        <v>6472200</v>
      </c>
      <c r="AC86">
        <v>6472200</v>
      </c>
      <c r="AD86">
        <v>54453000</v>
      </c>
      <c r="AE86">
        <v>27.4</v>
      </c>
    </row>
    <row r="87" spans="1:31" x14ac:dyDescent="0.2">
      <c r="A87" t="s">
        <v>518</v>
      </c>
      <c r="B87" t="s">
        <v>519</v>
      </c>
      <c r="C87" t="s">
        <v>22</v>
      </c>
      <c r="D87" t="s">
        <v>520</v>
      </c>
      <c r="E87" t="s">
        <v>521</v>
      </c>
      <c r="F87" t="s">
        <v>522</v>
      </c>
      <c r="G87" t="s">
        <v>22</v>
      </c>
      <c r="H87" t="s">
        <v>22</v>
      </c>
      <c r="I87" t="s">
        <v>703</v>
      </c>
      <c r="J87" t="s">
        <v>704</v>
      </c>
      <c r="K87" t="s">
        <v>22</v>
      </c>
      <c r="L87" t="s">
        <v>524</v>
      </c>
      <c r="N87" t="s">
        <v>719</v>
      </c>
      <c r="O87" t="s">
        <v>720</v>
      </c>
      <c r="P87" t="s">
        <v>242</v>
      </c>
      <c r="Q87" t="s">
        <v>541</v>
      </c>
      <c r="R87">
        <v>0</v>
      </c>
      <c r="S87">
        <v>0</v>
      </c>
      <c r="T87">
        <v>0</v>
      </c>
      <c r="U87">
        <v>13145041</v>
      </c>
      <c r="V87">
        <v>0</v>
      </c>
      <c r="W87">
        <v>0</v>
      </c>
      <c r="X87">
        <v>0</v>
      </c>
      <c r="Y87">
        <v>13145041</v>
      </c>
      <c r="Z87">
        <v>0</v>
      </c>
      <c r="AA87">
        <v>0</v>
      </c>
      <c r="AB87">
        <v>0</v>
      </c>
      <c r="AC87">
        <v>0</v>
      </c>
      <c r="AD87">
        <v>13145041</v>
      </c>
      <c r="AE87">
        <v>0</v>
      </c>
    </row>
    <row r="88" spans="1:31" x14ac:dyDescent="0.2">
      <c r="A88" t="s">
        <v>518</v>
      </c>
      <c r="B88" t="s">
        <v>519</v>
      </c>
      <c r="C88" t="s">
        <v>22</v>
      </c>
      <c r="D88" t="s">
        <v>520</v>
      </c>
      <c r="E88" t="s">
        <v>521</v>
      </c>
      <c r="F88" t="s">
        <v>522</v>
      </c>
      <c r="G88" t="s">
        <v>22</v>
      </c>
      <c r="H88" t="s">
        <v>22</v>
      </c>
      <c r="I88" t="s">
        <v>715</v>
      </c>
      <c r="J88" t="s">
        <v>716</v>
      </c>
      <c r="K88" t="s">
        <v>22</v>
      </c>
      <c r="L88" t="s">
        <v>524</v>
      </c>
      <c r="N88" t="s">
        <v>721</v>
      </c>
      <c r="O88" t="s">
        <v>722</v>
      </c>
      <c r="P88" t="s">
        <v>242</v>
      </c>
      <c r="Q88" t="s">
        <v>541</v>
      </c>
      <c r="R88">
        <v>0</v>
      </c>
      <c r="S88">
        <v>0</v>
      </c>
      <c r="T88">
        <v>0</v>
      </c>
      <c r="U88">
        <v>2000000</v>
      </c>
      <c r="V88">
        <v>0</v>
      </c>
      <c r="W88">
        <v>0</v>
      </c>
      <c r="X88">
        <v>0</v>
      </c>
      <c r="Y88">
        <v>2000000</v>
      </c>
      <c r="Z88">
        <v>1200000</v>
      </c>
      <c r="AA88">
        <v>1200000</v>
      </c>
      <c r="AB88">
        <v>1200000</v>
      </c>
      <c r="AC88">
        <v>1200000</v>
      </c>
      <c r="AD88">
        <v>800000</v>
      </c>
      <c r="AE88">
        <v>60</v>
      </c>
    </row>
    <row r="89" spans="1:31" x14ac:dyDescent="0.2">
      <c r="A89" t="s">
        <v>518</v>
      </c>
      <c r="B89" t="s">
        <v>519</v>
      </c>
      <c r="C89" t="s">
        <v>22</v>
      </c>
      <c r="D89" t="s">
        <v>520</v>
      </c>
      <c r="E89" t="s">
        <v>521</v>
      </c>
      <c r="F89" t="s">
        <v>522</v>
      </c>
      <c r="G89" t="s">
        <v>22</v>
      </c>
      <c r="H89" t="s">
        <v>22</v>
      </c>
      <c r="I89" t="s">
        <v>22</v>
      </c>
      <c r="J89" t="s">
        <v>523</v>
      </c>
      <c r="K89" t="s">
        <v>22</v>
      </c>
      <c r="L89" t="s">
        <v>524</v>
      </c>
      <c r="N89" t="s">
        <v>723</v>
      </c>
      <c r="O89" t="s">
        <v>724</v>
      </c>
      <c r="P89" t="s">
        <v>242</v>
      </c>
      <c r="Q89" t="s">
        <v>541</v>
      </c>
      <c r="R89">
        <v>40000000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40000000</v>
      </c>
      <c r="Z89">
        <v>11314533.6</v>
      </c>
      <c r="AA89">
        <v>11314533.6</v>
      </c>
      <c r="AB89">
        <v>11314533.6</v>
      </c>
      <c r="AC89">
        <v>11314533.6</v>
      </c>
      <c r="AD89">
        <v>28685466.399999999</v>
      </c>
      <c r="AE89">
        <v>28.29</v>
      </c>
    </row>
    <row r="90" spans="1:31" x14ac:dyDescent="0.2">
      <c r="A90" t="s">
        <v>518</v>
      </c>
      <c r="B90" t="s">
        <v>519</v>
      </c>
      <c r="C90" t="s">
        <v>22</v>
      </c>
      <c r="D90" t="s">
        <v>520</v>
      </c>
      <c r="E90" t="s">
        <v>521</v>
      </c>
      <c r="F90" t="s">
        <v>522</v>
      </c>
      <c r="G90" t="s">
        <v>22</v>
      </c>
      <c r="H90" t="s">
        <v>22</v>
      </c>
      <c r="I90" t="s">
        <v>22</v>
      </c>
      <c r="J90" t="s">
        <v>523</v>
      </c>
      <c r="K90" t="s">
        <v>22</v>
      </c>
      <c r="L90" t="s">
        <v>524</v>
      </c>
      <c r="N90" t="s">
        <v>725</v>
      </c>
      <c r="O90" t="s">
        <v>194</v>
      </c>
      <c r="P90" t="s">
        <v>22</v>
      </c>
      <c r="Q90" t="s">
        <v>527</v>
      </c>
      <c r="R90">
        <v>79219109</v>
      </c>
      <c r="S90">
        <v>59679960</v>
      </c>
      <c r="T90">
        <v>0</v>
      </c>
      <c r="U90">
        <v>0</v>
      </c>
      <c r="V90">
        <v>0</v>
      </c>
      <c r="W90">
        <v>0</v>
      </c>
      <c r="X90">
        <v>0</v>
      </c>
      <c r="Y90">
        <v>138899069</v>
      </c>
      <c r="Z90">
        <v>40977800</v>
      </c>
      <c r="AA90">
        <v>40977800</v>
      </c>
      <c r="AB90">
        <v>40977800</v>
      </c>
      <c r="AC90">
        <v>40977800</v>
      </c>
      <c r="AD90">
        <v>97921269</v>
      </c>
      <c r="AE90">
        <v>29.5</v>
      </c>
    </row>
    <row r="91" spans="1:31" x14ac:dyDescent="0.2">
      <c r="A91" t="s">
        <v>518</v>
      </c>
      <c r="B91" t="s">
        <v>519</v>
      </c>
      <c r="C91" t="s">
        <v>22</v>
      </c>
      <c r="D91" t="s">
        <v>520</v>
      </c>
      <c r="E91" t="s">
        <v>521</v>
      </c>
      <c r="F91" t="s">
        <v>522</v>
      </c>
      <c r="G91" t="s">
        <v>22</v>
      </c>
      <c r="H91" t="s">
        <v>22</v>
      </c>
      <c r="I91" t="s">
        <v>22</v>
      </c>
      <c r="J91" t="s">
        <v>523</v>
      </c>
      <c r="K91" t="s">
        <v>22</v>
      </c>
      <c r="L91" t="s">
        <v>524</v>
      </c>
      <c r="N91" t="s">
        <v>726</v>
      </c>
      <c r="O91" t="s">
        <v>727</v>
      </c>
      <c r="P91" t="s">
        <v>22</v>
      </c>
      <c r="Q91" t="s">
        <v>527</v>
      </c>
      <c r="R91">
        <v>66921409</v>
      </c>
      <c r="S91">
        <v>36708746</v>
      </c>
      <c r="T91">
        <v>0</v>
      </c>
      <c r="U91">
        <v>0</v>
      </c>
      <c r="V91">
        <v>0</v>
      </c>
      <c r="W91">
        <v>0</v>
      </c>
      <c r="X91">
        <v>0</v>
      </c>
      <c r="Y91">
        <v>103630155</v>
      </c>
      <c r="Z91">
        <v>40977800</v>
      </c>
      <c r="AA91">
        <v>40977800</v>
      </c>
      <c r="AB91">
        <v>40977800</v>
      </c>
      <c r="AC91">
        <v>40977800</v>
      </c>
      <c r="AD91">
        <v>62652355</v>
      </c>
      <c r="AE91">
        <v>39.54</v>
      </c>
    </row>
    <row r="92" spans="1:31" x14ac:dyDescent="0.2">
      <c r="A92" t="s">
        <v>518</v>
      </c>
      <c r="B92" t="s">
        <v>519</v>
      </c>
      <c r="C92" t="s">
        <v>22</v>
      </c>
      <c r="D92" t="s">
        <v>520</v>
      </c>
      <c r="E92" t="s">
        <v>521</v>
      </c>
      <c r="F92" t="s">
        <v>522</v>
      </c>
      <c r="G92" t="s">
        <v>22</v>
      </c>
      <c r="H92" t="s">
        <v>22</v>
      </c>
      <c r="I92" t="s">
        <v>22</v>
      </c>
      <c r="J92" t="s">
        <v>523</v>
      </c>
      <c r="K92" t="s">
        <v>22</v>
      </c>
      <c r="L92" t="s">
        <v>524</v>
      </c>
      <c r="N92" t="s">
        <v>728</v>
      </c>
      <c r="O92" t="s">
        <v>729</v>
      </c>
      <c r="P92" t="s">
        <v>22</v>
      </c>
      <c r="Q92" t="s">
        <v>527</v>
      </c>
      <c r="R92">
        <v>12602262</v>
      </c>
      <c r="S92">
        <v>32686776</v>
      </c>
      <c r="T92">
        <v>0</v>
      </c>
      <c r="U92">
        <v>0</v>
      </c>
      <c r="V92">
        <v>0</v>
      </c>
      <c r="W92">
        <v>0</v>
      </c>
      <c r="X92">
        <v>0</v>
      </c>
      <c r="Y92">
        <v>45289038</v>
      </c>
      <c r="Z92">
        <v>0</v>
      </c>
      <c r="AA92">
        <v>0</v>
      </c>
      <c r="AB92">
        <v>0</v>
      </c>
      <c r="AC92">
        <v>0</v>
      </c>
      <c r="AD92">
        <v>45289038</v>
      </c>
      <c r="AE92">
        <v>0</v>
      </c>
    </row>
    <row r="93" spans="1:31" x14ac:dyDescent="0.2">
      <c r="A93" t="s">
        <v>518</v>
      </c>
      <c r="B93" t="s">
        <v>519</v>
      </c>
      <c r="C93" t="s">
        <v>22</v>
      </c>
      <c r="D93" t="s">
        <v>520</v>
      </c>
      <c r="E93" t="s">
        <v>521</v>
      </c>
      <c r="F93" t="s">
        <v>522</v>
      </c>
      <c r="G93" t="s">
        <v>22</v>
      </c>
      <c r="H93" t="s">
        <v>22</v>
      </c>
      <c r="I93" t="s">
        <v>22</v>
      </c>
      <c r="J93" t="s">
        <v>523</v>
      </c>
      <c r="K93" t="s">
        <v>22</v>
      </c>
      <c r="L93" t="s">
        <v>524</v>
      </c>
      <c r="N93" t="s">
        <v>730</v>
      </c>
      <c r="O93" t="s">
        <v>731</v>
      </c>
      <c r="P93" t="s">
        <v>144</v>
      </c>
      <c r="Q93" t="s">
        <v>732</v>
      </c>
      <c r="R93">
        <v>1200000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1200000</v>
      </c>
      <c r="Z93">
        <v>0</v>
      </c>
      <c r="AA93">
        <v>0</v>
      </c>
      <c r="AB93">
        <v>0</v>
      </c>
      <c r="AC93">
        <v>0</v>
      </c>
      <c r="AD93">
        <v>1200000</v>
      </c>
      <c r="AE93">
        <v>0</v>
      </c>
    </row>
    <row r="94" spans="1:31" x14ac:dyDescent="0.2">
      <c r="A94" t="s">
        <v>518</v>
      </c>
      <c r="B94" t="s">
        <v>519</v>
      </c>
      <c r="C94" t="s">
        <v>22</v>
      </c>
      <c r="D94" t="s">
        <v>520</v>
      </c>
      <c r="E94" t="s">
        <v>521</v>
      </c>
      <c r="F94" t="s">
        <v>522</v>
      </c>
      <c r="G94" t="s">
        <v>22</v>
      </c>
      <c r="H94" t="s">
        <v>22</v>
      </c>
      <c r="I94" t="s">
        <v>22</v>
      </c>
      <c r="J94" t="s">
        <v>523</v>
      </c>
      <c r="K94" t="s">
        <v>22</v>
      </c>
      <c r="L94" t="s">
        <v>524</v>
      </c>
      <c r="N94" t="s">
        <v>730</v>
      </c>
      <c r="O94" t="s">
        <v>731</v>
      </c>
      <c r="P94" t="s">
        <v>457</v>
      </c>
      <c r="Q94" t="s">
        <v>733</v>
      </c>
      <c r="R94">
        <v>0</v>
      </c>
      <c r="S94">
        <v>2142902</v>
      </c>
      <c r="T94">
        <v>0</v>
      </c>
      <c r="U94">
        <v>0</v>
      </c>
      <c r="V94">
        <v>0</v>
      </c>
      <c r="W94">
        <v>0</v>
      </c>
      <c r="X94">
        <v>0</v>
      </c>
      <c r="Y94">
        <v>2142902</v>
      </c>
      <c r="Z94">
        <v>0</v>
      </c>
      <c r="AA94">
        <v>0</v>
      </c>
      <c r="AB94">
        <v>0</v>
      </c>
      <c r="AC94">
        <v>0</v>
      </c>
      <c r="AD94">
        <v>2142902</v>
      </c>
      <c r="AE94">
        <v>0</v>
      </c>
    </row>
    <row r="95" spans="1:31" x14ac:dyDescent="0.2">
      <c r="A95" t="s">
        <v>518</v>
      </c>
      <c r="B95" t="s">
        <v>519</v>
      </c>
      <c r="C95" t="s">
        <v>22</v>
      </c>
      <c r="D95" t="s">
        <v>520</v>
      </c>
      <c r="E95" t="s">
        <v>521</v>
      </c>
      <c r="F95" t="s">
        <v>522</v>
      </c>
      <c r="G95" t="s">
        <v>22</v>
      </c>
      <c r="H95" t="s">
        <v>22</v>
      </c>
      <c r="I95" t="s">
        <v>22</v>
      </c>
      <c r="J95" t="s">
        <v>523</v>
      </c>
      <c r="K95" t="s">
        <v>22</v>
      </c>
      <c r="L95" t="s">
        <v>524</v>
      </c>
      <c r="N95" t="s">
        <v>734</v>
      </c>
      <c r="O95" t="s">
        <v>735</v>
      </c>
      <c r="P95" t="s">
        <v>144</v>
      </c>
      <c r="Q95" t="s">
        <v>732</v>
      </c>
      <c r="R95">
        <v>450000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450000</v>
      </c>
      <c r="Z95">
        <v>0</v>
      </c>
      <c r="AA95">
        <v>0</v>
      </c>
      <c r="AB95">
        <v>0</v>
      </c>
      <c r="AC95">
        <v>0</v>
      </c>
      <c r="AD95">
        <v>450000</v>
      </c>
      <c r="AE95">
        <v>0</v>
      </c>
    </row>
    <row r="96" spans="1:31" x14ac:dyDescent="0.2">
      <c r="A96" t="s">
        <v>518</v>
      </c>
      <c r="B96" t="s">
        <v>519</v>
      </c>
      <c r="C96" t="s">
        <v>22</v>
      </c>
      <c r="D96" t="s">
        <v>520</v>
      </c>
      <c r="E96" t="s">
        <v>521</v>
      </c>
      <c r="F96" t="s">
        <v>522</v>
      </c>
      <c r="G96" t="s">
        <v>22</v>
      </c>
      <c r="H96" t="s">
        <v>22</v>
      </c>
      <c r="I96" t="s">
        <v>22</v>
      </c>
      <c r="J96" t="s">
        <v>523</v>
      </c>
      <c r="K96" t="s">
        <v>22</v>
      </c>
      <c r="L96" t="s">
        <v>524</v>
      </c>
      <c r="N96" t="s">
        <v>734</v>
      </c>
      <c r="O96" t="s">
        <v>735</v>
      </c>
      <c r="P96" t="s">
        <v>457</v>
      </c>
      <c r="Q96" t="s">
        <v>733</v>
      </c>
      <c r="R96">
        <v>0</v>
      </c>
      <c r="S96">
        <v>803588</v>
      </c>
      <c r="T96">
        <v>0</v>
      </c>
      <c r="U96">
        <v>0</v>
      </c>
      <c r="V96">
        <v>0</v>
      </c>
      <c r="W96">
        <v>0</v>
      </c>
      <c r="X96">
        <v>0</v>
      </c>
      <c r="Y96">
        <v>803588</v>
      </c>
      <c r="Z96">
        <v>0</v>
      </c>
      <c r="AA96">
        <v>0</v>
      </c>
      <c r="AB96">
        <v>0</v>
      </c>
      <c r="AC96">
        <v>0</v>
      </c>
      <c r="AD96">
        <v>803588</v>
      </c>
      <c r="AE96">
        <v>0</v>
      </c>
    </row>
    <row r="97" spans="1:31" x14ac:dyDescent="0.2">
      <c r="A97" t="s">
        <v>518</v>
      </c>
      <c r="B97" t="s">
        <v>519</v>
      </c>
      <c r="C97" t="s">
        <v>22</v>
      </c>
      <c r="D97" t="s">
        <v>520</v>
      </c>
      <c r="E97" t="s">
        <v>521</v>
      </c>
      <c r="F97" t="s">
        <v>522</v>
      </c>
      <c r="G97" t="s">
        <v>22</v>
      </c>
      <c r="H97" t="s">
        <v>22</v>
      </c>
      <c r="I97" t="s">
        <v>22</v>
      </c>
      <c r="J97" t="s">
        <v>523</v>
      </c>
      <c r="K97" t="s">
        <v>22</v>
      </c>
      <c r="L97" t="s">
        <v>524</v>
      </c>
      <c r="N97" t="s">
        <v>736</v>
      </c>
      <c r="O97" t="s">
        <v>737</v>
      </c>
      <c r="P97" t="s">
        <v>144</v>
      </c>
      <c r="Q97" t="s">
        <v>732</v>
      </c>
      <c r="R97">
        <v>450000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450000</v>
      </c>
      <c r="Z97">
        <v>0</v>
      </c>
      <c r="AA97">
        <v>0</v>
      </c>
      <c r="AB97">
        <v>0</v>
      </c>
      <c r="AC97">
        <v>0</v>
      </c>
      <c r="AD97">
        <v>450000</v>
      </c>
      <c r="AE97">
        <v>0</v>
      </c>
    </row>
    <row r="98" spans="1:31" x14ac:dyDescent="0.2">
      <c r="A98" t="s">
        <v>518</v>
      </c>
      <c r="B98" t="s">
        <v>519</v>
      </c>
      <c r="C98" t="s">
        <v>22</v>
      </c>
      <c r="D98" t="s">
        <v>520</v>
      </c>
      <c r="E98" t="s">
        <v>521</v>
      </c>
      <c r="F98" t="s">
        <v>522</v>
      </c>
      <c r="G98" t="s">
        <v>22</v>
      </c>
      <c r="H98" t="s">
        <v>22</v>
      </c>
      <c r="I98" t="s">
        <v>22</v>
      </c>
      <c r="J98" t="s">
        <v>523</v>
      </c>
      <c r="K98" t="s">
        <v>22</v>
      </c>
      <c r="L98" t="s">
        <v>524</v>
      </c>
      <c r="N98" t="s">
        <v>736</v>
      </c>
      <c r="O98" t="s">
        <v>737</v>
      </c>
      <c r="P98" t="s">
        <v>457</v>
      </c>
      <c r="Q98" t="s">
        <v>733</v>
      </c>
      <c r="R98">
        <v>0</v>
      </c>
      <c r="S98">
        <v>803588</v>
      </c>
      <c r="T98">
        <v>0</v>
      </c>
      <c r="U98">
        <v>0</v>
      </c>
      <c r="V98">
        <v>0</v>
      </c>
      <c r="W98">
        <v>0</v>
      </c>
      <c r="X98">
        <v>0</v>
      </c>
      <c r="Y98">
        <v>803588</v>
      </c>
      <c r="Z98">
        <v>0</v>
      </c>
      <c r="AA98">
        <v>0</v>
      </c>
      <c r="AB98">
        <v>0</v>
      </c>
      <c r="AC98">
        <v>0</v>
      </c>
      <c r="AD98">
        <v>803588</v>
      </c>
      <c r="AE98">
        <v>0</v>
      </c>
    </row>
    <row r="99" spans="1:31" x14ac:dyDescent="0.2">
      <c r="A99" t="s">
        <v>518</v>
      </c>
      <c r="B99" t="s">
        <v>519</v>
      </c>
      <c r="C99" t="s">
        <v>22</v>
      </c>
      <c r="D99" t="s">
        <v>520</v>
      </c>
      <c r="E99" t="s">
        <v>521</v>
      </c>
      <c r="F99" t="s">
        <v>522</v>
      </c>
      <c r="G99" t="s">
        <v>22</v>
      </c>
      <c r="H99" t="s">
        <v>22</v>
      </c>
      <c r="I99" t="s">
        <v>22</v>
      </c>
      <c r="J99" t="s">
        <v>523</v>
      </c>
      <c r="K99" t="s">
        <v>22</v>
      </c>
      <c r="L99" t="s">
        <v>524</v>
      </c>
      <c r="N99" t="s">
        <v>738</v>
      </c>
      <c r="O99" t="s">
        <v>254</v>
      </c>
      <c r="P99" t="s">
        <v>22</v>
      </c>
      <c r="Q99" t="s">
        <v>527</v>
      </c>
      <c r="R99">
        <v>54319147</v>
      </c>
      <c r="S99">
        <v>4021970</v>
      </c>
      <c r="T99">
        <v>0</v>
      </c>
      <c r="U99">
        <v>0</v>
      </c>
      <c r="V99">
        <v>0</v>
      </c>
      <c r="W99">
        <v>0</v>
      </c>
      <c r="X99">
        <v>0</v>
      </c>
      <c r="Y99">
        <v>58341117</v>
      </c>
      <c r="Z99">
        <v>40977800</v>
      </c>
      <c r="AA99">
        <v>40977800</v>
      </c>
      <c r="AB99">
        <v>40977800</v>
      </c>
      <c r="AC99">
        <v>40977800</v>
      </c>
      <c r="AD99">
        <v>17363317</v>
      </c>
      <c r="AE99">
        <v>70.239999999999995</v>
      </c>
    </row>
    <row r="100" spans="1:31" x14ac:dyDescent="0.2">
      <c r="A100" t="s">
        <v>518</v>
      </c>
      <c r="B100" t="s">
        <v>519</v>
      </c>
      <c r="C100" t="s">
        <v>22</v>
      </c>
      <c r="D100" t="s">
        <v>520</v>
      </c>
      <c r="E100" t="s">
        <v>521</v>
      </c>
      <c r="F100" t="s">
        <v>522</v>
      </c>
      <c r="G100" t="s">
        <v>22</v>
      </c>
      <c r="H100" t="s">
        <v>22</v>
      </c>
      <c r="I100" t="s">
        <v>22</v>
      </c>
      <c r="J100" t="s">
        <v>523</v>
      </c>
      <c r="K100" t="s">
        <v>22</v>
      </c>
      <c r="L100" t="s">
        <v>524</v>
      </c>
      <c r="N100" t="s">
        <v>739</v>
      </c>
      <c r="O100" t="s">
        <v>740</v>
      </c>
      <c r="P100" t="s">
        <v>22</v>
      </c>
      <c r="Q100" t="s">
        <v>527</v>
      </c>
      <c r="R100">
        <v>54319147</v>
      </c>
      <c r="S100">
        <v>4021970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58341117</v>
      </c>
      <c r="Z100">
        <v>40977800</v>
      </c>
      <c r="AA100">
        <v>40977800</v>
      </c>
      <c r="AB100">
        <v>40977800</v>
      </c>
      <c r="AC100">
        <v>40977800</v>
      </c>
      <c r="AD100">
        <v>17363317</v>
      </c>
      <c r="AE100">
        <v>70.239999999999995</v>
      </c>
    </row>
    <row r="101" spans="1:31" x14ac:dyDescent="0.2">
      <c r="A101" t="s">
        <v>518</v>
      </c>
      <c r="B101" t="s">
        <v>519</v>
      </c>
      <c r="C101" t="s">
        <v>22</v>
      </c>
      <c r="D101" t="s">
        <v>520</v>
      </c>
      <c r="E101" t="s">
        <v>521</v>
      </c>
      <c r="F101" t="s">
        <v>522</v>
      </c>
      <c r="G101" t="s">
        <v>22</v>
      </c>
      <c r="H101" t="s">
        <v>22</v>
      </c>
      <c r="I101" t="s">
        <v>22</v>
      </c>
      <c r="J101" t="s">
        <v>523</v>
      </c>
      <c r="K101" t="s">
        <v>22</v>
      </c>
      <c r="L101" t="s">
        <v>524</v>
      </c>
      <c r="N101" t="s">
        <v>741</v>
      </c>
      <c r="O101" t="s">
        <v>742</v>
      </c>
      <c r="P101" t="s">
        <v>22</v>
      </c>
      <c r="Q101" t="s">
        <v>527</v>
      </c>
      <c r="R101">
        <v>54319147</v>
      </c>
      <c r="S101">
        <v>4021970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58341117</v>
      </c>
      <c r="Z101">
        <v>40977800</v>
      </c>
      <c r="AA101">
        <v>40977800</v>
      </c>
      <c r="AB101">
        <v>40977800</v>
      </c>
      <c r="AC101">
        <v>40977800</v>
      </c>
      <c r="AD101">
        <v>17363317</v>
      </c>
      <c r="AE101">
        <v>70.239999999999995</v>
      </c>
    </row>
    <row r="102" spans="1:31" x14ac:dyDescent="0.2">
      <c r="A102" t="s">
        <v>518</v>
      </c>
      <c r="B102" t="s">
        <v>519</v>
      </c>
      <c r="C102" t="s">
        <v>22</v>
      </c>
      <c r="D102" t="s">
        <v>520</v>
      </c>
      <c r="E102" t="s">
        <v>521</v>
      </c>
      <c r="F102" t="s">
        <v>522</v>
      </c>
      <c r="G102" t="s">
        <v>22</v>
      </c>
      <c r="H102" t="s">
        <v>22</v>
      </c>
      <c r="I102" t="s">
        <v>22</v>
      </c>
      <c r="J102" t="s">
        <v>523</v>
      </c>
      <c r="K102" t="s">
        <v>22</v>
      </c>
      <c r="L102" t="s">
        <v>524</v>
      </c>
      <c r="N102" t="s">
        <v>743</v>
      </c>
      <c r="O102" t="s">
        <v>744</v>
      </c>
      <c r="P102" t="s">
        <v>38</v>
      </c>
      <c r="Q102" t="s">
        <v>745</v>
      </c>
      <c r="R102">
        <v>54319147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54319147</v>
      </c>
      <c r="Z102">
        <v>40977800</v>
      </c>
      <c r="AA102">
        <v>40977800</v>
      </c>
      <c r="AB102">
        <v>40977800</v>
      </c>
      <c r="AC102">
        <v>40977800</v>
      </c>
      <c r="AD102">
        <v>13341347</v>
      </c>
      <c r="AE102">
        <v>75.44</v>
      </c>
    </row>
    <row r="103" spans="1:31" x14ac:dyDescent="0.2">
      <c r="A103" t="s">
        <v>518</v>
      </c>
      <c r="B103" t="s">
        <v>519</v>
      </c>
      <c r="C103" t="s">
        <v>22</v>
      </c>
      <c r="D103" t="s">
        <v>520</v>
      </c>
      <c r="E103" t="s">
        <v>521</v>
      </c>
      <c r="F103" t="s">
        <v>522</v>
      </c>
      <c r="G103" t="s">
        <v>22</v>
      </c>
      <c r="H103" t="s">
        <v>22</v>
      </c>
      <c r="I103" t="s">
        <v>22</v>
      </c>
      <c r="J103" t="s">
        <v>523</v>
      </c>
      <c r="K103" t="s">
        <v>22</v>
      </c>
      <c r="L103" t="s">
        <v>524</v>
      </c>
      <c r="N103" t="s">
        <v>743</v>
      </c>
      <c r="O103" t="s">
        <v>744</v>
      </c>
      <c r="P103" t="s">
        <v>445</v>
      </c>
      <c r="Q103" t="s">
        <v>746</v>
      </c>
      <c r="R103">
        <v>0</v>
      </c>
      <c r="S103">
        <v>4021970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4021970</v>
      </c>
      <c r="Z103">
        <v>0</v>
      </c>
      <c r="AA103">
        <v>0</v>
      </c>
      <c r="AB103">
        <v>0</v>
      </c>
      <c r="AC103">
        <v>0</v>
      </c>
      <c r="AD103">
        <v>4021970</v>
      </c>
      <c r="AE103">
        <v>0</v>
      </c>
    </row>
    <row r="104" spans="1:31" x14ac:dyDescent="0.2">
      <c r="A104" t="s">
        <v>518</v>
      </c>
      <c r="B104" t="s">
        <v>519</v>
      </c>
      <c r="C104" t="s">
        <v>22</v>
      </c>
      <c r="D104" t="s">
        <v>520</v>
      </c>
      <c r="E104" t="s">
        <v>521</v>
      </c>
      <c r="F104" t="s">
        <v>522</v>
      </c>
      <c r="G104" t="s">
        <v>22</v>
      </c>
      <c r="H104" t="s">
        <v>22</v>
      </c>
      <c r="I104" t="s">
        <v>22</v>
      </c>
      <c r="J104" t="s">
        <v>523</v>
      </c>
      <c r="K104" t="s">
        <v>22</v>
      </c>
      <c r="L104" t="s">
        <v>524</v>
      </c>
      <c r="N104" t="s">
        <v>747</v>
      </c>
      <c r="O104" t="s">
        <v>748</v>
      </c>
      <c r="P104" t="s">
        <v>22</v>
      </c>
      <c r="Q104" t="s">
        <v>527</v>
      </c>
      <c r="R104">
        <v>6349424</v>
      </c>
      <c r="S104">
        <v>8887000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15236424</v>
      </c>
      <c r="Z104">
        <v>0</v>
      </c>
      <c r="AA104">
        <v>0</v>
      </c>
      <c r="AB104">
        <v>0</v>
      </c>
      <c r="AC104">
        <v>0</v>
      </c>
      <c r="AD104">
        <v>15236424</v>
      </c>
      <c r="AE104">
        <v>0</v>
      </c>
    </row>
    <row r="105" spans="1:31" x14ac:dyDescent="0.2">
      <c r="A105" t="s">
        <v>518</v>
      </c>
      <c r="B105" t="s">
        <v>519</v>
      </c>
      <c r="C105" t="s">
        <v>22</v>
      </c>
      <c r="D105" t="s">
        <v>520</v>
      </c>
      <c r="E105" t="s">
        <v>521</v>
      </c>
      <c r="F105" t="s">
        <v>522</v>
      </c>
      <c r="G105" t="s">
        <v>22</v>
      </c>
      <c r="H105" t="s">
        <v>22</v>
      </c>
      <c r="I105" t="s">
        <v>22</v>
      </c>
      <c r="J105" t="s">
        <v>523</v>
      </c>
      <c r="K105" t="s">
        <v>22</v>
      </c>
      <c r="L105" t="s">
        <v>524</v>
      </c>
      <c r="N105" t="s">
        <v>749</v>
      </c>
      <c r="O105" t="s">
        <v>750</v>
      </c>
      <c r="P105" t="s">
        <v>22</v>
      </c>
      <c r="Q105" t="s">
        <v>527</v>
      </c>
      <c r="R105">
        <v>6349424</v>
      </c>
      <c r="S105">
        <v>8887000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15236424</v>
      </c>
      <c r="Z105">
        <v>0</v>
      </c>
      <c r="AA105">
        <v>0</v>
      </c>
      <c r="AB105">
        <v>0</v>
      </c>
      <c r="AC105">
        <v>0</v>
      </c>
      <c r="AD105">
        <v>15236424</v>
      </c>
      <c r="AE105">
        <v>0</v>
      </c>
    </row>
    <row r="106" spans="1:31" x14ac:dyDescent="0.2">
      <c r="A106" t="s">
        <v>518</v>
      </c>
      <c r="B106" t="s">
        <v>519</v>
      </c>
      <c r="C106" t="s">
        <v>22</v>
      </c>
      <c r="D106" t="s">
        <v>520</v>
      </c>
      <c r="E106" t="s">
        <v>521</v>
      </c>
      <c r="F106" t="s">
        <v>522</v>
      </c>
      <c r="G106" t="s">
        <v>22</v>
      </c>
      <c r="H106" t="s">
        <v>22</v>
      </c>
      <c r="I106" t="s">
        <v>22</v>
      </c>
      <c r="J106" t="s">
        <v>523</v>
      </c>
      <c r="K106" t="s">
        <v>22</v>
      </c>
      <c r="L106" t="s">
        <v>524</v>
      </c>
      <c r="N106" t="s">
        <v>751</v>
      </c>
      <c r="O106" t="s">
        <v>752</v>
      </c>
      <c r="P106" t="s">
        <v>83</v>
      </c>
      <c r="Q106" t="s">
        <v>753</v>
      </c>
      <c r="R106">
        <v>6349424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6349424</v>
      </c>
      <c r="Z106">
        <v>0</v>
      </c>
      <c r="AA106">
        <v>0</v>
      </c>
      <c r="AB106">
        <v>0</v>
      </c>
      <c r="AC106">
        <v>0</v>
      </c>
      <c r="AD106">
        <v>6349424</v>
      </c>
      <c r="AE106">
        <v>0</v>
      </c>
    </row>
    <row r="107" spans="1:31" x14ac:dyDescent="0.2">
      <c r="A107" t="s">
        <v>518</v>
      </c>
      <c r="B107" t="s">
        <v>519</v>
      </c>
      <c r="C107" t="s">
        <v>22</v>
      </c>
      <c r="D107" t="s">
        <v>520</v>
      </c>
      <c r="E107" t="s">
        <v>521</v>
      </c>
      <c r="F107" t="s">
        <v>522</v>
      </c>
      <c r="G107" t="s">
        <v>22</v>
      </c>
      <c r="H107" t="s">
        <v>22</v>
      </c>
      <c r="I107" t="s">
        <v>22</v>
      </c>
      <c r="J107" t="s">
        <v>523</v>
      </c>
      <c r="K107" t="s">
        <v>22</v>
      </c>
      <c r="L107" t="s">
        <v>524</v>
      </c>
      <c r="N107" t="s">
        <v>751</v>
      </c>
      <c r="O107" t="s">
        <v>752</v>
      </c>
      <c r="P107" t="s">
        <v>447</v>
      </c>
      <c r="Q107" t="s">
        <v>754</v>
      </c>
      <c r="R107">
        <v>0</v>
      </c>
      <c r="S107">
        <v>8887000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8887000</v>
      </c>
      <c r="Z107">
        <v>0</v>
      </c>
      <c r="AA107">
        <v>0</v>
      </c>
      <c r="AB107">
        <v>0</v>
      </c>
      <c r="AC107">
        <v>0</v>
      </c>
      <c r="AD107">
        <v>8887000</v>
      </c>
      <c r="AE107">
        <v>0</v>
      </c>
    </row>
    <row r="108" spans="1:31" x14ac:dyDescent="0.2">
      <c r="A108" t="s">
        <v>518</v>
      </c>
      <c r="B108" t="s">
        <v>519</v>
      </c>
      <c r="C108" t="s">
        <v>22</v>
      </c>
      <c r="D108" t="s">
        <v>520</v>
      </c>
      <c r="E108" t="s">
        <v>521</v>
      </c>
      <c r="F108" t="s">
        <v>522</v>
      </c>
      <c r="G108" t="s">
        <v>22</v>
      </c>
      <c r="H108" t="s">
        <v>22</v>
      </c>
      <c r="I108" t="s">
        <v>22</v>
      </c>
      <c r="J108" t="s">
        <v>523</v>
      </c>
      <c r="K108" t="s">
        <v>22</v>
      </c>
      <c r="L108" t="s">
        <v>524</v>
      </c>
      <c r="N108" t="s">
        <v>755</v>
      </c>
      <c r="O108" t="s">
        <v>272</v>
      </c>
      <c r="P108" t="s">
        <v>22</v>
      </c>
      <c r="Q108" t="s">
        <v>527</v>
      </c>
      <c r="R108">
        <v>5947276</v>
      </c>
      <c r="S108">
        <v>14084214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20031490</v>
      </c>
      <c r="Z108">
        <v>0</v>
      </c>
      <c r="AA108">
        <v>0</v>
      </c>
      <c r="AB108">
        <v>0</v>
      </c>
      <c r="AC108">
        <v>0</v>
      </c>
      <c r="AD108">
        <v>20031490</v>
      </c>
      <c r="AE108">
        <v>0</v>
      </c>
    </row>
    <row r="109" spans="1:31" x14ac:dyDescent="0.2">
      <c r="A109" t="s">
        <v>518</v>
      </c>
      <c r="B109" t="s">
        <v>519</v>
      </c>
      <c r="C109" t="s">
        <v>22</v>
      </c>
      <c r="D109" t="s">
        <v>520</v>
      </c>
      <c r="E109" t="s">
        <v>521</v>
      </c>
      <c r="F109" t="s">
        <v>522</v>
      </c>
      <c r="G109" t="s">
        <v>22</v>
      </c>
      <c r="H109" t="s">
        <v>22</v>
      </c>
      <c r="I109" t="s">
        <v>22</v>
      </c>
      <c r="J109" t="s">
        <v>523</v>
      </c>
      <c r="K109" t="s">
        <v>22</v>
      </c>
      <c r="L109" t="s">
        <v>524</v>
      </c>
      <c r="N109" t="s">
        <v>756</v>
      </c>
      <c r="O109" t="s">
        <v>757</v>
      </c>
      <c r="P109" t="s">
        <v>22</v>
      </c>
      <c r="Q109" t="s">
        <v>527</v>
      </c>
      <c r="R109">
        <v>5947276</v>
      </c>
      <c r="S109">
        <v>14084214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20031490</v>
      </c>
      <c r="Z109">
        <v>0</v>
      </c>
      <c r="AA109">
        <v>0</v>
      </c>
      <c r="AB109">
        <v>0</v>
      </c>
      <c r="AC109">
        <v>0</v>
      </c>
      <c r="AD109">
        <v>20031490</v>
      </c>
      <c r="AE109">
        <v>0</v>
      </c>
    </row>
    <row r="110" spans="1:31" x14ac:dyDescent="0.2">
      <c r="A110" t="s">
        <v>518</v>
      </c>
      <c r="B110" t="s">
        <v>519</v>
      </c>
      <c r="C110" t="s">
        <v>22</v>
      </c>
      <c r="D110" t="s">
        <v>520</v>
      </c>
      <c r="E110" t="s">
        <v>521</v>
      </c>
      <c r="F110" t="s">
        <v>522</v>
      </c>
      <c r="G110" t="s">
        <v>22</v>
      </c>
      <c r="H110" t="s">
        <v>22</v>
      </c>
      <c r="I110" t="s">
        <v>22</v>
      </c>
      <c r="J110" t="s">
        <v>523</v>
      </c>
      <c r="K110" t="s">
        <v>22</v>
      </c>
      <c r="L110" t="s">
        <v>524</v>
      </c>
      <c r="N110" t="s">
        <v>758</v>
      </c>
      <c r="O110" t="s">
        <v>759</v>
      </c>
      <c r="P110" t="s">
        <v>22</v>
      </c>
      <c r="Q110" t="s">
        <v>527</v>
      </c>
      <c r="R110">
        <v>5947276</v>
      </c>
      <c r="S110">
        <v>14084214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20031490</v>
      </c>
      <c r="Z110">
        <v>0</v>
      </c>
      <c r="AA110">
        <v>0</v>
      </c>
      <c r="AB110">
        <v>0</v>
      </c>
      <c r="AC110">
        <v>0</v>
      </c>
      <c r="AD110">
        <v>20031490</v>
      </c>
      <c r="AE110">
        <v>0</v>
      </c>
    </row>
    <row r="111" spans="1:31" x14ac:dyDescent="0.2">
      <c r="A111" t="s">
        <v>518</v>
      </c>
      <c r="B111" t="s">
        <v>519</v>
      </c>
      <c r="C111" t="s">
        <v>22</v>
      </c>
      <c r="D111" t="s">
        <v>520</v>
      </c>
      <c r="E111" t="s">
        <v>521</v>
      </c>
      <c r="F111" t="s">
        <v>522</v>
      </c>
      <c r="G111" t="s">
        <v>22</v>
      </c>
      <c r="H111" t="s">
        <v>22</v>
      </c>
      <c r="I111" t="s">
        <v>22</v>
      </c>
      <c r="J111" t="s">
        <v>523</v>
      </c>
      <c r="K111" t="s">
        <v>22</v>
      </c>
      <c r="L111" t="s">
        <v>524</v>
      </c>
      <c r="N111" t="s">
        <v>760</v>
      </c>
      <c r="O111" t="s">
        <v>761</v>
      </c>
      <c r="P111" t="s">
        <v>22</v>
      </c>
      <c r="Q111" t="s">
        <v>527</v>
      </c>
      <c r="R111">
        <v>5947276</v>
      </c>
      <c r="S111">
        <v>14084214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20031490</v>
      </c>
      <c r="Z111">
        <v>0</v>
      </c>
      <c r="AA111">
        <v>0</v>
      </c>
      <c r="AB111">
        <v>0</v>
      </c>
      <c r="AC111">
        <v>0</v>
      </c>
      <c r="AD111">
        <v>20031490</v>
      </c>
      <c r="AE111">
        <v>0</v>
      </c>
    </row>
    <row r="112" spans="1:31" x14ac:dyDescent="0.2">
      <c r="A112" t="s">
        <v>518</v>
      </c>
      <c r="B112" t="s">
        <v>519</v>
      </c>
      <c r="C112" t="s">
        <v>22</v>
      </c>
      <c r="D112" t="s">
        <v>520</v>
      </c>
      <c r="E112" t="s">
        <v>521</v>
      </c>
      <c r="F112" t="s">
        <v>522</v>
      </c>
      <c r="G112" t="s">
        <v>22</v>
      </c>
      <c r="H112" t="s">
        <v>22</v>
      </c>
      <c r="I112" t="s">
        <v>22</v>
      </c>
      <c r="J112" t="s">
        <v>523</v>
      </c>
      <c r="K112" t="s">
        <v>22</v>
      </c>
      <c r="L112" t="s">
        <v>524</v>
      </c>
      <c r="N112" t="s">
        <v>762</v>
      </c>
      <c r="O112" t="s">
        <v>763</v>
      </c>
      <c r="P112" t="s">
        <v>98</v>
      </c>
      <c r="Q112" t="s">
        <v>764</v>
      </c>
      <c r="R112">
        <v>5847276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5847276</v>
      </c>
      <c r="Z112">
        <v>0</v>
      </c>
      <c r="AA112">
        <v>0</v>
      </c>
      <c r="AB112">
        <v>0</v>
      </c>
      <c r="AC112">
        <v>0</v>
      </c>
      <c r="AD112">
        <v>5847276</v>
      </c>
      <c r="AE112">
        <v>0</v>
      </c>
    </row>
    <row r="113" spans="1:31" x14ac:dyDescent="0.2">
      <c r="A113" t="s">
        <v>518</v>
      </c>
      <c r="B113" t="s">
        <v>519</v>
      </c>
      <c r="C113" t="s">
        <v>22</v>
      </c>
      <c r="D113" t="s">
        <v>520</v>
      </c>
      <c r="E113" t="s">
        <v>521</v>
      </c>
      <c r="F113" t="s">
        <v>522</v>
      </c>
      <c r="G113" t="s">
        <v>22</v>
      </c>
      <c r="H113" t="s">
        <v>22</v>
      </c>
      <c r="I113" t="s">
        <v>22</v>
      </c>
      <c r="J113" t="s">
        <v>523</v>
      </c>
      <c r="K113" t="s">
        <v>22</v>
      </c>
      <c r="L113" t="s">
        <v>524</v>
      </c>
      <c r="N113" t="s">
        <v>762</v>
      </c>
      <c r="O113" t="s">
        <v>763</v>
      </c>
      <c r="P113" t="s">
        <v>361</v>
      </c>
      <c r="Q113" t="s">
        <v>765</v>
      </c>
      <c r="R113">
        <v>100000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100000</v>
      </c>
      <c r="Z113">
        <v>0</v>
      </c>
      <c r="AA113">
        <v>0</v>
      </c>
      <c r="AB113">
        <v>0</v>
      </c>
      <c r="AC113">
        <v>0</v>
      </c>
      <c r="AD113">
        <v>100000</v>
      </c>
      <c r="AE113">
        <v>0</v>
      </c>
    </row>
    <row r="114" spans="1:31" x14ac:dyDescent="0.2">
      <c r="A114" t="s">
        <v>518</v>
      </c>
      <c r="B114" t="s">
        <v>519</v>
      </c>
      <c r="C114" t="s">
        <v>22</v>
      </c>
      <c r="D114" t="s">
        <v>520</v>
      </c>
      <c r="E114" t="s">
        <v>521</v>
      </c>
      <c r="F114" t="s">
        <v>522</v>
      </c>
      <c r="G114" t="s">
        <v>22</v>
      </c>
      <c r="H114" t="s">
        <v>22</v>
      </c>
      <c r="I114" t="s">
        <v>22</v>
      </c>
      <c r="J114" t="s">
        <v>523</v>
      </c>
      <c r="K114" t="s">
        <v>22</v>
      </c>
      <c r="L114" t="s">
        <v>524</v>
      </c>
      <c r="N114" t="s">
        <v>762</v>
      </c>
      <c r="O114" t="s">
        <v>763</v>
      </c>
      <c r="P114" t="s">
        <v>459</v>
      </c>
      <c r="Q114" t="s">
        <v>766</v>
      </c>
      <c r="R114">
        <v>0</v>
      </c>
      <c r="S114">
        <v>14005454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14005454</v>
      </c>
      <c r="Z114">
        <v>0</v>
      </c>
      <c r="AA114">
        <v>0</v>
      </c>
      <c r="AB114">
        <v>0</v>
      </c>
      <c r="AC114">
        <v>0</v>
      </c>
      <c r="AD114">
        <v>14005454</v>
      </c>
      <c r="AE114">
        <v>0</v>
      </c>
    </row>
    <row r="115" spans="1:31" x14ac:dyDescent="0.2">
      <c r="A115" t="s">
        <v>518</v>
      </c>
      <c r="B115" t="s">
        <v>519</v>
      </c>
      <c r="C115" t="s">
        <v>22</v>
      </c>
      <c r="D115" t="s">
        <v>520</v>
      </c>
      <c r="E115" t="s">
        <v>521</v>
      </c>
      <c r="F115" t="s">
        <v>522</v>
      </c>
      <c r="G115" t="s">
        <v>22</v>
      </c>
      <c r="H115" t="s">
        <v>22</v>
      </c>
      <c r="I115" t="s">
        <v>22</v>
      </c>
      <c r="J115" t="s">
        <v>523</v>
      </c>
      <c r="K115" t="s">
        <v>22</v>
      </c>
      <c r="L115" t="s">
        <v>524</v>
      </c>
      <c r="N115" t="s">
        <v>762</v>
      </c>
      <c r="O115" t="s">
        <v>763</v>
      </c>
      <c r="P115" t="s">
        <v>399</v>
      </c>
      <c r="Q115" t="s">
        <v>767</v>
      </c>
      <c r="R115">
        <v>0</v>
      </c>
      <c r="S115">
        <v>78760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78760</v>
      </c>
      <c r="Z115">
        <v>0</v>
      </c>
      <c r="AA115">
        <v>0</v>
      </c>
      <c r="AB115">
        <v>0</v>
      </c>
      <c r="AC115">
        <v>0</v>
      </c>
      <c r="AD115">
        <v>78760</v>
      </c>
      <c r="AE115">
        <v>0</v>
      </c>
    </row>
    <row r="116" spans="1:31" x14ac:dyDescent="0.2">
      <c r="A116" t="s">
        <v>518</v>
      </c>
      <c r="B116" t="s">
        <v>519</v>
      </c>
      <c r="C116" t="s">
        <v>22</v>
      </c>
      <c r="D116" t="s">
        <v>520</v>
      </c>
      <c r="E116" t="s">
        <v>521</v>
      </c>
      <c r="F116" t="s">
        <v>522</v>
      </c>
      <c r="G116" t="s">
        <v>22</v>
      </c>
      <c r="H116" t="s">
        <v>22</v>
      </c>
      <c r="I116" t="s">
        <v>22</v>
      </c>
      <c r="J116" t="s">
        <v>523</v>
      </c>
      <c r="K116" t="s">
        <v>22</v>
      </c>
      <c r="L116" t="s">
        <v>524</v>
      </c>
      <c r="N116" t="s">
        <v>768</v>
      </c>
      <c r="O116" t="s">
        <v>769</v>
      </c>
      <c r="P116" t="s">
        <v>22</v>
      </c>
      <c r="Q116" t="s">
        <v>527</v>
      </c>
      <c r="R116">
        <v>1000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1000</v>
      </c>
      <c r="Z116">
        <v>0</v>
      </c>
      <c r="AA116">
        <v>0</v>
      </c>
      <c r="AB116">
        <v>0</v>
      </c>
      <c r="AC116">
        <v>0</v>
      </c>
      <c r="AD116">
        <v>1000</v>
      </c>
      <c r="AE116">
        <v>0</v>
      </c>
    </row>
    <row r="117" spans="1:31" x14ac:dyDescent="0.2">
      <c r="A117" t="s">
        <v>518</v>
      </c>
      <c r="B117" t="s">
        <v>519</v>
      </c>
      <c r="C117" t="s">
        <v>22</v>
      </c>
      <c r="D117" t="s">
        <v>520</v>
      </c>
      <c r="E117" t="s">
        <v>521</v>
      </c>
      <c r="F117" t="s">
        <v>522</v>
      </c>
      <c r="G117" t="s">
        <v>22</v>
      </c>
      <c r="H117" t="s">
        <v>22</v>
      </c>
      <c r="I117" t="s">
        <v>22</v>
      </c>
      <c r="J117" t="s">
        <v>523</v>
      </c>
      <c r="K117" t="s">
        <v>22</v>
      </c>
      <c r="L117" t="s">
        <v>524</v>
      </c>
      <c r="N117" t="s">
        <v>770</v>
      </c>
      <c r="O117" t="s">
        <v>771</v>
      </c>
      <c r="P117" t="s">
        <v>22</v>
      </c>
      <c r="Q117" t="s">
        <v>527</v>
      </c>
      <c r="R117">
        <v>1000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1000</v>
      </c>
      <c r="Z117">
        <v>0</v>
      </c>
      <c r="AA117">
        <v>0</v>
      </c>
      <c r="AB117">
        <v>0</v>
      </c>
      <c r="AC117">
        <v>0</v>
      </c>
      <c r="AD117">
        <v>1000</v>
      </c>
      <c r="AE117">
        <v>0</v>
      </c>
    </row>
    <row r="118" spans="1:31" x14ac:dyDescent="0.2">
      <c r="A118" t="s">
        <v>518</v>
      </c>
      <c r="B118" t="s">
        <v>519</v>
      </c>
      <c r="C118" t="s">
        <v>22</v>
      </c>
      <c r="D118" t="s">
        <v>520</v>
      </c>
      <c r="E118" t="s">
        <v>521</v>
      </c>
      <c r="F118" t="s">
        <v>522</v>
      </c>
      <c r="G118" t="s">
        <v>22</v>
      </c>
      <c r="H118" t="s">
        <v>22</v>
      </c>
      <c r="I118" t="s">
        <v>22</v>
      </c>
      <c r="J118" t="s">
        <v>523</v>
      </c>
      <c r="K118" t="s">
        <v>22</v>
      </c>
      <c r="L118" t="s">
        <v>524</v>
      </c>
      <c r="N118" t="s">
        <v>772</v>
      </c>
      <c r="O118" t="s">
        <v>773</v>
      </c>
      <c r="P118" t="s">
        <v>242</v>
      </c>
      <c r="Q118" t="s">
        <v>541</v>
      </c>
      <c r="R118">
        <v>1000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1000</v>
      </c>
      <c r="Z118">
        <v>0</v>
      </c>
      <c r="AA118">
        <v>0</v>
      </c>
      <c r="AB118">
        <v>0</v>
      </c>
      <c r="AC118">
        <v>0</v>
      </c>
      <c r="AD118">
        <v>1000</v>
      </c>
      <c r="AE118">
        <v>0</v>
      </c>
    </row>
    <row r="119" spans="1:31" x14ac:dyDescent="0.2">
      <c r="A119" t="s">
        <v>518</v>
      </c>
      <c r="B119" t="s">
        <v>519</v>
      </c>
      <c r="C119" t="s">
        <v>22</v>
      </c>
      <c r="D119" t="s">
        <v>520</v>
      </c>
      <c r="E119" t="s">
        <v>521</v>
      </c>
      <c r="F119" t="s">
        <v>522</v>
      </c>
      <c r="G119" t="s">
        <v>22</v>
      </c>
      <c r="H119" t="s">
        <v>22</v>
      </c>
      <c r="I119" t="s">
        <v>22</v>
      </c>
      <c r="J119" t="s">
        <v>523</v>
      </c>
      <c r="K119" t="s">
        <v>22</v>
      </c>
      <c r="L119" t="s">
        <v>524</v>
      </c>
      <c r="N119" t="s">
        <v>774</v>
      </c>
      <c r="O119" t="s">
        <v>775</v>
      </c>
      <c r="P119" t="s">
        <v>22</v>
      </c>
      <c r="Q119" t="s">
        <v>527</v>
      </c>
      <c r="R119">
        <v>22500000</v>
      </c>
      <c r="S119">
        <v>0</v>
      </c>
      <c r="T119">
        <v>0</v>
      </c>
      <c r="U119">
        <v>329250</v>
      </c>
      <c r="V119">
        <v>0</v>
      </c>
      <c r="W119">
        <v>0</v>
      </c>
      <c r="X119">
        <v>0</v>
      </c>
      <c r="Y119">
        <v>22829250</v>
      </c>
      <c r="Z119">
        <v>22829250</v>
      </c>
      <c r="AA119">
        <v>22829250</v>
      </c>
      <c r="AB119">
        <v>22829250</v>
      </c>
      <c r="AC119">
        <v>22829250</v>
      </c>
      <c r="AD119">
        <v>0</v>
      </c>
      <c r="AE119">
        <v>100</v>
      </c>
    </row>
    <row r="120" spans="1:31" x14ac:dyDescent="0.2">
      <c r="A120" t="s">
        <v>518</v>
      </c>
      <c r="B120" t="s">
        <v>519</v>
      </c>
      <c r="C120" t="s">
        <v>22</v>
      </c>
      <c r="D120" t="s">
        <v>520</v>
      </c>
      <c r="E120" t="s">
        <v>521</v>
      </c>
      <c r="F120" t="s">
        <v>522</v>
      </c>
      <c r="G120" t="s">
        <v>22</v>
      </c>
      <c r="H120" t="s">
        <v>22</v>
      </c>
      <c r="I120" t="s">
        <v>22</v>
      </c>
      <c r="J120" t="s">
        <v>523</v>
      </c>
      <c r="K120" t="s">
        <v>22</v>
      </c>
      <c r="L120" t="s">
        <v>524</v>
      </c>
      <c r="N120" t="s">
        <v>776</v>
      </c>
      <c r="O120" t="s">
        <v>777</v>
      </c>
      <c r="P120" t="s">
        <v>22</v>
      </c>
      <c r="Q120" t="s">
        <v>527</v>
      </c>
      <c r="R120">
        <v>22500000</v>
      </c>
      <c r="S120">
        <v>0</v>
      </c>
      <c r="T120">
        <v>0</v>
      </c>
      <c r="U120">
        <v>329250</v>
      </c>
      <c r="V120">
        <v>0</v>
      </c>
      <c r="W120">
        <v>0</v>
      </c>
      <c r="X120">
        <v>0</v>
      </c>
      <c r="Y120">
        <v>22829250</v>
      </c>
      <c r="Z120">
        <v>22829250</v>
      </c>
      <c r="AA120">
        <v>22829250</v>
      </c>
      <c r="AB120">
        <v>22829250</v>
      </c>
      <c r="AC120">
        <v>22829250</v>
      </c>
      <c r="AD120">
        <v>0</v>
      </c>
      <c r="AE120">
        <v>100</v>
      </c>
    </row>
    <row r="121" spans="1:31" x14ac:dyDescent="0.2">
      <c r="A121" t="s">
        <v>518</v>
      </c>
      <c r="B121" t="s">
        <v>519</v>
      </c>
      <c r="C121" t="s">
        <v>22</v>
      </c>
      <c r="D121" t="s">
        <v>520</v>
      </c>
      <c r="E121" t="s">
        <v>521</v>
      </c>
      <c r="F121" t="s">
        <v>522</v>
      </c>
      <c r="G121" t="s">
        <v>22</v>
      </c>
      <c r="H121" t="s">
        <v>22</v>
      </c>
      <c r="I121" t="s">
        <v>22</v>
      </c>
      <c r="J121" t="s">
        <v>523</v>
      </c>
      <c r="K121" t="s">
        <v>22</v>
      </c>
      <c r="L121" t="s">
        <v>524</v>
      </c>
      <c r="N121" t="s">
        <v>778</v>
      </c>
      <c r="O121" t="s">
        <v>779</v>
      </c>
      <c r="P121" t="s">
        <v>22</v>
      </c>
      <c r="Q121" t="s">
        <v>527</v>
      </c>
      <c r="R121">
        <v>22500000</v>
      </c>
      <c r="S121">
        <v>0</v>
      </c>
      <c r="T121">
        <v>0</v>
      </c>
      <c r="U121">
        <v>329250</v>
      </c>
      <c r="V121">
        <v>0</v>
      </c>
      <c r="W121">
        <v>0</v>
      </c>
      <c r="X121">
        <v>0</v>
      </c>
      <c r="Y121">
        <v>22829250</v>
      </c>
      <c r="Z121">
        <v>22829250</v>
      </c>
      <c r="AA121">
        <v>22829250</v>
      </c>
      <c r="AB121">
        <v>22829250</v>
      </c>
      <c r="AC121">
        <v>22829250</v>
      </c>
      <c r="AD121">
        <v>0</v>
      </c>
      <c r="AE121">
        <v>100</v>
      </c>
    </row>
    <row r="122" spans="1:31" x14ac:dyDescent="0.2">
      <c r="A122" t="s">
        <v>518</v>
      </c>
      <c r="B122" t="s">
        <v>519</v>
      </c>
      <c r="C122" t="s">
        <v>22</v>
      </c>
      <c r="D122" t="s">
        <v>520</v>
      </c>
      <c r="E122" t="s">
        <v>521</v>
      </c>
      <c r="F122" t="s">
        <v>522</v>
      </c>
      <c r="G122" t="s">
        <v>22</v>
      </c>
      <c r="H122" t="s">
        <v>22</v>
      </c>
      <c r="I122" t="s">
        <v>22</v>
      </c>
      <c r="J122" t="s">
        <v>523</v>
      </c>
      <c r="K122" t="s">
        <v>22</v>
      </c>
      <c r="L122" t="s">
        <v>524</v>
      </c>
      <c r="N122" t="s">
        <v>780</v>
      </c>
      <c r="O122" t="s">
        <v>781</v>
      </c>
      <c r="P122" t="s">
        <v>242</v>
      </c>
      <c r="Q122" t="s">
        <v>541</v>
      </c>
      <c r="R122">
        <v>15000000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15000000</v>
      </c>
      <c r="Z122">
        <v>15000000</v>
      </c>
      <c r="AA122">
        <v>15000000</v>
      </c>
      <c r="AB122">
        <v>15000000</v>
      </c>
      <c r="AC122">
        <v>15000000</v>
      </c>
      <c r="AD122">
        <v>0</v>
      </c>
      <c r="AE122">
        <v>100</v>
      </c>
    </row>
    <row r="123" spans="1:31" x14ac:dyDescent="0.2">
      <c r="A123" t="s">
        <v>518</v>
      </c>
      <c r="B123" t="s">
        <v>519</v>
      </c>
      <c r="C123" t="s">
        <v>22</v>
      </c>
      <c r="D123" t="s">
        <v>520</v>
      </c>
      <c r="E123" t="s">
        <v>521</v>
      </c>
      <c r="F123" t="s">
        <v>522</v>
      </c>
      <c r="G123" t="s">
        <v>22</v>
      </c>
      <c r="H123" t="s">
        <v>22</v>
      </c>
      <c r="I123" t="s">
        <v>22</v>
      </c>
      <c r="J123" t="s">
        <v>523</v>
      </c>
      <c r="K123" t="s">
        <v>22</v>
      </c>
      <c r="L123" t="s">
        <v>524</v>
      </c>
      <c r="N123" t="s">
        <v>782</v>
      </c>
      <c r="O123" t="s">
        <v>783</v>
      </c>
      <c r="P123" t="s">
        <v>242</v>
      </c>
      <c r="Q123" t="s">
        <v>541</v>
      </c>
      <c r="R123">
        <v>7500000</v>
      </c>
      <c r="S123">
        <v>0</v>
      </c>
      <c r="T123">
        <v>0</v>
      </c>
      <c r="U123">
        <v>329250</v>
      </c>
      <c r="V123">
        <v>0</v>
      </c>
      <c r="W123">
        <v>0</v>
      </c>
      <c r="X123">
        <v>0</v>
      </c>
      <c r="Y123">
        <v>7829250</v>
      </c>
      <c r="Z123">
        <v>7829250</v>
      </c>
      <c r="AA123">
        <v>7829250</v>
      </c>
      <c r="AB123">
        <v>7829250</v>
      </c>
      <c r="AC123">
        <v>7829250</v>
      </c>
      <c r="AD123">
        <v>0</v>
      </c>
      <c r="AE123">
        <v>100</v>
      </c>
    </row>
    <row r="124" spans="1:31" x14ac:dyDescent="0.2">
      <c r="A124" t="s">
        <v>518</v>
      </c>
      <c r="B124" t="s">
        <v>519</v>
      </c>
      <c r="C124" t="s">
        <v>22</v>
      </c>
      <c r="D124" t="s">
        <v>520</v>
      </c>
      <c r="E124" t="s">
        <v>521</v>
      </c>
      <c r="F124" t="s">
        <v>522</v>
      </c>
      <c r="G124" t="s">
        <v>22</v>
      </c>
      <c r="H124" t="s">
        <v>22</v>
      </c>
      <c r="I124" t="s">
        <v>22</v>
      </c>
      <c r="J124" t="s">
        <v>523</v>
      </c>
      <c r="K124" t="s">
        <v>22</v>
      </c>
      <c r="L124" t="s">
        <v>524</v>
      </c>
      <c r="N124" t="s">
        <v>784</v>
      </c>
      <c r="O124" t="s">
        <v>785</v>
      </c>
      <c r="P124" t="s">
        <v>22</v>
      </c>
      <c r="Q124" t="s">
        <v>527</v>
      </c>
      <c r="R124">
        <v>0</v>
      </c>
      <c r="S124">
        <v>0</v>
      </c>
      <c r="T124">
        <v>0</v>
      </c>
      <c r="U124">
        <v>5000000</v>
      </c>
      <c r="V124">
        <v>0</v>
      </c>
      <c r="W124">
        <v>0</v>
      </c>
      <c r="X124">
        <v>0</v>
      </c>
      <c r="Y124">
        <v>5000000</v>
      </c>
      <c r="Z124">
        <v>1051813.5</v>
      </c>
      <c r="AA124">
        <v>1051813.5</v>
      </c>
      <c r="AB124">
        <v>1051813.5</v>
      </c>
      <c r="AC124">
        <v>1051813.5</v>
      </c>
      <c r="AD124">
        <v>3948186.5</v>
      </c>
      <c r="AE124">
        <v>21.04</v>
      </c>
    </row>
    <row r="125" spans="1:31" x14ac:dyDescent="0.2">
      <c r="A125" t="s">
        <v>518</v>
      </c>
      <c r="B125" t="s">
        <v>519</v>
      </c>
      <c r="C125" t="s">
        <v>22</v>
      </c>
      <c r="D125" t="s">
        <v>520</v>
      </c>
      <c r="E125" t="s">
        <v>521</v>
      </c>
      <c r="F125" t="s">
        <v>522</v>
      </c>
      <c r="G125" t="s">
        <v>22</v>
      </c>
      <c r="H125" t="s">
        <v>22</v>
      </c>
      <c r="I125" t="s">
        <v>22</v>
      </c>
      <c r="J125" t="s">
        <v>523</v>
      </c>
      <c r="K125" t="s">
        <v>22</v>
      </c>
      <c r="L125" t="s">
        <v>524</v>
      </c>
      <c r="N125" t="s">
        <v>786</v>
      </c>
      <c r="O125" t="s">
        <v>787</v>
      </c>
      <c r="P125" t="s">
        <v>22</v>
      </c>
      <c r="Q125" t="s">
        <v>527</v>
      </c>
      <c r="R125">
        <v>0</v>
      </c>
      <c r="S125">
        <v>0</v>
      </c>
      <c r="T125">
        <v>0</v>
      </c>
      <c r="U125">
        <v>5000000</v>
      </c>
      <c r="V125">
        <v>0</v>
      </c>
      <c r="W125">
        <v>0</v>
      </c>
      <c r="X125">
        <v>0</v>
      </c>
      <c r="Y125">
        <v>5000000</v>
      </c>
      <c r="Z125">
        <v>1051813.5</v>
      </c>
      <c r="AA125">
        <v>1051813.5</v>
      </c>
      <c r="AB125">
        <v>1051813.5</v>
      </c>
      <c r="AC125">
        <v>1051813.5</v>
      </c>
      <c r="AD125">
        <v>3948186.5</v>
      </c>
      <c r="AE125">
        <v>21.04</v>
      </c>
    </row>
    <row r="126" spans="1:31" x14ac:dyDescent="0.2">
      <c r="A126" t="s">
        <v>518</v>
      </c>
      <c r="B126" t="s">
        <v>519</v>
      </c>
      <c r="C126" t="s">
        <v>22</v>
      </c>
      <c r="D126" t="s">
        <v>520</v>
      </c>
      <c r="E126" t="s">
        <v>521</v>
      </c>
      <c r="F126" t="s">
        <v>522</v>
      </c>
      <c r="G126" t="s">
        <v>22</v>
      </c>
      <c r="H126" t="s">
        <v>22</v>
      </c>
      <c r="I126" t="s">
        <v>22</v>
      </c>
      <c r="J126" t="s">
        <v>523</v>
      </c>
      <c r="K126" t="s">
        <v>22</v>
      </c>
      <c r="L126" t="s">
        <v>524</v>
      </c>
      <c r="N126" t="s">
        <v>788</v>
      </c>
      <c r="O126" t="s">
        <v>789</v>
      </c>
      <c r="P126" t="s">
        <v>242</v>
      </c>
      <c r="Q126" t="s">
        <v>541</v>
      </c>
      <c r="R126">
        <v>0</v>
      </c>
      <c r="S126">
        <v>0</v>
      </c>
      <c r="T126">
        <v>0</v>
      </c>
      <c r="U126">
        <v>5000000</v>
      </c>
      <c r="V126">
        <v>0</v>
      </c>
      <c r="W126">
        <v>0</v>
      </c>
      <c r="X126">
        <v>0</v>
      </c>
      <c r="Y126">
        <v>5000000</v>
      </c>
      <c r="Z126">
        <v>1051813.5</v>
      </c>
      <c r="AA126">
        <v>1051813.5</v>
      </c>
      <c r="AB126">
        <v>1051813.5</v>
      </c>
      <c r="AC126">
        <v>1051813.5</v>
      </c>
      <c r="AD126">
        <v>3948186.5</v>
      </c>
      <c r="AE126">
        <v>21.04</v>
      </c>
    </row>
    <row r="127" spans="1:31" x14ac:dyDescent="0.2">
      <c r="A127" t="s">
        <v>518</v>
      </c>
      <c r="B127" t="s">
        <v>519</v>
      </c>
      <c r="C127" t="s">
        <v>22</v>
      </c>
      <c r="D127" t="s">
        <v>520</v>
      </c>
      <c r="E127" t="s">
        <v>521</v>
      </c>
      <c r="F127" t="s">
        <v>522</v>
      </c>
      <c r="G127" t="s">
        <v>22</v>
      </c>
      <c r="H127" t="s">
        <v>22</v>
      </c>
      <c r="I127" t="s">
        <v>22</v>
      </c>
      <c r="J127" t="s">
        <v>523</v>
      </c>
      <c r="K127" t="s">
        <v>22</v>
      </c>
      <c r="L127" t="s">
        <v>524</v>
      </c>
      <c r="N127" t="s">
        <v>790</v>
      </c>
      <c r="O127" t="s">
        <v>791</v>
      </c>
      <c r="P127" t="s">
        <v>22</v>
      </c>
      <c r="Q127" t="s">
        <v>527</v>
      </c>
      <c r="R127">
        <v>884404088</v>
      </c>
      <c r="S127">
        <v>183367661</v>
      </c>
      <c r="T127">
        <v>397266966</v>
      </c>
      <c r="U127">
        <v>0</v>
      </c>
      <c r="V127">
        <v>0</v>
      </c>
      <c r="W127">
        <v>0</v>
      </c>
      <c r="X127">
        <v>0</v>
      </c>
      <c r="Y127">
        <v>670504783</v>
      </c>
      <c r="Z127">
        <v>218487292</v>
      </c>
      <c r="AA127">
        <v>218487292</v>
      </c>
      <c r="AB127">
        <v>218487292</v>
      </c>
      <c r="AC127">
        <v>218487292</v>
      </c>
      <c r="AD127">
        <v>452017491</v>
      </c>
      <c r="AE127">
        <v>32.590000000000003</v>
      </c>
    </row>
    <row r="128" spans="1:31" x14ac:dyDescent="0.2">
      <c r="A128" t="s">
        <v>518</v>
      </c>
      <c r="B128" t="s">
        <v>519</v>
      </c>
      <c r="C128" t="s">
        <v>22</v>
      </c>
      <c r="D128" t="s">
        <v>520</v>
      </c>
      <c r="E128" t="s">
        <v>521</v>
      </c>
      <c r="F128" t="s">
        <v>522</v>
      </c>
      <c r="G128" t="s">
        <v>22</v>
      </c>
      <c r="H128" t="s">
        <v>22</v>
      </c>
      <c r="I128" t="s">
        <v>22</v>
      </c>
      <c r="J128" t="s">
        <v>523</v>
      </c>
      <c r="K128" t="s">
        <v>22</v>
      </c>
      <c r="L128" t="s">
        <v>524</v>
      </c>
      <c r="N128" t="s">
        <v>792</v>
      </c>
      <c r="O128" t="s">
        <v>793</v>
      </c>
      <c r="P128" t="s">
        <v>22</v>
      </c>
      <c r="Q128" t="s">
        <v>527</v>
      </c>
      <c r="R128">
        <v>884404088</v>
      </c>
      <c r="S128">
        <v>183367661</v>
      </c>
      <c r="T128">
        <v>397266966</v>
      </c>
      <c r="U128">
        <v>0</v>
      </c>
      <c r="V128">
        <v>0</v>
      </c>
      <c r="W128">
        <v>0</v>
      </c>
      <c r="X128">
        <v>0</v>
      </c>
      <c r="Y128">
        <v>670504783</v>
      </c>
      <c r="Z128">
        <v>218487292</v>
      </c>
      <c r="AA128">
        <v>218487292</v>
      </c>
      <c r="AB128">
        <v>218487292</v>
      </c>
      <c r="AC128">
        <v>218487292</v>
      </c>
      <c r="AD128">
        <v>452017491</v>
      </c>
      <c r="AE128">
        <v>32.590000000000003</v>
      </c>
    </row>
    <row r="129" spans="1:31" x14ac:dyDescent="0.2">
      <c r="A129" t="s">
        <v>518</v>
      </c>
      <c r="B129" t="s">
        <v>519</v>
      </c>
      <c r="C129" t="s">
        <v>22</v>
      </c>
      <c r="D129" t="s">
        <v>520</v>
      </c>
      <c r="E129" t="s">
        <v>521</v>
      </c>
      <c r="F129" t="s">
        <v>522</v>
      </c>
      <c r="G129" t="s">
        <v>22</v>
      </c>
      <c r="H129" t="s">
        <v>22</v>
      </c>
      <c r="I129" t="s">
        <v>22</v>
      </c>
      <c r="J129" t="s">
        <v>523</v>
      </c>
      <c r="K129" t="s">
        <v>22</v>
      </c>
      <c r="L129" t="s">
        <v>524</v>
      </c>
      <c r="N129" t="s">
        <v>794</v>
      </c>
      <c r="O129" t="s">
        <v>795</v>
      </c>
      <c r="P129" t="s">
        <v>22</v>
      </c>
      <c r="Q129" t="s">
        <v>527</v>
      </c>
      <c r="R129">
        <v>350000000</v>
      </c>
      <c r="S129">
        <v>0</v>
      </c>
      <c r="T129">
        <v>157812500</v>
      </c>
      <c r="U129">
        <v>0</v>
      </c>
      <c r="V129">
        <v>0</v>
      </c>
      <c r="W129">
        <v>0</v>
      </c>
      <c r="X129">
        <v>0</v>
      </c>
      <c r="Y129">
        <v>192187500</v>
      </c>
      <c r="Z129">
        <v>175000000</v>
      </c>
      <c r="AA129">
        <v>175000000</v>
      </c>
      <c r="AB129">
        <v>175000000</v>
      </c>
      <c r="AC129">
        <v>175000000</v>
      </c>
      <c r="AD129">
        <v>17187500</v>
      </c>
      <c r="AE129">
        <v>91.06</v>
      </c>
    </row>
    <row r="130" spans="1:31" x14ac:dyDescent="0.2">
      <c r="A130" t="s">
        <v>518</v>
      </c>
      <c r="B130" t="s">
        <v>519</v>
      </c>
      <c r="C130" t="s">
        <v>22</v>
      </c>
      <c r="D130" t="s">
        <v>520</v>
      </c>
      <c r="E130" t="s">
        <v>521</v>
      </c>
      <c r="F130" t="s">
        <v>522</v>
      </c>
      <c r="G130" t="s">
        <v>22</v>
      </c>
      <c r="H130" t="s">
        <v>22</v>
      </c>
      <c r="I130" t="s">
        <v>22</v>
      </c>
      <c r="J130" t="s">
        <v>523</v>
      </c>
      <c r="K130" t="s">
        <v>22</v>
      </c>
      <c r="L130" t="s">
        <v>524</v>
      </c>
      <c r="N130" t="s">
        <v>796</v>
      </c>
      <c r="O130" t="s">
        <v>797</v>
      </c>
      <c r="P130" t="s">
        <v>22</v>
      </c>
      <c r="Q130" t="s">
        <v>527</v>
      </c>
      <c r="R130">
        <v>350000000</v>
      </c>
      <c r="S130">
        <v>0</v>
      </c>
      <c r="T130">
        <v>157812500</v>
      </c>
      <c r="U130">
        <v>0</v>
      </c>
      <c r="V130">
        <v>0</v>
      </c>
      <c r="W130">
        <v>0</v>
      </c>
      <c r="X130">
        <v>0</v>
      </c>
      <c r="Y130">
        <v>192187500</v>
      </c>
      <c r="Z130">
        <v>175000000</v>
      </c>
      <c r="AA130">
        <v>175000000</v>
      </c>
      <c r="AB130">
        <v>175000000</v>
      </c>
      <c r="AC130">
        <v>175000000</v>
      </c>
      <c r="AD130">
        <v>17187500</v>
      </c>
      <c r="AE130">
        <v>91.06</v>
      </c>
    </row>
    <row r="131" spans="1:31" x14ac:dyDescent="0.2">
      <c r="A131" t="s">
        <v>518</v>
      </c>
      <c r="B131" t="s">
        <v>519</v>
      </c>
      <c r="C131" t="s">
        <v>22</v>
      </c>
      <c r="D131" t="s">
        <v>520</v>
      </c>
      <c r="E131" t="s">
        <v>521</v>
      </c>
      <c r="F131" t="s">
        <v>522</v>
      </c>
      <c r="G131" t="s">
        <v>22</v>
      </c>
      <c r="H131" t="s">
        <v>22</v>
      </c>
      <c r="I131" t="s">
        <v>22</v>
      </c>
      <c r="J131" t="s">
        <v>523</v>
      </c>
      <c r="K131" t="s">
        <v>22</v>
      </c>
      <c r="L131" t="s">
        <v>524</v>
      </c>
      <c r="N131" t="s">
        <v>798</v>
      </c>
      <c r="O131" t="s">
        <v>799</v>
      </c>
      <c r="P131" t="s">
        <v>22</v>
      </c>
      <c r="Q131" t="s">
        <v>527</v>
      </c>
      <c r="R131">
        <v>350000000</v>
      </c>
      <c r="S131">
        <v>0</v>
      </c>
      <c r="T131">
        <v>157812500</v>
      </c>
      <c r="U131">
        <v>0</v>
      </c>
      <c r="V131">
        <v>0</v>
      </c>
      <c r="W131">
        <v>0</v>
      </c>
      <c r="X131">
        <v>0</v>
      </c>
      <c r="Y131">
        <v>192187500</v>
      </c>
      <c r="Z131">
        <v>175000000</v>
      </c>
      <c r="AA131">
        <v>175000000</v>
      </c>
      <c r="AB131">
        <v>175000000</v>
      </c>
      <c r="AC131">
        <v>175000000</v>
      </c>
      <c r="AD131">
        <v>17187500</v>
      </c>
      <c r="AE131">
        <v>91.06</v>
      </c>
    </row>
    <row r="132" spans="1:31" x14ac:dyDescent="0.2">
      <c r="A132" t="s">
        <v>518</v>
      </c>
      <c r="B132" t="s">
        <v>519</v>
      </c>
      <c r="C132" t="s">
        <v>22</v>
      </c>
      <c r="D132" t="s">
        <v>520</v>
      </c>
      <c r="E132" t="s">
        <v>521</v>
      </c>
      <c r="F132" t="s">
        <v>522</v>
      </c>
      <c r="G132" t="s">
        <v>22</v>
      </c>
      <c r="H132" t="s">
        <v>22</v>
      </c>
      <c r="I132" t="s">
        <v>22</v>
      </c>
      <c r="J132" t="s">
        <v>523</v>
      </c>
      <c r="K132" t="s">
        <v>22</v>
      </c>
      <c r="L132" t="s">
        <v>524</v>
      </c>
      <c r="N132" t="s">
        <v>800</v>
      </c>
      <c r="O132" t="s">
        <v>801</v>
      </c>
      <c r="P132" t="s">
        <v>22</v>
      </c>
      <c r="Q132" t="s">
        <v>527</v>
      </c>
      <c r="R132">
        <v>350000000</v>
      </c>
      <c r="S132">
        <v>0</v>
      </c>
      <c r="T132">
        <v>157812500</v>
      </c>
      <c r="U132">
        <v>0</v>
      </c>
      <c r="V132">
        <v>0</v>
      </c>
      <c r="W132">
        <v>0</v>
      </c>
      <c r="X132">
        <v>0</v>
      </c>
      <c r="Y132">
        <v>192187500</v>
      </c>
      <c r="Z132">
        <v>175000000</v>
      </c>
      <c r="AA132">
        <v>175000000</v>
      </c>
      <c r="AB132">
        <v>175000000</v>
      </c>
      <c r="AC132">
        <v>175000000</v>
      </c>
      <c r="AD132">
        <v>17187500</v>
      </c>
      <c r="AE132">
        <v>91.06</v>
      </c>
    </row>
    <row r="133" spans="1:31" x14ac:dyDescent="0.2">
      <c r="A133" t="s">
        <v>518</v>
      </c>
      <c r="B133" t="s">
        <v>519</v>
      </c>
      <c r="C133" t="s">
        <v>22</v>
      </c>
      <c r="D133" t="s">
        <v>520</v>
      </c>
      <c r="E133" t="s">
        <v>521</v>
      </c>
      <c r="F133" t="s">
        <v>522</v>
      </c>
      <c r="G133" t="s">
        <v>22</v>
      </c>
      <c r="H133" t="s">
        <v>22</v>
      </c>
      <c r="I133" t="s">
        <v>22</v>
      </c>
      <c r="J133" t="s">
        <v>523</v>
      </c>
      <c r="K133" t="s">
        <v>22</v>
      </c>
      <c r="L133" t="s">
        <v>524</v>
      </c>
      <c r="N133" t="s">
        <v>802</v>
      </c>
      <c r="O133" t="s">
        <v>801</v>
      </c>
      <c r="P133" t="s">
        <v>22</v>
      </c>
      <c r="Q133" t="s">
        <v>527</v>
      </c>
      <c r="R133">
        <v>350000000</v>
      </c>
      <c r="S133">
        <v>0</v>
      </c>
      <c r="T133">
        <v>157812500</v>
      </c>
      <c r="U133">
        <v>0</v>
      </c>
      <c r="V133">
        <v>0</v>
      </c>
      <c r="W133">
        <v>0</v>
      </c>
      <c r="X133">
        <v>0</v>
      </c>
      <c r="Y133">
        <v>192187500</v>
      </c>
      <c r="Z133">
        <v>175000000</v>
      </c>
      <c r="AA133">
        <v>175000000</v>
      </c>
      <c r="AB133">
        <v>175000000</v>
      </c>
      <c r="AC133">
        <v>175000000</v>
      </c>
      <c r="AD133">
        <v>17187500</v>
      </c>
      <c r="AE133">
        <v>91.06</v>
      </c>
    </row>
    <row r="134" spans="1:31" x14ac:dyDescent="0.2">
      <c r="A134" t="s">
        <v>518</v>
      </c>
      <c r="B134" t="s">
        <v>519</v>
      </c>
      <c r="C134" t="s">
        <v>22</v>
      </c>
      <c r="D134" t="s">
        <v>520</v>
      </c>
      <c r="E134" t="s">
        <v>521</v>
      </c>
      <c r="F134" t="s">
        <v>522</v>
      </c>
      <c r="G134" t="s">
        <v>22</v>
      </c>
      <c r="H134" t="s">
        <v>22</v>
      </c>
      <c r="I134" t="s">
        <v>22</v>
      </c>
      <c r="J134" t="s">
        <v>523</v>
      </c>
      <c r="K134" t="s">
        <v>22</v>
      </c>
      <c r="L134" t="s">
        <v>524</v>
      </c>
      <c r="N134" t="s">
        <v>803</v>
      </c>
      <c r="O134" t="s">
        <v>804</v>
      </c>
      <c r="P134" t="s">
        <v>238</v>
      </c>
      <c r="Q134" t="s">
        <v>805</v>
      </c>
      <c r="R134">
        <v>350000000</v>
      </c>
      <c r="S134">
        <v>0</v>
      </c>
      <c r="T134">
        <v>157812500</v>
      </c>
      <c r="U134">
        <v>0</v>
      </c>
      <c r="V134">
        <v>0</v>
      </c>
      <c r="W134">
        <v>0</v>
      </c>
      <c r="X134">
        <v>0</v>
      </c>
      <c r="Y134">
        <v>192187500</v>
      </c>
      <c r="Z134">
        <v>175000000</v>
      </c>
      <c r="AA134">
        <v>175000000</v>
      </c>
      <c r="AB134">
        <v>175000000</v>
      </c>
      <c r="AC134">
        <v>175000000</v>
      </c>
      <c r="AD134">
        <v>17187500</v>
      </c>
      <c r="AE134">
        <v>91.06</v>
      </c>
    </row>
    <row r="135" spans="1:31" x14ac:dyDescent="0.2">
      <c r="A135" t="s">
        <v>518</v>
      </c>
      <c r="B135" t="s">
        <v>519</v>
      </c>
      <c r="C135" t="s">
        <v>22</v>
      </c>
      <c r="D135" t="s">
        <v>520</v>
      </c>
      <c r="E135" t="s">
        <v>521</v>
      </c>
      <c r="F135" t="s">
        <v>522</v>
      </c>
      <c r="G135" t="s">
        <v>22</v>
      </c>
      <c r="H135" t="s">
        <v>22</v>
      </c>
      <c r="I135" t="s">
        <v>22</v>
      </c>
      <c r="J135" t="s">
        <v>523</v>
      </c>
      <c r="K135" t="s">
        <v>22</v>
      </c>
      <c r="L135" t="s">
        <v>524</v>
      </c>
      <c r="N135" t="s">
        <v>806</v>
      </c>
      <c r="O135" t="s">
        <v>807</v>
      </c>
      <c r="P135" t="s">
        <v>22</v>
      </c>
      <c r="Q135" t="s">
        <v>527</v>
      </c>
      <c r="R135">
        <v>488000000</v>
      </c>
      <c r="S135">
        <v>0</v>
      </c>
      <c r="T135">
        <v>239454466</v>
      </c>
      <c r="U135">
        <v>0</v>
      </c>
      <c r="V135">
        <v>0</v>
      </c>
      <c r="W135">
        <v>0</v>
      </c>
      <c r="X135">
        <v>0</v>
      </c>
      <c r="Y135">
        <v>248545534</v>
      </c>
      <c r="Z135">
        <v>25978242</v>
      </c>
      <c r="AA135">
        <v>25978242</v>
      </c>
      <c r="AB135">
        <v>25978242</v>
      </c>
      <c r="AC135">
        <v>25978242</v>
      </c>
      <c r="AD135">
        <v>222567292</v>
      </c>
      <c r="AE135">
        <v>10.45</v>
      </c>
    </row>
    <row r="136" spans="1:31" x14ac:dyDescent="0.2">
      <c r="A136" t="s">
        <v>518</v>
      </c>
      <c r="B136" t="s">
        <v>519</v>
      </c>
      <c r="C136" t="s">
        <v>22</v>
      </c>
      <c r="D136" t="s">
        <v>520</v>
      </c>
      <c r="E136" t="s">
        <v>521</v>
      </c>
      <c r="F136" t="s">
        <v>522</v>
      </c>
      <c r="G136" t="s">
        <v>22</v>
      </c>
      <c r="H136" t="s">
        <v>22</v>
      </c>
      <c r="I136" t="s">
        <v>22</v>
      </c>
      <c r="J136" t="s">
        <v>523</v>
      </c>
      <c r="K136" t="s">
        <v>22</v>
      </c>
      <c r="L136" t="s">
        <v>524</v>
      </c>
      <c r="N136" t="s">
        <v>808</v>
      </c>
      <c r="O136" t="s">
        <v>797</v>
      </c>
      <c r="P136" t="s">
        <v>22</v>
      </c>
      <c r="Q136" t="s">
        <v>527</v>
      </c>
      <c r="R136">
        <v>488000000</v>
      </c>
      <c r="S136">
        <v>0</v>
      </c>
      <c r="T136">
        <v>239454466</v>
      </c>
      <c r="U136">
        <v>0</v>
      </c>
      <c r="V136">
        <v>0</v>
      </c>
      <c r="W136">
        <v>0</v>
      </c>
      <c r="X136">
        <v>0</v>
      </c>
      <c r="Y136">
        <v>248545534</v>
      </c>
      <c r="Z136">
        <v>25978242</v>
      </c>
      <c r="AA136">
        <v>25978242</v>
      </c>
      <c r="AB136">
        <v>25978242</v>
      </c>
      <c r="AC136">
        <v>25978242</v>
      </c>
      <c r="AD136">
        <v>222567292</v>
      </c>
      <c r="AE136">
        <v>10.45</v>
      </c>
    </row>
    <row r="137" spans="1:31" x14ac:dyDescent="0.2">
      <c r="A137" t="s">
        <v>518</v>
      </c>
      <c r="B137" t="s">
        <v>519</v>
      </c>
      <c r="C137" t="s">
        <v>22</v>
      </c>
      <c r="D137" t="s">
        <v>520</v>
      </c>
      <c r="E137" t="s">
        <v>521</v>
      </c>
      <c r="F137" t="s">
        <v>522</v>
      </c>
      <c r="G137" t="s">
        <v>22</v>
      </c>
      <c r="H137" t="s">
        <v>22</v>
      </c>
      <c r="I137" t="s">
        <v>22</v>
      </c>
      <c r="J137" t="s">
        <v>523</v>
      </c>
      <c r="K137" t="s">
        <v>22</v>
      </c>
      <c r="L137" t="s">
        <v>524</v>
      </c>
      <c r="N137" t="s">
        <v>809</v>
      </c>
      <c r="O137" t="s">
        <v>799</v>
      </c>
      <c r="P137" t="s">
        <v>22</v>
      </c>
      <c r="Q137" t="s">
        <v>527</v>
      </c>
      <c r="R137">
        <v>488000000</v>
      </c>
      <c r="S137">
        <v>0</v>
      </c>
      <c r="T137">
        <v>239454466</v>
      </c>
      <c r="U137">
        <v>0</v>
      </c>
      <c r="V137">
        <v>0</v>
      </c>
      <c r="W137">
        <v>0</v>
      </c>
      <c r="X137">
        <v>0</v>
      </c>
      <c r="Y137">
        <v>248545534</v>
      </c>
      <c r="Z137">
        <v>25978242</v>
      </c>
      <c r="AA137">
        <v>25978242</v>
      </c>
      <c r="AB137">
        <v>25978242</v>
      </c>
      <c r="AC137">
        <v>25978242</v>
      </c>
      <c r="AD137">
        <v>222567292</v>
      </c>
      <c r="AE137">
        <v>10.45</v>
      </c>
    </row>
    <row r="138" spans="1:31" x14ac:dyDescent="0.2">
      <c r="A138" t="s">
        <v>518</v>
      </c>
      <c r="B138" t="s">
        <v>519</v>
      </c>
      <c r="C138" t="s">
        <v>22</v>
      </c>
      <c r="D138" t="s">
        <v>520</v>
      </c>
      <c r="E138" t="s">
        <v>521</v>
      </c>
      <c r="F138" t="s">
        <v>522</v>
      </c>
      <c r="G138" t="s">
        <v>22</v>
      </c>
      <c r="H138" t="s">
        <v>22</v>
      </c>
      <c r="I138" t="s">
        <v>22</v>
      </c>
      <c r="J138" t="s">
        <v>523</v>
      </c>
      <c r="K138" t="s">
        <v>22</v>
      </c>
      <c r="L138" t="s">
        <v>524</v>
      </c>
      <c r="N138" t="s">
        <v>810</v>
      </c>
      <c r="O138" t="s">
        <v>801</v>
      </c>
      <c r="P138" t="s">
        <v>22</v>
      </c>
      <c r="Q138" t="s">
        <v>527</v>
      </c>
      <c r="R138">
        <v>488000000</v>
      </c>
      <c r="S138">
        <v>0</v>
      </c>
      <c r="T138">
        <v>239454466</v>
      </c>
      <c r="U138">
        <v>0</v>
      </c>
      <c r="V138">
        <v>0</v>
      </c>
      <c r="W138">
        <v>0</v>
      </c>
      <c r="X138">
        <v>0</v>
      </c>
      <c r="Y138">
        <v>248545534</v>
      </c>
      <c r="Z138">
        <v>25978242</v>
      </c>
      <c r="AA138">
        <v>25978242</v>
      </c>
      <c r="AB138">
        <v>25978242</v>
      </c>
      <c r="AC138">
        <v>25978242</v>
      </c>
      <c r="AD138">
        <v>222567292</v>
      </c>
      <c r="AE138">
        <v>10.45</v>
      </c>
    </row>
    <row r="139" spans="1:31" x14ac:dyDescent="0.2">
      <c r="A139" t="s">
        <v>518</v>
      </c>
      <c r="B139" t="s">
        <v>519</v>
      </c>
      <c r="C139" t="s">
        <v>22</v>
      </c>
      <c r="D139" t="s">
        <v>520</v>
      </c>
      <c r="E139" t="s">
        <v>521</v>
      </c>
      <c r="F139" t="s">
        <v>522</v>
      </c>
      <c r="G139" t="s">
        <v>22</v>
      </c>
      <c r="H139" t="s">
        <v>22</v>
      </c>
      <c r="I139" t="s">
        <v>22</v>
      </c>
      <c r="J139" t="s">
        <v>523</v>
      </c>
      <c r="K139" t="s">
        <v>22</v>
      </c>
      <c r="L139" t="s">
        <v>524</v>
      </c>
      <c r="N139" t="s">
        <v>811</v>
      </c>
      <c r="O139" t="s">
        <v>801</v>
      </c>
      <c r="P139" t="s">
        <v>22</v>
      </c>
      <c r="Q139" t="s">
        <v>527</v>
      </c>
      <c r="R139">
        <v>488000000</v>
      </c>
      <c r="S139">
        <v>0</v>
      </c>
      <c r="T139">
        <v>239454466</v>
      </c>
      <c r="U139">
        <v>0</v>
      </c>
      <c r="V139">
        <v>0</v>
      </c>
      <c r="W139">
        <v>0</v>
      </c>
      <c r="X139">
        <v>0</v>
      </c>
      <c r="Y139">
        <v>248545534</v>
      </c>
      <c r="Z139">
        <v>25978242</v>
      </c>
      <c r="AA139">
        <v>25978242</v>
      </c>
      <c r="AB139">
        <v>25978242</v>
      </c>
      <c r="AC139">
        <v>25978242</v>
      </c>
      <c r="AD139">
        <v>222567292</v>
      </c>
      <c r="AE139">
        <v>10.45</v>
      </c>
    </row>
    <row r="140" spans="1:31" x14ac:dyDescent="0.2">
      <c r="A140" t="s">
        <v>518</v>
      </c>
      <c r="B140" t="s">
        <v>519</v>
      </c>
      <c r="C140" t="s">
        <v>22</v>
      </c>
      <c r="D140" t="s">
        <v>520</v>
      </c>
      <c r="E140" t="s">
        <v>521</v>
      </c>
      <c r="F140" t="s">
        <v>522</v>
      </c>
      <c r="G140" t="s">
        <v>22</v>
      </c>
      <c r="H140" t="s">
        <v>22</v>
      </c>
      <c r="I140" t="s">
        <v>22</v>
      </c>
      <c r="J140" t="s">
        <v>523</v>
      </c>
      <c r="K140" t="s">
        <v>22</v>
      </c>
      <c r="L140" t="s">
        <v>524</v>
      </c>
      <c r="N140" t="s">
        <v>812</v>
      </c>
      <c r="O140" t="s">
        <v>813</v>
      </c>
      <c r="P140" t="s">
        <v>238</v>
      </c>
      <c r="Q140" t="s">
        <v>805</v>
      </c>
      <c r="R140">
        <v>150000000</v>
      </c>
      <c r="S140">
        <v>0</v>
      </c>
      <c r="T140">
        <v>70454466</v>
      </c>
      <c r="U140">
        <v>0</v>
      </c>
      <c r="V140">
        <v>0</v>
      </c>
      <c r="W140">
        <v>0</v>
      </c>
      <c r="X140">
        <v>0</v>
      </c>
      <c r="Y140">
        <v>79545534</v>
      </c>
      <c r="Z140">
        <v>18065827</v>
      </c>
      <c r="AA140">
        <v>18065827</v>
      </c>
      <c r="AB140">
        <v>18065827</v>
      </c>
      <c r="AC140">
        <v>18065827</v>
      </c>
      <c r="AD140">
        <v>61479707</v>
      </c>
      <c r="AE140">
        <v>22.71</v>
      </c>
    </row>
    <row r="141" spans="1:31" x14ac:dyDescent="0.2">
      <c r="A141" t="s">
        <v>518</v>
      </c>
      <c r="B141" t="s">
        <v>519</v>
      </c>
      <c r="C141" t="s">
        <v>22</v>
      </c>
      <c r="D141" t="s">
        <v>520</v>
      </c>
      <c r="E141" t="s">
        <v>521</v>
      </c>
      <c r="F141" t="s">
        <v>522</v>
      </c>
      <c r="G141" t="s">
        <v>22</v>
      </c>
      <c r="H141" t="s">
        <v>22</v>
      </c>
      <c r="I141" t="s">
        <v>22</v>
      </c>
      <c r="J141" t="s">
        <v>523</v>
      </c>
      <c r="K141" t="s">
        <v>22</v>
      </c>
      <c r="L141" t="s">
        <v>524</v>
      </c>
      <c r="N141" t="s">
        <v>814</v>
      </c>
      <c r="O141" t="s">
        <v>815</v>
      </c>
      <c r="P141" t="s">
        <v>238</v>
      </c>
      <c r="Q141" t="s">
        <v>805</v>
      </c>
      <c r="R141">
        <v>338000000</v>
      </c>
      <c r="S141">
        <v>0</v>
      </c>
      <c r="T141">
        <v>169000000</v>
      </c>
      <c r="U141">
        <v>0</v>
      </c>
      <c r="V141">
        <v>0</v>
      </c>
      <c r="W141">
        <v>0</v>
      </c>
      <c r="X141">
        <v>0</v>
      </c>
      <c r="Y141">
        <v>169000000</v>
      </c>
      <c r="Z141">
        <v>7912415</v>
      </c>
      <c r="AA141">
        <v>7912415</v>
      </c>
      <c r="AB141">
        <v>7912415</v>
      </c>
      <c r="AC141">
        <v>7912415</v>
      </c>
      <c r="AD141">
        <v>161087585</v>
      </c>
      <c r="AE141">
        <v>4.68</v>
      </c>
    </row>
    <row r="142" spans="1:31" x14ac:dyDescent="0.2">
      <c r="A142" t="s">
        <v>518</v>
      </c>
      <c r="B142" t="s">
        <v>519</v>
      </c>
      <c r="C142" t="s">
        <v>22</v>
      </c>
      <c r="D142" t="s">
        <v>520</v>
      </c>
      <c r="E142" t="s">
        <v>521</v>
      </c>
      <c r="F142" t="s">
        <v>522</v>
      </c>
      <c r="G142" t="s">
        <v>22</v>
      </c>
      <c r="H142" t="s">
        <v>22</v>
      </c>
      <c r="I142" t="s">
        <v>22</v>
      </c>
      <c r="J142" t="s">
        <v>523</v>
      </c>
      <c r="K142" t="s">
        <v>22</v>
      </c>
      <c r="L142" t="s">
        <v>524</v>
      </c>
      <c r="N142" t="s">
        <v>816</v>
      </c>
      <c r="O142" t="s">
        <v>817</v>
      </c>
      <c r="P142" t="s">
        <v>22</v>
      </c>
      <c r="Q142" t="s">
        <v>527</v>
      </c>
      <c r="R142">
        <v>46404088</v>
      </c>
      <c r="S142">
        <v>183367661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229771749</v>
      </c>
      <c r="Z142">
        <v>17509050</v>
      </c>
      <c r="AA142">
        <v>17509050</v>
      </c>
      <c r="AB142">
        <v>17509050</v>
      </c>
      <c r="AC142">
        <v>17509050</v>
      </c>
      <c r="AD142">
        <v>212262699</v>
      </c>
      <c r="AE142">
        <v>7.62</v>
      </c>
    </row>
    <row r="143" spans="1:31" x14ac:dyDescent="0.2">
      <c r="A143" t="s">
        <v>518</v>
      </c>
      <c r="B143" t="s">
        <v>519</v>
      </c>
      <c r="C143" t="s">
        <v>22</v>
      </c>
      <c r="D143" t="s">
        <v>520</v>
      </c>
      <c r="E143" t="s">
        <v>521</v>
      </c>
      <c r="F143" t="s">
        <v>522</v>
      </c>
      <c r="G143" t="s">
        <v>22</v>
      </c>
      <c r="H143" t="s">
        <v>22</v>
      </c>
      <c r="I143" t="s">
        <v>22</v>
      </c>
      <c r="J143" t="s">
        <v>523</v>
      </c>
      <c r="K143" t="s">
        <v>22</v>
      </c>
      <c r="L143" t="s">
        <v>524</v>
      </c>
      <c r="N143" t="s">
        <v>818</v>
      </c>
      <c r="O143" t="s">
        <v>819</v>
      </c>
      <c r="P143" t="s">
        <v>22</v>
      </c>
      <c r="Q143" t="s">
        <v>527</v>
      </c>
      <c r="R143">
        <v>17550913</v>
      </c>
      <c r="S143">
        <v>29471294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47022207</v>
      </c>
      <c r="Z143">
        <v>17509050</v>
      </c>
      <c r="AA143">
        <v>17509050</v>
      </c>
      <c r="AB143">
        <v>17509050</v>
      </c>
      <c r="AC143">
        <v>17509050</v>
      </c>
      <c r="AD143">
        <v>29513157</v>
      </c>
      <c r="AE143">
        <v>37.24</v>
      </c>
    </row>
    <row r="144" spans="1:31" x14ac:dyDescent="0.2">
      <c r="A144" t="s">
        <v>518</v>
      </c>
      <c r="B144" t="s">
        <v>519</v>
      </c>
      <c r="C144" t="s">
        <v>22</v>
      </c>
      <c r="D144" t="s">
        <v>520</v>
      </c>
      <c r="E144" t="s">
        <v>521</v>
      </c>
      <c r="F144" t="s">
        <v>522</v>
      </c>
      <c r="G144" t="s">
        <v>22</v>
      </c>
      <c r="H144" t="s">
        <v>22</v>
      </c>
      <c r="I144" t="s">
        <v>22</v>
      </c>
      <c r="J144" t="s">
        <v>523</v>
      </c>
      <c r="K144" t="s">
        <v>22</v>
      </c>
      <c r="L144" t="s">
        <v>524</v>
      </c>
      <c r="N144" t="s">
        <v>820</v>
      </c>
      <c r="O144" t="s">
        <v>821</v>
      </c>
      <c r="P144" t="s">
        <v>94</v>
      </c>
      <c r="Q144" t="s">
        <v>822</v>
      </c>
      <c r="R144">
        <v>17550913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17550913</v>
      </c>
      <c r="Z144">
        <v>17509050</v>
      </c>
      <c r="AA144">
        <v>17509050</v>
      </c>
      <c r="AB144">
        <v>17509050</v>
      </c>
      <c r="AC144">
        <v>17509050</v>
      </c>
      <c r="AD144">
        <v>41863</v>
      </c>
      <c r="AE144">
        <v>99.76</v>
      </c>
    </row>
    <row r="145" spans="1:31" x14ac:dyDescent="0.2">
      <c r="A145" t="s">
        <v>518</v>
      </c>
      <c r="B145" t="s">
        <v>519</v>
      </c>
      <c r="C145" t="s">
        <v>22</v>
      </c>
      <c r="D145" t="s">
        <v>520</v>
      </c>
      <c r="E145" t="s">
        <v>521</v>
      </c>
      <c r="F145" t="s">
        <v>522</v>
      </c>
      <c r="G145" t="s">
        <v>22</v>
      </c>
      <c r="H145" t="s">
        <v>22</v>
      </c>
      <c r="I145" t="s">
        <v>22</v>
      </c>
      <c r="J145" t="s">
        <v>523</v>
      </c>
      <c r="K145" t="s">
        <v>22</v>
      </c>
      <c r="L145" t="s">
        <v>524</v>
      </c>
      <c r="N145" t="s">
        <v>820</v>
      </c>
      <c r="O145" t="s">
        <v>821</v>
      </c>
      <c r="P145" t="s">
        <v>440</v>
      </c>
      <c r="Q145" t="s">
        <v>823</v>
      </c>
      <c r="R145">
        <v>0</v>
      </c>
      <c r="S145">
        <v>29471294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29471294</v>
      </c>
      <c r="Z145">
        <v>0</v>
      </c>
      <c r="AA145">
        <v>0</v>
      </c>
      <c r="AB145">
        <v>0</v>
      </c>
      <c r="AC145">
        <v>0</v>
      </c>
      <c r="AD145">
        <v>29471294</v>
      </c>
      <c r="AE145">
        <v>0</v>
      </c>
    </row>
    <row r="146" spans="1:31" x14ac:dyDescent="0.2">
      <c r="A146" t="s">
        <v>518</v>
      </c>
      <c r="B146" t="s">
        <v>519</v>
      </c>
      <c r="C146" t="s">
        <v>22</v>
      </c>
      <c r="D146" t="s">
        <v>520</v>
      </c>
      <c r="E146" t="s">
        <v>521</v>
      </c>
      <c r="F146" t="s">
        <v>522</v>
      </c>
      <c r="G146" t="s">
        <v>22</v>
      </c>
      <c r="H146" t="s">
        <v>22</v>
      </c>
      <c r="I146" t="s">
        <v>22</v>
      </c>
      <c r="J146" t="s">
        <v>523</v>
      </c>
      <c r="K146" t="s">
        <v>22</v>
      </c>
      <c r="L146" t="s">
        <v>524</v>
      </c>
      <c r="N146" t="s">
        <v>824</v>
      </c>
      <c r="O146" t="s">
        <v>825</v>
      </c>
      <c r="P146" t="s">
        <v>98</v>
      </c>
      <c r="Q146" t="s">
        <v>764</v>
      </c>
      <c r="R146">
        <v>5847276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5847276</v>
      </c>
      <c r="Z146">
        <v>0</v>
      </c>
      <c r="AA146">
        <v>0</v>
      </c>
      <c r="AB146">
        <v>0</v>
      </c>
      <c r="AC146">
        <v>0</v>
      </c>
      <c r="AD146">
        <v>5847276</v>
      </c>
      <c r="AE146">
        <v>0</v>
      </c>
    </row>
    <row r="147" spans="1:31" x14ac:dyDescent="0.2">
      <c r="A147" t="s">
        <v>518</v>
      </c>
      <c r="B147" t="s">
        <v>519</v>
      </c>
      <c r="C147" t="s">
        <v>22</v>
      </c>
      <c r="D147" t="s">
        <v>520</v>
      </c>
      <c r="E147" t="s">
        <v>521</v>
      </c>
      <c r="F147" t="s">
        <v>522</v>
      </c>
      <c r="G147" t="s">
        <v>22</v>
      </c>
      <c r="H147" t="s">
        <v>22</v>
      </c>
      <c r="I147" t="s">
        <v>22</v>
      </c>
      <c r="J147" t="s">
        <v>523</v>
      </c>
      <c r="K147" t="s">
        <v>22</v>
      </c>
      <c r="L147" t="s">
        <v>524</v>
      </c>
      <c r="N147" t="s">
        <v>824</v>
      </c>
      <c r="O147" t="s">
        <v>825</v>
      </c>
      <c r="P147" t="s">
        <v>459</v>
      </c>
      <c r="Q147" t="s">
        <v>766</v>
      </c>
      <c r="R147">
        <v>0</v>
      </c>
      <c r="S147">
        <v>30543874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30543874</v>
      </c>
      <c r="Z147">
        <v>0</v>
      </c>
      <c r="AA147">
        <v>0</v>
      </c>
      <c r="AB147">
        <v>0</v>
      </c>
      <c r="AC147">
        <v>0</v>
      </c>
      <c r="AD147">
        <v>30543874</v>
      </c>
      <c r="AE147">
        <v>0</v>
      </c>
    </row>
    <row r="148" spans="1:31" x14ac:dyDescent="0.2">
      <c r="A148" t="s">
        <v>518</v>
      </c>
      <c r="B148" t="s">
        <v>519</v>
      </c>
      <c r="C148" t="s">
        <v>22</v>
      </c>
      <c r="D148" t="s">
        <v>520</v>
      </c>
      <c r="E148" t="s">
        <v>521</v>
      </c>
      <c r="F148" t="s">
        <v>522</v>
      </c>
      <c r="G148" t="s">
        <v>22</v>
      </c>
      <c r="H148" t="s">
        <v>22</v>
      </c>
      <c r="I148" t="s">
        <v>22</v>
      </c>
      <c r="J148" t="s">
        <v>523</v>
      </c>
      <c r="K148" t="s">
        <v>22</v>
      </c>
      <c r="L148" t="s">
        <v>524</v>
      </c>
      <c r="N148" t="s">
        <v>826</v>
      </c>
      <c r="O148" t="s">
        <v>825</v>
      </c>
      <c r="P148" t="s">
        <v>102</v>
      </c>
      <c r="Q148" t="s">
        <v>100</v>
      </c>
      <c r="R148">
        <v>5454986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5454986</v>
      </c>
      <c r="Z148">
        <v>0</v>
      </c>
      <c r="AA148">
        <v>0</v>
      </c>
      <c r="AB148">
        <v>0</v>
      </c>
      <c r="AC148">
        <v>0</v>
      </c>
      <c r="AD148">
        <v>5454986</v>
      </c>
      <c r="AE148">
        <v>0</v>
      </c>
    </row>
    <row r="149" spans="1:31" x14ac:dyDescent="0.2">
      <c r="A149" t="s">
        <v>518</v>
      </c>
      <c r="B149" t="s">
        <v>519</v>
      </c>
      <c r="C149" t="s">
        <v>22</v>
      </c>
      <c r="D149" t="s">
        <v>520</v>
      </c>
      <c r="E149" t="s">
        <v>521</v>
      </c>
      <c r="F149" t="s">
        <v>522</v>
      </c>
      <c r="G149" t="s">
        <v>22</v>
      </c>
      <c r="H149" t="s">
        <v>22</v>
      </c>
      <c r="I149" t="s">
        <v>22</v>
      </c>
      <c r="J149" t="s">
        <v>523</v>
      </c>
      <c r="K149" t="s">
        <v>22</v>
      </c>
      <c r="L149" t="s">
        <v>524</v>
      </c>
      <c r="N149" t="s">
        <v>827</v>
      </c>
      <c r="O149" t="s">
        <v>828</v>
      </c>
      <c r="P149" t="s">
        <v>384</v>
      </c>
      <c r="Q149" t="s">
        <v>829</v>
      </c>
      <c r="R149">
        <v>100000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100000</v>
      </c>
      <c r="Z149">
        <v>0</v>
      </c>
      <c r="AA149">
        <v>0</v>
      </c>
      <c r="AB149">
        <v>0</v>
      </c>
      <c r="AC149">
        <v>0</v>
      </c>
      <c r="AD149">
        <v>100000</v>
      </c>
      <c r="AE149">
        <v>0</v>
      </c>
    </row>
    <row r="150" spans="1:31" x14ac:dyDescent="0.2">
      <c r="A150" t="s">
        <v>518</v>
      </c>
      <c r="B150" t="s">
        <v>519</v>
      </c>
      <c r="C150" t="s">
        <v>22</v>
      </c>
      <c r="D150" t="s">
        <v>520</v>
      </c>
      <c r="E150" t="s">
        <v>521</v>
      </c>
      <c r="F150" t="s">
        <v>522</v>
      </c>
      <c r="G150" t="s">
        <v>22</v>
      </c>
      <c r="H150" t="s">
        <v>22</v>
      </c>
      <c r="I150" t="s">
        <v>22</v>
      </c>
      <c r="J150" t="s">
        <v>523</v>
      </c>
      <c r="K150" t="s">
        <v>22</v>
      </c>
      <c r="L150" t="s">
        <v>524</v>
      </c>
      <c r="N150" t="s">
        <v>830</v>
      </c>
      <c r="O150" t="s">
        <v>831</v>
      </c>
      <c r="P150" t="s">
        <v>22</v>
      </c>
      <c r="Q150" t="s">
        <v>527</v>
      </c>
      <c r="R150">
        <v>28853175</v>
      </c>
      <c r="S150">
        <v>153896367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182749542</v>
      </c>
      <c r="Z150">
        <v>0</v>
      </c>
      <c r="AA150">
        <v>0</v>
      </c>
      <c r="AB150">
        <v>0</v>
      </c>
      <c r="AC150">
        <v>0</v>
      </c>
      <c r="AD150">
        <v>182749542</v>
      </c>
      <c r="AE150">
        <v>0</v>
      </c>
    </row>
    <row r="151" spans="1:31" x14ac:dyDescent="0.2">
      <c r="A151" t="s">
        <v>518</v>
      </c>
      <c r="B151" t="s">
        <v>519</v>
      </c>
      <c r="C151" t="s">
        <v>22</v>
      </c>
      <c r="D151" t="s">
        <v>520</v>
      </c>
      <c r="E151" t="s">
        <v>521</v>
      </c>
      <c r="F151" t="s">
        <v>522</v>
      </c>
      <c r="G151" t="s">
        <v>22</v>
      </c>
      <c r="H151" t="s">
        <v>22</v>
      </c>
      <c r="I151" t="s">
        <v>22</v>
      </c>
      <c r="J151" t="s">
        <v>523</v>
      </c>
      <c r="K151" t="s">
        <v>22</v>
      </c>
      <c r="L151" t="s">
        <v>524</v>
      </c>
      <c r="N151" t="s">
        <v>832</v>
      </c>
      <c r="O151" t="s">
        <v>821</v>
      </c>
      <c r="P151" t="s">
        <v>94</v>
      </c>
      <c r="Q151" t="s">
        <v>822</v>
      </c>
      <c r="R151">
        <v>17550913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17550913</v>
      </c>
      <c r="Z151">
        <v>0</v>
      </c>
      <c r="AA151">
        <v>0</v>
      </c>
      <c r="AB151">
        <v>0</v>
      </c>
      <c r="AC151">
        <v>0</v>
      </c>
      <c r="AD151">
        <v>17550913</v>
      </c>
      <c r="AE151">
        <v>0</v>
      </c>
    </row>
    <row r="152" spans="1:31" x14ac:dyDescent="0.2">
      <c r="A152" t="s">
        <v>518</v>
      </c>
      <c r="B152" t="s">
        <v>519</v>
      </c>
      <c r="C152" t="s">
        <v>22</v>
      </c>
      <c r="D152" t="s">
        <v>520</v>
      </c>
      <c r="E152" t="s">
        <v>521</v>
      </c>
      <c r="F152" t="s">
        <v>522</v>
      </c>
      <c r="G152" t="s">
        <v>22</v>
      </c>
      <c r="H152" t="s">
        <v>22</v>
      </c>
      <c r="I152" t="s">
        <v>22</v>
      </c>
      <c r="J152" t="s">
        <v>523</v>
      </c>
      <c r="K152" t="s">
        <v>22</v>
      </c>
      <c r="L152" t="s">
        <v>524</v>
      </c>
      <c r="N152" t="s">
        <v>832</v>
      </c>
      <c r="O152" t="s">
        <v>821</v>
      </c>
      <c r="P152" t="s">
        <v>440</v>
      </c>
      <c r="Q152" t="s">
        <v>823</v>
      </c>
      <c r="R152">
        <v>0</v>
      </c>
      <c r="S152">
        <v>29471294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29471294</v>
      </c>
      <c r="Z152">
        <v>0</v>
      </c>
      <c r="AA152">
        <v>0</v>
      </c>
      <c r="AB152">
        <v>0</v>
      </c>
      <c r="AC152">
        <v>0</v>
      </c>
      <c r="AD152">
        <v>29471294</v>
      </c>
      <c r="AE152">
        <v>0</v>
      </c>
    </row>
    <row r="153" spans="1:31" x14ac:dyDescent="0.2">
      <c r="A153" t="s">
        <v>518</v>
      </c>
      <c r="B153" t="s">
        <v>519</v>
      </c>
      <c r="C153" t="s">
        <v>22</v>
      </c>
      <c r="D153" t="s">
        <v>520</v>
      </c>
      <c r="E153" t="s">
        <v>521</v>
      </c>
      <c r="F153" t="s">
        <v>522</v>
      </c>
      <c r="G153" t="s">
        <v>22</v>
      </c>
      <c r="H153" t="s">
        <v>22</v>
      </c>
      <c r="I153" t="s">
        <v>22</v>
      </c>
      <c r="J153" t="s">
        <v>523</v>
      </c>
      <c r="K153" t="s">
        <v>22</v>
      </c>
      <c r="L153" t="s">
        <v>524</v>
      </c>
      <c r="N153" t="s">
        <v>833</v>
      </c>
      <c r="O153" t="s">
        <v>825</v>
      </c>
      <c r="P153" t="s">
        <v>98</v>
      </c>
      <c r="Q153" t="s">
        <v>764</v>
      </c>
      <c r="R153">
        <v>5847276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5847276</v>
      </c>
      <c r="Z153">
        <v>0</v>
      </c>
      <c r="AA153">
        <v>0</v>
      </c>
      <c r="AB153">
        <v>0</v>
      </c>
      <c r="AC153">
        <v>0</v>
      </c>
      <c r="AD153">
        <v>5847276</v>
      </c>
      <c r="AE153">
        <v>0</v>
      </c>
    </row>
    <row r="154" spans="1:31" x14ac:dyDescent="0.2">
      <c r="A154" t="s">
        <v>518</v>
      </c>
      <c r="B154" t="s">
        <v>519</v>
      </c>
      <c r="C154" t="s">
        <v>22</v>
      </c>
      <c r="D154" t="s">
        <v>520</v>
      </c>
      <c r="E154" t="s">
        <v>521</v>
      </c>
      <c r="F154" t="s">
        <v>522</v>
      </c>
      <c r="G154" t="s">
        <v>22</v>
      </c>
      <c r="H154" t="s">
        <v>22</v>
      </c>
      <c r="I154" t="s">
        <v>22</v>
      </c>
      <c r="J154" t="s">
        <v>523</v>
      </c>
      <c r="K154" t="s">
        <v>22</v>
      </c>
      <c r="L154" t="s">
        <v>524</v>
      </c>
      <c r="N154" t="s">
        <v>833</v>
      </c>
      <c r="O154" t="s">
        <v>834</v>
      </c>
      <c r="P154" t="s">
        <v>459</v>
      </c>
      <c r="Q154" t="s">
        <v>766</v>
      </c>
      <c r="R154">
        <v>0</v>
      </c>
      <c r="S154">
        <v>30543874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30543874</v>
      </c>
      <c r="Z154">
        <v>0</v>
      </c>
      <c r="AA154">
        <v>0</v>
      </c>
      <c r="AB154">
        <v>0</v>
      </c>
      <c r="AC154">
        <v>0</v>
      </c>
      <c r="AD154">
        <v>30543874</v>
      </c>
      <c r="AE154">
        <v>0</v>
      </c>
    </row>
    <row r="155" spans="1:31" x14ac:dyDescent="0.2">
      <c r="A155" t="s">
        <v>518</v>
      </c>
      <c r="B155" t="s">
        <v>519</v>
      </c>
      <c r="C155" t="s">
        <v>22</v>
      </c>
      <c r="D155" t="s">
        <v>520</v>
      </c>
      <c r="E155" t="s">
        <v>521</v>
      </c>
      <c r="F155" t="s">
        <v>522</v>
      </c>
      <c r="G155" t="s">
        <v>22</v>
      </c>
      <c r="H155" t="s">
        <v>22</v>
      </c>
      <c r="I155" t="s">
        <v>22</v>
      </c>
      <c r="J155" t="s">
        <v>523</v>
      </c>
      <c r="K155" t="s">
        <v>22</v>
      </c>
      <c r="L155" t="s">
        <v>524</v>
      </c>
      <c r="N155" t="s">
        <v>835</v>
      </c>
      <c r="O155" t="s">
        <v>825</v>
      </c>
      <c r="P155" t="s">
        <v>102</v>
      </c>
      <c r="Q155" t="s">
        <v>100</v>
      </c>
      <c r="R155">
        <v>5454986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5454986</v>
      </c>
      <c r="Z155">
        <v>0</v>
      </c>
      <c r="AA155">
        <v>0</v>
      </c>
      <c r="AB155">
        <v>0</v>
      </c>
      <c r="AC155">
        <v>0</v>
      </c>
      <c r="AD155">
        <v>5454986</v>
      </c>
      <c r="AE155">
        <v>0</v>
      </c>
    </row>
    <row r="156" spans="1:31" x14ac:dyDescent="0.2">
      <c r="A156" t="s">
        <v>518</v>
      </c>
      <c r="B156" t="s">
        <v>519</v>
      </c>
      <c r="C156" t="s">
        <v>22</v>
      </c>
      <c r="D156" t="s">
        <v>520</v>
      </c>
      <c r="E156" t="s">
        <v>521</v>
      </c>
      <c r="F156" t="s">
        <v>522</v>
      </c>
      <c r="G156" t="s">
        <v>22</v>
      </c>
      <c r="H156" t="s">
        <v>22</v>
      </c>
      <c r="I156" t="s">
        <v>22</v>
      </c>
      <c r="J156" t="s">
        <v>523</v>
      </c>
      <c r="K156" t="s">
        <v>22</v>
      </c>
      <c r="L156" t="s">
        <v>524</v>
      </c>
      <c r="N156" t="s">
        <v>836</v>
      </c>
      <c r="O156" t="s">
        <v>837</v>
      </c>
      <c r="P156" t="s">
        <v>491</v>
      </c>
      <c r="Q156" t="s">
        <v>838</v>
      </c>
      <c r="R156">
        <v>0</v>
      </c>
      <c r="S156">
        <v>93881199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93881199</v>
      </c>
      <c r="Z156">
        <v>0</v>
      </c>
      <c r="AA156">
        <v>0</v>
      </c>
      <c r="AB156">
        <v>0</v>
      </c>
      <c r="AC156">
        <v>0</v>
      </c>
      <c r="AD156">
        <v>93881199</v>
      </c>
      <c r="AE156">
        <v>0</v>
      </c>
    </row>
    <row r="157" spans="1:31" x14ac:dyDescent="0.2">
      <c r="A157" t="s">
        <v>518</v>
      </c>
      <c r="B157" t="s">
        <v>519</v>
      </c>
      <c r="C157" t="s">
        <v>22</v>
      </c>
      <c r="D157" t="s">
        <v>520</v>
      </c>
      <c r="E157" t="s">
        <v>521</v>
      </c>
      <c r="F157" t="s">
        <v>522</v>
      </c>
      <c r="G157" t="s">
        <v>22</v>
      </c>
      <c r="H157" t="s">
        <v>22</v>
      </c>
      <c r="I157" t="s">
        <v>22</v>
      </c>
      <c r="J157" t="s">
        <v>523</v>
      </c>
      <c r="K157" t="s">
        <v>22</v>
      </c>
      <c r="L157" t="s">
        <v>524</v>
      </c>
      <c r="N157" t="s">
        <v>839</v>
      </c>
      <c r="O157" t="s">
        <v>840</v>
      </c>
      <c r="P157" t="s">
        <v>22</v>
      </c>
      <c r="Q157" t="s">
        <v>527</v>
      </c>
      <c r="R157">
        <v>6689175705</v>
      </c>
      <c r="S157">
        <v>2393701295</v>
      </c>
      <c r="T157">
        <v>345475053</v>
      </c>
      <c r="U157">
        <v>473016980</v>
      </c>
      <c r="V157">
        <v>473016980</v>
      </c>
      <c r="W157">
        <v>0</v>
      </c>
      <c r="X157">
        <v>0</v>
      </c>
      <c r="Y157">
        <v>8737401947</v>
      </c>
      <c r="Z157">
        <v>4115474078.1700001</v>
      </c>
      <c r="AA157">
        <v>3793311894.2800002</v>
      </c>
      <c r="AB157">
        <v>1839267689.1199999</v>
      </c>
      <c r="AC157">
        <v>1839267689.1199999</v>
      </c>
      <c r="AD157">
        <v>4621927868.8299999</v>
      </c>
      <c r="AE157">
        <v>47.1</v>
      </c>
    </row>
    <row r="158" spans="1:31" x14ac:dyDescent="0.2">
      <c r="A158" t="s">
        <v>518</v>
      </c>
      <c r="B158" t="s">
        <v>519</v>
      </c>
      <c r="C158" t="s">
        <v>22</v>
      </c>
      <c r="D158" t="s">
        <v>520</v>
      </c>
      <c r="E158" t="s">
        <v>521</v>
      </c>
      <c r="F158" t="s">
        <v>522</v>
      </c>
      <c r="G158" t="s">
        <v>22</v>
      </c>
      <c r="H158" t="s">
        <v>22</v>
      </c>
      <c r="I158" t="s">
        <v>22</v>
      </c>
      <c r="J158" t="s">
        <v>523</v>
      </c>
      <c r="K158" t="s">
        <v>22</v>
      </c>
      <c r="L158" t="s">
        <v>524</v>
      </c>
      <c r="N158" t="s">
        <v>841</v>
      </c>
      <c r="O158" t="s">
        <v>842</v>
      </c>
      <c r="P158" t="s">
        <v>22</v>
      </c>
      <c r="Q158" t="s">
        <v>527</v>
      </c>
      <c r="R158">
        <v>702370747</v>
      </c>
      <c r="S158">
        <v>232996087</v>
      </c>
      <c r="T158">
        <v>232996087</v>
      </c>
      <c r="U158">
        <v>0</v>
      </c>
      <c r="V158">
        <v>10000000</v>
      </c>
      <c r="W158">
        <v>0</v>
      </c>
      <c r="X158">
        <v>0</v>
      </c>
      <c r="Y158">
        <v>692370747</v>
      </c>
      <c r="Z158">
        <v>268361812</v>
      </c>
      <c r="AA158">
        <v>268361812</v>
      </c>
      <c r="AB158">
        <v>268361812</v>
      </c>
      <c r="AC158">
        <v>268361812</v>
      </c>
      <c r="AD158">
        <v>424008935</v>
      </c>
      <c r="AE158">
        <v>38.76</v>
      </c>
    </row>
    <row r="159" spans="1:31" x14ac:dyDescent="0.2">
      <c r="A159" t="s">
        <v>518</v>
      </c>
      <c r="B159" t="s">
        <v>519</v>
      </c>
      <c r="C159" t="s">
        <v>22</v>
      </c>
      <c r="D159" t="s">
        <v>520</v>
      </c>
      <c r="E159" t="s">
        <v>521</v>
      </c>
      <c r="F159" t="s">
        <v>522</v>
      </c>
      <c r="G159" t="s">
        <v>22</v>
      </c>
      <c r="H159" t="s">
        <v>22</v>
      </c>
      <c r="I159" t="s">
        <v>22</v>
      </c>
      <c r="J159" t="s">
        <v>523</v>
      </c>
      <c r="K159" t="s">
        <v>22</v>
      </c>
      <c r="L159" t="s">
        <v>524</v>
      </c>
      <c r="N159" t="s">
        <v>843</v>
      </c>
      <c r="O159" t="s">
        <v>844</v>
      </c>
      <c r="P159" t="s">
        <v>22</v>
      </c>
      <c r="Q159" t="s">
        <v>527</v>
      </c>
      <c r="R159">
        <v>702370747</v>
      </c>
      <c r="S159">
        <v>232996087</v>
      </c>
      <c r="T159">
        <v>232996087</v>
      </c>
      <c r="U159">
        <v>0</v>
      </c>
      <c r="V159">
        <v>10000000</v>
      </c>
      <c r="W159">
        <v>0</v>
      </c>
      <c r="X159">
        <v>0</v>
      </c>
      <c r="Y159">
        <v>692370747</v>
      </c>
      <c r="Z159">
        <v>268361812</v>
      </c>
      <c r="AA159">
        <v>268361812</v>
      </c>
      <c r="AB159">
        <v>268361812</v>
      </c>
      <c r="AC159">
        <v>268361812</v>
      </c>
      <c r="AD159">
        <v>424008935</v>
      </c>
      <c r="AE159">
        <v>38.76</v>
      </c>
    </row>
    <row r="160" spans="1:31" x14ac:dyDescent="0.2">
      <c r="A160" t="s">
        <v>518</v>
      </c>
      <c r="B160" t="s">
        <v>519</v>
      </c>
      <c r="C160" t="s">
        <v>22</v>
      </c>
      <c r="D160" t="s">
        <v>520</v>
      </c>
      <c r="E160" t="s">
        <v>521</v>
      </c>
      <c r="F160" t="s">
        <v>522</v>
      </c>
      <c r="G160" t="s">
        <v>22</v>
      </c>
      <c r="H160" t="s">
        <v>22</v>
      </c>
      <c r="I160" t="s">
        <v>22</v>
      </c>
      <c r="J160" t="s">
        <v>523</v>
      </c>
      <c r="K160" t="s">
        <v>22</v>
      </c>
      <c r="L160" t="s">
        <v>524</v>
      </c>
      <c r="N160" t="s">
        <v>845</v>
      </c>
      <c r="O160" t="s">
        <v>846</v>
      </c>
      <c r="P160" t="s">
        <v>22</v>
      </c>
      <c r="Q160" t="s">
        <v>527</v>
      </c>
      <c r="R160">
        <v>501066028</v>
      </c>
      <c r="S160">
        <v>117929417</v>
      </c>
      <c r="T160">
        <v>117929417</v>
      </c>
      <c r="U160">
        <v>0</v>
      </c>
      <c r="V160">
        <v>10000000</v>
      </c>
      <c r="W160">
        <v>0</v>
      </c>
      <c r="X160">
        <v>0</v>
      </c>
      <c r="Y160">
        <v>491066028</v>
      </c>
      <c r="Z160">
        <v>180100856</v>
      </c>
      <c r="AA160">
        <v>180100856</v>
      </c>
      <c r="AB160">
        <v>180100856</v>
      </c>
      <c r="AC160">
        <v>180100856</v>
      </c>
      <c r="AD160">
        <v>310965172</v>
      </c>
      <c r="AE160">
        <v>36.68</v>
      </c>
    </row>
    <row r="161" spans="1:31" x14ac:dyDescent="0.2">
      <c r="A161" t="s">
        <v>518</v>
      </c>
      <c r="B161" t="s">
        <v>519</v>
      </c>
      <c r="C161" t="s">
        <v>22</v>
      </c>
      <c r="D161" t="s">
        <v>520</v>
      </c>
      <c r="E161" t="s">
        <v>521</v>
      </c>
      <c r="F161" t="s">
        <v>522</v>
      </c>
      <c r="G161" t="s">
        <v>22</v>
      </c>
      <c r="H161" t="s">
        <v>22</v>
      </c>
      <c r="I161" t="s">
        <v>22</v>
      </c>
      <c r="J161" t="s">
        <v>523</v>
      </c>
      <c r="K161" t="s">
        <v>22</v>
      </c>
      <c r="L161" t="s">
        <v>524</v>
      </c>
      <c r="N161" t="s">
        <v>847</v>
      </c>
      <c r="O161" t="s">
        <v>848</v>
      </c>
      <c r="P161" t="s">
        <v>22</v>
      </c>
      <c r="Q161" t="s">
        <v>527</v>
      </c>
      <c r="R161">
        <v>501066028</v>
      </c>
      <c r="S161">
        <v>117929417</v>
      </c>
      <c r="T161">
        <v>117929417</v>
      </c>
      <c r="U161">
        <v>0</v>
      </c>
      <c r="V161">
        <v>10000000</v>
      </c>
      <c r="W161">
        <v>0</v>
      </c>
      <c r="X161">
        <v>0</v>
      </c>
      <c r="Y161">
        <v>491066028</v>
      </c>
      <c r="Z161">
        <v>180100856</v>
      </c>
      <c r="AA161">
        <v>180100856</v>
      </c>
      <c r="AB161">
        <v>180100856</v>
      </c>
      <c r="AC161">
        <v>180100856</v>
      </c>
      <c r="AD161">
        <v>310965172</v>
      </c>
      <c r="AE161">
        <v>36.68</v>
      </c>
    </row>
    <row r="162" spans="1:31" x14ac:dyDescent="0.2">
      <c r="A162" t="s">
        <v>518</v>
      </c>
      <c r="B162" t="s">
        <v>519</v>
      </c>
      <c r="C162" t="s">
        <v>22</v>
      </c>
      <c r="D162" t="s">
        <v>520</v>
      </c>
      <c r="E162" t="s">
        <v>521</v>
      </c>
      <c r="F162" t="s">
        <v>522</v>
      </c>
      <c r="G162" t="s">
        <v>22</v>
      </c>
      <c r="H162" t="s">
        <v>22</v>
      </c>
      <c r="I162" t="s">
        <v>22</v>
      </c>
      <c r="J162" t="s">
        <v>523</v>
      </c>
      <c r="K162" t="s">
        <v>22</v>
      </c>
      <c r="L162" t="s">
        <v>524</v>
      </c>
      <c r="N162" t="s">
        <v>849</v>
      </c>
      <c r="O162" t="s">
        <v>850</v>
      </c>
      <c r="P162" t="s">
        <v>22</v>
      </c>
      <c r="Q162" t="s">
        <v>527</v>
      </c>
      <c r="R162">
        <v>377192086</v>
      </c>
      <c r="S162">
        <v>47349971</v>
      </c>
      <c r="T162">
        <v>47349971</v>
      </c>
      <c r="U162">
        <v>0</v>
      </c>
      <c r="V162">
        <v>10000000</v>
      </c>
      <c r="W162">
        <v>0</v>
      </c>
      <c r="X162">
        <v>0</v>
      </c>
      <c r="Y162">
        <v>367192086</v>
      </c>
      <c r="Z162">
        <v>152739831</v>
      </c>
      <c r="AA162">
        <v>152739831</v>
      </c>
      <c r="AB162">
        <v>152739831</v>
      </c>
      <c r="AC162">
        <v>152739831</v>
      </c>
      <c r="AD162">
        <v>214452255</v>
      </c>
      <c r="AE162">
        <v>41.6</v>
      </c>
    </row>
    <row r="163" spans="1:31" x14ac:dyDescent="0.2">
      <c r="A163" t="s">
        <v>518</v>
      </c>
      <c r="B163" t="s">
        <v>519</v>
      </c>
      <c r="C163" t="s">
        <v>22</v>
      </c>
      <c r="D163" t="s">
        <v>520</v>
      </c>
      <c r="E163" t="s">
        <v>521</v>
      </c>
      <c r="F163" t="s">
        <v>522</v>
      </c>
      <c r="G163" t="s">
        <v>22</v>
      </c>
      <c r="H163" t="s">
        <v>22</v>
      </c>
      <c r="I163" t="s">
        <v>22</v>
      </c>
      <c r="J163" t="s">
        <v>523</v>
      </c>
      <c r="K163" t="s">
        <v>22</v>
      </c>
      <c r="L163" t="s">
        <v>524</v>
      </c>
      <c r="N163" t="s">
        <v>851</v>
      </c>
      <c r="O163" t="s">
        <v>852</v>
      </c>
      <c r="P163" t="s">
        <v>22</v>
      </c>
      <c r="Q163" t="s">
        <v>527</v>
      </c>
      <c r="R163">
        <v>51873994</v>
      </c>
      <c r="S163">
        <v>47349971</v>
      </c>
      <c r="T163">
        <v>47349971</v>
      </c>
      <c r="U163">
        <v>0</v>
      </c>
      <c r="V163">
        <v>0</v>
      </c>
      <c r="W163">
        <v>0</v>
      </c>
      <c r="X163">
        <v>0</v>
      </c>
      <c r="Y163">
        <v>51873994</v>
      </c>
      <c r="Z163">
        <v>22620115</v>
      </c>
      <c r="AA163">
        <v>22620115</v>
      </c>
      <c r="AB163">
        <v>22620115</v>
      </c>
      <c r="AC163">
        <v>22620115</v>
      </c>
      <c r="AD163">
        <v>29253879</v>
      </c>
      <c r="AE163">
        <v>43.61</v>
      </c>
    </row>
    <row r="164" spans="1:31" x14ac:dyDescent="0.2">
      <c r="A164" t="s">
        <v>518</v>
      </c>
      <c r="B164" t="s">
        <v>853</v>
      </c>
      <c r="C164" t="s">
        <v>854</v>
      </c>
      <c r="D164" t="s">
        <v>855</v>
      </c>
      <c r="E164" t="s">
        <v>856</v>
      </c>
      <c r="F164" t="s">
        <v>857</v>
      </c>
      <c r="G164" t="s">
        <v>858</v>
      </c>
      <c r="H164" t="s">
        <v>859</v>
      </c>
      <c r="I164" t="s">
        <v>22</v>
      </c>
      <c r="J164" t="s">
        <v>523</v>
      </c>
      <c r="K164" t="s">
        <v>22</v>
      </c>
      <c r="L164" t="s">
        <v>524</v>
      </c>
      <c r="N164" t="s">
        <v>860</v>
      </c>
      <c r="O164" t="s">
        <v>861</v>
      </c>
      <c r="P164" t="s">
        <v>242</v>
      </c>
      <c r="Q164" t="s">
        <v>541</v>
      </c>
      <c r="R164">
        <v>51873994</v>
      </c>
      <c r="S164">
        <v>0</v>
      </c>
      <c r="T164">
        <v>47349971</v>
      </c>
      <c r="U164">
        <v>0</v>
      </c>
      <c r="V164">
        <v>0</v>
      </c>
      <c r="W164">
        <v>0</v>
      </c>
      <c r="X164">
        <v>0</v>
      </c>
      <c r="Y164">
        <v>4524023</v>
      </c>
      <c r="Z164">
        <v>4524023</v>
      </c>
      <c r="AA164">
        <v>4524023</v>
      </c>
      <c r="AB164">
        <v>4524023</v>
      </c>
      <c r="AC164">
        <v>4524023</v>
      </c>
      <c r="AD164">
        <v>0</v>
      </c>
      <c r="AE164">
        <v>100</v>
      </c>
    </row>
    <row r="165" spans="1:31" x14ac:dyDescent="0.2">
      <c r="A165" t="s">
        <v>518</v>
      </c>
      <c r="B165" t="s">
        <v>853</v>
      </c>
      <c r="C165" t="s">
        <v>854</v>
      </c>
      <c r="D165" t="s">
        <v>855</v>
      </c>
      <c r="E165" t="s">
        <v>856</v>
      </c>
      <c r="F165" t="s">
        <v>857</v>
      </c>
      <c r="G165" t="s">
        <v>858</v>
      </c>
      <c r="H165" t="s">
        <v>859</v>
      </c>
      <c r="I165" t="s">
        <v>22</v>
      </c>
      <c r="J165" t="s">
        <v>523</v>
      </c>
      <c r="K165" t="s">
        <v>22</v>
      </c>
      <c r="L165" t="s">
        <v>524</v>
      </c>
      <c r="N165" t="s">
        <v>862</v>
      </c>
      <c r="O165" t="s">
        <v>861</v>
      </c>
      <c r="P165" t="s">
        <v>483</v>
      </c>
      <c r="Q165" t="s">
        <v>863</v>
      </c>
      <c r="R165">
        <v>0</v>
      </c>
      <c r="S165">
        <v>47349971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47349971</v>
      </c>
      <c r="Z165">
        <v>18096092</v>
      </c>
      <c r="AA165">
        <v>18096092</v>
      </c>
      <c r="AB165">
        <v>18096092</v>
      </c>
      <c r="AC165">
        <v>18096092</v>
      </c>
      <c r="AD165">
        <v>29253879</v>
      </c>
      <c r="AE165">
        <v>38.22</v>
      </c>
    </row>
    <row r="166" spans="1:31" x14ac:dyDescent="0.2">
      <c r="A166" t="s">
        <v>518</v>
      </c>
      <c r="B166" t="s">
        <v>519</v>
      </c>
      <c r="C166" t="s">
        <v>22</v>
      </c>
      <c r="D166" t="s">
        <v>520</v>
      </c>
      <c r="E166" t="s">
        <v>521</v>
      </c>
      <c r="F166" t="s">
        <v>522</v>
      </c>
      <c r="G166" t="s">
        <v>22</v>
      </c>
      <c r="H166" t="s">
        <v>22</v>
      </c>
      <c r="I166" t="s">
        <v>22</v>
      </c>
      <c r="J166" t="s">
        <v>523</v>
      </c>
      <c r="K166" t="s">
        <v>22</v>
      </c>
      <c r="L166" t="s">
        <v>524</v>
      </c>
      <c r="N166" t="s">
        <v>864</v>
      </c>
      <c r="O166" t="s">
        <v>865</v>
      </c>
      <c r="P166" t="s">
        <v>22</v>
      </c>
      <c r="Q166" t="s">
        <v>527</v>
      </c>
      <c r="R166">
        <v>150791956</v>
      </c>
      <c r="S166">
        <v>0</v>
      </c>
      <c r="T166">
        <v>0</v>
      </c>
      <c r="U166">
        <v>0</v>
      </c>
      <c r="V166">
        <v>10000000</v>
      </c>
      <c r="W166">
        <v>0</v>
      </c>
      <c r="X166">
        <v>0</v>
      </c>
      <c r="Y166">
        <v>140791956</v>
      </c>
      <c r="Z166">
        <v>58126726</v>
      </c>
      <c r="AA166">
        <v>58126726</v>
      </c>
      <c r="AB166">
        <v>58126726</v>
      </c>
      <c r="AC166">
        <v>58126726</v>
      </c>
      <c r="AD166">
        <v>82665230</v>
      </c>
      <c r="AE166">
        <v>41.29</v>
      </c>
    </row>
    <row r="167" spans="1:31" x14ac:dyDescent="0.2">
      <c r="A167" t="s">
        <v>518</v>
      </c>
      <c r="B167" t="s">
        <v>866</v>
      </c>
      <c r="C167" t="s">
        <v>867</v>
      </c>
      <c r="D167" t="s">
        <v>868</v>
      </c>
      <c r="E167" t="s">
        <v>869</v>
      </c>
      <c r="F167" t="s">
        <v>870</v>
      </c>
      <c r="G167" t="s">
        <v>871</v>
      </c>
      <c r="H167" t="s">
        <v>872</v>
      </c>
      <c r="I167" t="s">
        <v>22</v>
      </c>
      <c r="J167" t="s">
        <v>523</v>
      </c>
      <c r="K167" t="s">
        <v>22</v>
      </c>
      <c r="L167" t="s">
        <v>524</v>
      </c>
      <c r="N167" t="s">
        <v>873</v>
      </c>
      <c r="O167" t="s">
        <v>874</v>
      </c>
      <c r="P167" t="s">
        <v>238</v>
      </c>
      <c r="Q167" t="s">
        <v>805</v>
      </c>
      <c r="R167">
        <v>150791956</v>
      </c>
      <c r="S167">
        <v>0</v>
      </c>
      <c r="T167">
        <v>0</v>
      </c>
      <c r="U167">
        <v>0</v>
      </c>
      <c r="V167">
        <v>10000000</v>
      </c>
      <c r="W167">
        <v>0</v>
      </c>
      <c r="X167">
        <v>0</v>
      </c>
      <c r="Y167">
        <v>140791956</v>
      </c>
      <c r="Z167">
        <v>58126726</v>
      </c>
      <c r="AA167">
        <v>58126726</v>
      </c>
      <c r="AB167">
        <v>58126726</v>
      </c>
      <c r="AC167">
        <v>58126726</v>
      </c>
      <c r="AD167">
        <v>82665230</v>
      </c>
      <c r="AE167">
        <v>41.29</v>
      </c>
    </row>
    <row r="168" spans="1:31" x14ac:dyDescent="0.2">
      <c r="A168" t="s">
        <v>518</v>
      </c>
      <c r="B168" t="s">
        <v>519</v>
      </c>
      <c r="C168" t="s">
        <v>22</v>
      </c>
      <c r="D168" t="s">
        <v>520</v>
      </c>
      <c r="E168" t="s">
        <v>521</v>
      </c>
      <c r="F168" t="s">
        <v>522</v>
      </c>
      <c r="G168" t="s">
        <v>22</v>
      </c>
      <c r="H168" t="s">
        <v>22</v>
      </c>
      <c r="I168" t="s">
        <v>22</v>
      </c>
      <c r="J168" t="s">
        <v>523</v>
      </c>
      <c r="K168" t="s">
        <v>22</v>
      </c>
      <c r="L168" t="s">
        <v>524</v>
      </c>
      <c r="N168" t="s">
        <v>875</v>
      </c>
      <c r="O168" t="s">
        <v>876</v>
      </c>
      <c r="P168" t="s">
        <v>22</v>
      </c>
      <c r="Q168" t="s">
        <v>527</v>
      </c>
      <c r="R168">
        <v>174526136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174526136</v>
      </c>
      <c r="Z168">
        <v>71992990</v>
      </c>
      <c r="AA168">
        <v>71992990</v>
      </c>
      <c r="AB168">
        <v>71992990</v>
      </c>
      <c r="AC168">
        <v>71992990</v>
      </c>
      <c r="AD168">
        <v>102533146</v>
      </c>
      <c r="AE168">
        <v>41.25</v>
      </c>
    </row>
    <row r="169" spans="1:31" x14ac:dyDescent="0.2">
      <c r="A169" t="s">
        <v>518</v>
      </c>
      <c r="B169" t="s">
        <v>877</v>
      </c>
      <c r="C169" t="s">
        <v>878</v>
      </c>
      <c r="D169" t="s">
        <v>879</v>
      </c>
      <c r="E169" t="s">
        <v>880</v>
      </c>
      <c r="F169" t="s">
        <v>881</v>
      </c>
      <c r="G169" t="s">
        <v>882</v>
      </c>
      <c r="H169" t="s">
        <v>883</v>
      </c>
      <c r="I169" t="s">
        <v>22</v>
      </c>
      <c r="J169" t="s">
        <v>523</v>
      </c>
      <c r="K169" t="s">
        <v>22</v>
      </c>
      <c r="L169" t="s">
        <v>524</v>
      </c>
      <c r="N169" t="s">
        <v>884</v>
      </c>
      <c r="O169" t="s">
        <v>885</v>
      </c>
      <c r="P169" t="s">
        <v>102</v>
      </c>
      <c r="Q169" t="s">
        <v>100</v>
      </c>
      <c r="R169">
        <v>43639887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43639887</v>
      </c>
      <c r="Z169">
        <v>43488686</v>
      </c>
      <c r="AA169">
        <v>43488686</v>
      </c>
      <c r="AB169">
        <v>43488686</v>
      </c>
      <c r="AC169">
        <v>43488686</v>
      </c>
      <c r="AD169">
        <v>151201</v>
      </c>
      <c r="AE169">
        <v>99.65</v>
      </c>
    </row>
    <row r="170" spans="1:31" x14ac:dyDescent="0.2">
      <c r="A170" t="s">
        <v>518</v>
      </c>
      <c r="B170" t="s">
        <v>877</v>
      </c>
      <c r="C170" t="s">
        <v>878</v>
      </c>
      <c r="D170" t="s">
        <v>879</v>
      </c>
      <c r="E170" t="s">
        <v>880</v>
      </c>
      <c r="F170" t="s">
        <v>881</v>
      </c>
      <c r="G170" t="s">
        <v>882</v>
      </c>
      <c r="H170" t="s">
        <v>883</v>
      </c>
      <c r="I170" t="s">
        <v>22</v>
      </c>
      <c r="J170" t="s">
        <v>523</v>
      </c>
      <c r="K170" t="s">
        <v>22</v>
      </c>
      <c r="L170" t="s">
        <v>524</v>
      </c>
      <c r="N170" t="s">
        <v>886</v>
      </c>
      <c r="O170" t="s">
        <v>885</v>
      </c>
      <c r="P170" t="s">
        <v>350</v>
      </c>
      <c r="Q170" t="s">
        <v>887</v>
      </c>
      <c r="R170">
        <v>100000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100000</v>
      </c>
      <c r="Z170">
        <v>0</v>
      </c>
      <c r="AA170">
        <v>0</v>
      </c>
      <c r="AB170">
        <v>0</v>
      </c>
      <c r="AC170">
        <v>0</v>
      </c>
      <c r="AD170">
        <v>100000</v>
      </c>
      <c r="AE170">
        <v>0</v>
      </c>
    </row>
    <row r="171" spans="1:31" x14ac:dyDescent="0.2">
      <c r="A171" t="s">
        <v>518</v>
      </c>
      <c r="B171" t="s">
        <v>877</v>
      </c>
      <c r="C171" t="s">
        <v>878</v>
      </c>
      <c r="D171" t="s">
        <v>879</v>
      </c>
      <c r="E171" t="s">
        <v>880</v>
      </c>
      <c r="F171" t="s">
        <v>881</v>
      </c>
      <c r="G171" t="s">
        <v>882</v>
      </c>
      <c r="H171" t="s">
        <v>883</v>
      </c>
      <c r="I171" t="s">
        <v>22</v>
      </c>
      <c r="J171" t="s">
        <v>523</v>
      </c>
      <c r="K171" t="s">
        <v>22</v>
      </c>
      <c r="L171" t="s">
        <v>524</v>
      </c>
      <c r="N171" t="s">
        <v>888</v>
      </c>
      <c r="O171" t="s">
        <v>885</v>
      </c>
      <c r="P171" t="s">
        <v>238</v>
      </c>
      <c r="Q171" t="s">
        <v>805</v>
      </c>
      <c r="R171">
        <v>130786249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130786249</v>
      </c>
      <c r="Z171">
        <v>28504304</v>
      </c>
      <c r="AA171">
        <v>28504304</v>
      </c>
      <c r="AB171">
        <v>28504304</v>
      </c>
      <c r="AC171">
        <v>28504304</v>
      </c>
      <c r="AD171">
        <v>102281945</v>
      </c>
      <c r="AE171">
        <v>21.79</v>
      </c>
    </row>
    <row r="172" spans="1:31" x14ac:dyDescent="0.2">
      <c r="A172" t="s">
        <v>518</v>
      </c>
      <c r="B172" t="s">
        <v>519</v>
      </c>
      <c r="C172" t="s">
        <v>22</v>
      </c>
      <c r="D172" t="s">
        <v>520</v>
      </c>
      <c r="E172" t="s">
        <v>521</v>
      </c>
      <c r="F172" t="s">
        <v>522</v>
      </c>
      <c r="G172" t="s">
        <v>22</v>
      </c>
      <c r="H172" t="s">
        <v>22</v>
      </c>
      <c r="I172" t="s">
        <v>22</v>
      </c>
      <c r="J172" t="s">
        <v>523</v>
      </c>
      <c r="K172" t="s">
        <v>22</v>
      </c>
      <c r="L172" t="s">
        <v>524</v>
      </c>
      <c r="N172" t="s">
        <v>889</v>
      </c>
      <c r="O172" t="s">
        <v>890</v>
      </c>
      <c r="P172" t="s">
        <v>22</v>
      </c>
      <c r="Q172" t="s">
        <v>527</v>
      </c>
      <c r="R172">
        <v>12702740</v>
      </c>
      <c r="S172">
        <v>7186348</v>
      </c>
      <c r="T172">
        <v>7186348</v>
      </c>
      <c r="U172">
        <v>0</v>
      </c>
      <c r="V172">
        <v>0</v>
      </c>
      <c r="W172">
        <v>0</v>
      </c>
      <c r="X172">
        <v>0</v>
      </c>
      <c r="Y172">
        <v>12702740</v>
      </c>
      <c r="Z172">
        <v>4890596</v>
      </c>
      <c r="AA172">
        <v>4890596</v>
      </c>
      <c r="AB172">
        <v>4890596</v>
      </c>
      <c r="AC172">
        <v>4890596</v>
      </c>
      <c r="AD172">
        <v>7812144</v>
      </c>
      <c r="AE172">
        <v>38.5</v>
      </c>
    </row>
    <row r="173" spans="1:31" x14ac:dyDescent="0.2">
      <c r="A173" t="s">
        <v>518</v>
      </c>
      <c r="B173" t="s">
        <v>519</v>
      </c>
      <c r="C173" t="s">
        <v>22</v>
      </c>
      <c r="D173" t="s">
        <v>520</v>
      </c>
      <c r="E173" t="s">
        <v>521</v>
      </c>
      <c r="F173" t="s">
        <v>522</v>
      </c>
      <c r="G173" t="s">
        <v>22</v>
      </c>
      <c r="H173" t="s">
        <v>22</v>
      </c>
      <c r="I173" t="s">
        <v>22</v>
      </c>
      <c r="J173" t="s">
        <v>523</v>
      </c>
      <c r="K173" t="s">
        <v>22</v>
      </c>
      <c r="L173" t="s">
        <v>524</v>
      </c>
      <c r="N173" t="s">
        <v>891</v>
      </c>
      <c r="O173" t="s">
        <v>852</v>
      </c>
      <c r="P173" t="s">
        <v>22</v>
      </c>
      <c r="Q173" t="s">
        <v>527</v>
      </c>
      <c r="R173">
        <v>2540548</v>
      </c>
      <c r="S173">
        <v>2342686</v>
      </c>
      <c r="T173">
        <v>2342686</v>
      </c>
      <c r="U173">
        <v>0</v>
      </c>
      <c r="V173">
        <v>0</v>
      </c>
      <c r="W173">
        <v>0</v>
      </c>
      <c r="X173">
        <v>0</v>
      </c>
      <c r="Y173">
        <v>2540548</v>
      </c>
      <c r="Z173">
        <v>1058570</v>
      </c>
      <c r="AA173">
        <v>1058570</v>
      </c>
      <c r="AB173">
        <v>1058570</v>
      </c>
      <c r="AC173">
        <v>1058570</v>
      </c>
      <c r="AD173">
        <v>1481978</v>
      </c>
      <c r="AE173">
        <v>41.67</v>
      </c>
    </row>
    <row r="174" spans="1:31" x14ac:dyDescent="0.2">
      <c r="A174" t="s">
        <v>518</v>
      </c>
      <c r="B174" t="s">
        <v>853</v>
      </c>
      <c r="C174" t="s">
        <v>854</v>
      </c>
      <c r="D174" t="s">
        <v>855</v>
      </c>
      <c r="E174" t="s">
        <v>856</v>
      </c>
      <c r="F174" t="s">
        <v>857</v>
      </c>
      <c r="G174" t="s">
        <v>858</v>
      </c>
      <c r="H174" t="s">
        <v>859</v>
      </c>
      <c r="I174" t="s">
        <v>22</v>
      </c>
      <c r="J174" t="s">
        <v>523</v>
      </c>
      <c r="K174" t="s">
        <v>22</v>
      </c>
      <c r="L174" t="s">
        <v>524</v>
      </c>
      <c r="N174" t="s">
        <v>892</v>
      </c>
      <c r="O174" t="s">
        <v>893</v>
      </c>
      <c r="P174" t="s">
        <v>242</v>
      </c>
      <c r="Q174" t="s">
        <v>541</v>
      </c>
      <c r="R174">
        <v>2540548</v>
      </c>
      <c r="S174">
        <v>0</v>
      </c>
      <c r="T174">
        <v>2342686</v>
      </c>
      <c r="U174">
        <v>0</v>
      </c>
      <c r="V174">
        <v>0</v>
      </c>
      <c r="W174">
        <v>0</v>
      </c>
      <c r="X174">
        <v>0</v>
      </c>
      <c r="Y174">
        <v>197862</v>
      </c>
      <c r="Z174">
        <v>197862</v>
      </c>
      <c r="AA174">
        <v>197862</v>
      </c>
      <c r="AB174">
        <v>197862</v>
      </c>
      <c r="AC174">
        <v>197862</v>
      </c>
      <c r="AD174">
        <v>0</v>
      </c>
      <c r="AE174">
        <v>100</v>
      </c>
    </row>
    <row r="175" spans="1:31" x14ac:dyDescent="0.2">
      <c r="A175" t="s">
        <v>518</v>
      </c>
      <c r="B175" t="s">
        <v>853</v>
      </c>
      <c r="C175" t="s">
        <v>854</v>
      </c>
      <c r="D175" t="s">
        <v>855</v>
      </c>
      <c r="E175" t="s">
        <v>856</v>
      </c>
      <c r="F175" t="s">
        <v>857</v>
      </c>
      <c r="G175" t="s">
        <v>858</v>
      </c>
      <c r="H175" t="s">
        <v>859</v>
      </c>
      <c r="I175" t="s">
        <v>22</v>
      </c>
      <c r="J175" t="s">
        <v>523</v>
      </c>
      <c r="K175" t="s">
        <v>22</v>
      </c>
      <c r="L175" t="s">
        <v>524</v>
      </c>
      <c r="N175" t="s">
        <v>894</v>
      </c>
      <c r="O175" t="s">
        <v>893</v>
      </c>
      <c r="P175" t="s">
        <v>483</v>
      </c>
      <c r="Q175" t="s">
        <v>863</v>
      </c>
      <c r="R175">
        <v>0</v>
      </c>
      <c r="S175">
        <v>2342686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2342686</v>
      </c>
      <c r="Z175">
        <v>860708</v>
      </c>
      <c r="AA175">
        <v>860708</v>
      </c>
      <c r="AB175">
        <v>860708</v>
      </c>
      <c r="AC175">
        <v>860708</v>
      </c>
      <c r="AD175">
        <v>1481978</v>
      </c>
      <c r="AE175">
        <v>36.74</v>
      </c>
    </row>
    <row r="176" spans="1:31" x14ac:dyDescent="0.2">
      <c r="A176" t="s">
        <v>518</v>
      </c>
      <c r="B176" t="s">
        <v>519</v>
      </c>
      <c r="C176" t="s">
        <v>22</v>
      </c>
      <c r="D176" t="s">
        <v>520</v>
      </c>
      <c r="E176" t="s">
        <v>521</v>
      </c>
      <c r="F176" t="s">
        <v>522</v>
      </c>
      <c r="G176" t="s">
        <v>22</v>
      </c>
      <c r="H176" t="s">
        <v>22</v>
      </c>
      <c r="I176" t="s">
        <v>22</v>
      </c>
      <c r="J176" t="s">
        <v>523</v>
      </c>
      <c r="K176" t="s">
        <v>22</v>
      </c>
      <c r="L176" t="s">
        <v>524</v>
      </c>
      <c r="N176" t="s">
        <v>895</v>
      </c>
      <c r="O176" t="s">
        <v>865</v>
      </c>
      <c r="P176" t="s">
        <v>22</v>
      </c>
      <c r="Q176" t="s">
        <v>527</v>
      </c>
      <c r="R176">
        <v>5081096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5081096</v>
      </c>
      <c r="Z176">
        <v>1894842</v>
      </c>
      <c r="AA176">
        <v>1894842</v>
      </c>
      <c r="AB176">
        <v>1894842</v>
      </c>
      <c r="AC176">
        <v>1894842</v>
      </c>
      <c r="AD176">
        <v>3186254</v>
      </c>
      <c r="AE176">
        <v>37.29</v>
      </c>
    </row>
    <row r="177" spans="1:31" x14ac:dyDescent="0.2">
      <c r="A177" t="s">
        <v>518</v>
      </c>
      <c r="B177" t="s">
        <v>866</v>
      </c>
      <c r="C177" t="s">
        <v>867</v>
      </c>
      <c r="D177" t="s">
        <v>868</v>
      </c>
      <c r="E177" t="s">
        <v>869</v>
      </c>
      <c r="F177" t="s">
        <v>870</v>
      </c>
      <c r="G177" t="s">
        <v>871</v>
      </c>
      <c r="H177" t="s">
        <v>872</v>
      </c>
      <c r="I177" t="s">
        <v>22</v>
      </c>
      <c r="J177" t="s">
        <v>523</v>
      </c>
      <c r="K177" t="s">
        <v>22</v>
      </c>
      <c r="L177" t="s">
        <v>524</v>
      </c>
      <c r="N177" t="s">
        <v>896</v>
      </c>
      <c r="O177" t="s">
        <v>897</v>
      </c>
      <c r="P177" t="s">
        <v>238</v>
      </c>
      <c r="Q177" t="s">
        <v>805</v>
      </c>
      <c r="R177">
        <v>5081096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5081096</v>
      </c>
      <c r="Z177">
        <v>1894842</v>
      </c>
      <c r="AA177">
        <v>1894842</v>
      </c>
      <c r="AB177">
        <v>1894842</v>
      </c>
      <c r="AC177">
        <v>1894842</v>
      </c>
      <c r="AD177">
        <v>3186254</v>
      </c>
      <c r="AE177">
        <v>37.29</v>
      </c>
    </row>
    <row r="178" spans="1:31" x14ac:dyDescent="0.2">
      <c r="A178" t="s">
        <v>518</v>
      </c>
      <c r="B178" t="s">
        <v>519</v>
      </c>
      <c r="C178" t="s">
        <v>22</v>
      </c>
      <c r="D178" t="s">
        <v>520</v>
      </c>
      <c r="E178" t="s">
        <v>521</v>
      </c>
      <c r="F178" t="s">
        <v>522</v>
      </c>
      <c r="G178" t="s">
        <v>22</v>
      </c>
      <c r="H178" t="s">
        <v>22</v>
      </c>
      <c r="I178" t="s">
        <v>22</v>
      </c>
      <c r="J178" t="s">
        <v>523</v>
      </c>
      <c r="K178" t="s">
        <v>22</v>
      </c>
      <c r="L178" t="s">
        <v>524</v>
      </c>
      <c r="N178" t="s">
        <v>898</v>
      </c>
      <c r="O178" t="s">
        <v>876</v>
      </c>
      <c r="P178" t="s">
        <v>22</v>
      </c>
      <c r="Q178" t="s">
        <v>527</v>
      </c>
      <c r="R178">
        <v>5081096</v>
      </c>
      <c r="S178">
        <v>4843662</v>
      </c>
      <c r="T178">
        <v>4843662</v>
      </c>
      <c r="U178">
        <v>0</v>
      </c>
      <c r="V178">
        <v>0</v>
      </c>
      <c r="W178">
        <v>0</v>
      </c>
      <c r="X178">
        <v>0</v>
      </c>
      <c r="Y178">
        <v>5081096</v>
      </c>
      <c r="Z178">
        <v>1937184</v>
      </c>
      <c r="AA178">
        <v>1937184</v>
      </c>
      <c r="AB178">
        <v>1937184</v>
      </c>
      <c r="AC178">
        <v>1937184</v>
      </c>
      <c r="AD178">
        <v>3143912</v>
      </c>
      <c r="AE178">
        <v>38.130000000000003</v>
      </c>
    </row>
    <row r="179" spans="1:31" x14ac:dyDescent="0.2">
      <c r="A179" t="s">
        <v>518</v>
      </c>
      <c r="B179" t="s">
        <v>877</v>
      </c>
      <c r="C179" t="s">
        <v>878</v>
      </c>
      <c r="D179" t="s">
        <v>879</v>
      </c>
      <c r="E179" t="s">
        <v>880</v>
      </c>
      <c r="F179" t="s">
        <v>881</v>
      </c>
      <c r="G179" t="s">
        <v>882</v>
      </c>
      <c r="H179" t="s">
        <v>883</v>
      </c>
      <c r="I179" t="s">
        <v>22</v>
      </c>
      <c r="J179" t="s">
        <v>523</v>
      </c>
      <c r="K179" t="s">
        <v>22</v>
      </c>
      <c r="L179" t="s">
        <v>524</v>
      </c>
      <c r="N179" t="s">
        <v>899</v>
      </c>
      <c r="O179" t="s">
        <v>900</v>
      </c>
      <c r="P179" t="s">
        <v>242</v>
      </c>
      <c r="Q179" t="s">
        <v>541</v>
      </c>
      <c r="R179">
        <v>5081096</v>
      </c>
      <c r="S179">
        <v>0</v>
      </c>
      <c r="T179">
        <v>4843662</v>
      </c>
      <c r="U179">
        <v>0</v>
      </c>
      <c r="V179">
        <v>0</v>
      </c>
      <c r="W179">
        <v>0</v>
      </c>
      <c r="X179">
        <v>0</v>
      </c>
      <c r="Y179">
        <v>237434</v>
      </c>
      <c r="Z179">
        <v>237434</v>
      </c>
      <c r="AA179">
        <v>237434</v>
      </c>
      <c r="AB179">
        <v>237434</v>
      </c>
      <c r="AC179">
        <v>237434</v>
      </c>
      <c r="AD179">
        <v>0</v>
      </c>
      <c r="AE179">
        <v>100</v>
      </c>
    </row>
    <row r="180" spans="1:31" x14ac:dyDescent="0.2">
      <c r="A180" t="s">
        <v>518</v>
      </c>
      <c r="B180" t="s">
        <v>877</v>
      </c>
      <c r="C180" t="s">
        <v>878</v>
      </c>
      <c r="D180" t="s">
        <v>879</v>
      </c>
      <c r="E180" t="s">
        <v>880</v>
      </c>
      <c r="F180" t="s">
        <v>881</v>
      </c>
      <c r="G180" t="s">
        <v>882</v>
      </c>
      <c r="H180" t="s">
        <v>883</v>
      </c>
      <c r="I180" t="s">
        <v>22</v>
      </c>
      <c r="J180" t="s">
        <v>523</v>
      </c>
      <c r="K180" t="s">
        <v>22</v>
      </c>
      <c r="L180" t="s">
        <v>524</v>
      </c>
      <c r="N180" t="s">
        <v>901</v>
      </c>
      <c r="O180" t="s">
        <v>900</v>
      </c>
      <c r="P180" t="s">
        <v>477</v>
      </c>
      <c r="Q180" t="s">
        <v>902</v>
      </c>
      <c r="R180">
        <v>0</v>
      </c>
      <c r="S180">
        <v>3823367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3823367</v>
      </c>
      <c r="Z180">
        <v>1627718</v>
      </c>
      <c r="AA180">
        <v>1627718</v>
      </c>
      <c r="AB180">
        <v>1627718</v>
      </c>
      <c r="AC180">
        <v>1627718</v>
      </c>
      <c r="AD180">
        <v>2195649</v>
      </c>
      <c r="AE180">
        <v>42.57</v>
      </c>
    </row>
    <row r="181" spans="1:31" x14ac:dyDescent="0.2">
      <c r="A181" t="s">
        <v>518</v>
      </c>
      <c r="B181" t="s">
        <v>877</v>
      </c>
      <c r="C181" t="s">
        <v>878</v>
      </c>
      <c r="D181" t="s">
        <v>879</v>
      </c>
      <c r="E181" t="s">
        <v>880</v>
      </c>
      <c r="F181" t="s">
        <v>881</v>
      </c>
      <c r="G181" t="s">
        <v>882</v>
      </c>
      <c r="H181" t="s">
        <v>883</v>
      </c>
      <c r="I181" t="s">
        <v>22</v>
      </c>
      <c r="J181" t="s">
        <v>523</v>
      </c>
      <c r="K181" t="s">
        <v>22</v>
      </c>
      <c r="L181" t="s">
        <v>524</v>
      </c>
      <c r="N181" t="s">
        <v>903</v>
      </c>
      <c r="O181" t="s">
        <v>900</v>
      </c>
      <c r="P181" t="s">
        <v>461</v>
      </c>
      <c r="Q181" t="s">
        <v>904</v>
      </c>
      <c r="R181">
        <v>0</v>
      </c>
      <c r="S181">
        <v>1020295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1020295</v>
      </c>
      <c r="Z181">
        <v>72032</v>
      </c>
      <c r="AA181">
        <v>72032</v>
      </c>
      <c r="AB181">
        <v>72032</v>
      </c>
      <c r="AC181">
        <v>72032</v>
      </c>
      <c r="AD181">
        <v>948263</v>
      </c>
      <c r="AE181">
        <v>7.06</v>
      </c>
    </row>
    <row r="182" spans="1:31" x14ac:dyDescent="0.2">
      <c r="A182" t="s">
        <v>518</v>
      </c>
      <c r="B182" t="s">
        <v>519</v>
      </c>
      <c r="C182" t="s">
        <v>22</v>
      </c>
      <c r="D182" t="s">
        <v>520</v>
      </c>
      <c r="E182" t="s">
        <v>521</v>
      </c>
      <c r="F182" t="s">
        <v>522</v>
      </c>
      <c r="G182" t="s">
        <v>22</v>
      </c>
      <c r="H182" t="s">
        <v>22</v>
      </c>
      <c r="I182" t="s">
        <v>22</v>
      </c>
      <c r="J182" t="s">
        <v>523</v>
      </c>
      <c r="K182" t="s">
        <v>22</v>
      </c>
      <c r="L182" t="s">
        <v>524</v>
      </c>
      <c r="N182" t="s">
        <v>905</v>
      </c>
      <c r="O182" t="s">
        <v>906</v>
      </c>
      <c r="P182" t="s">
        <v>22</v>
      </c>
      <c r="Q182" t="s">
        <v>527</v>
      </c>
      <c r="R182">
        <v>25680000</v>
      </c>
      <c r="S182">
        <v>14311982</v>
      </c>
      <c r="T182">
        <v>14311982</v>
      </c>
      <c r="U182">
        <v>0</v>
      </c>
      <c r="V182">
        <v>0</v>
      </c>
      <c r="W182">
        <v>0</v>
      </c>
      <c r="X182">
        <v>0</v>
      </c>
      <c r="Y182">
        <v>25680000</v>
      </c>
      <c r="Z182">
        <v>11508189</v>
      </c>
      <c r="AA182">
        <v>11508189</v>
      </c>
      <c r="AB182">
        <v>11508189</v>
      </c>
      <c r="AC182">
        <v>11508189</v>
      </c>
      <c r="AD182">
        <v>14171811</v>
      </c>
      <c r="AE182">
        <v>44.81</v>
      </c>
    </row>
    <row r="183" spans="1:31" x14ac:dyDescent="0.2">
      <c r="A183" t="s">
        <v>518</v>
      </c>
      <c r="B183" t="s">
        <v>519</v>
      </c>
      <c r="C183" t="s">
        <v>22</v>
      </c>
      <c r="D183" t="s">
        <v>520</v>
      </c>
      <c r="E183" t="s">
        <v>521</v>
      </c>
      <c r="F183" t="s">
        <v>522</v>
      </c>
      <c r="G183" t="s">
        <v>22</v>
      </c>
      <c r="H183" t="s">
        <v>22</v>
      </c>
      <c r="I183" t="s">
        <v>22</v>
      </c>
      <c r="J183" t="s">
        <v>523</v>
      </c>
      <c r="K183" t="s">
        <v>22</v>
      </c>
      <c r="L183" t="s">
        <v>524</v>
      </c>
      <c r="N183" t="s">
        <v>907</v>
      </c>
      <c r="O183" t="s">
        <v>852</v>
      </c>
      <c r="P183" t="s">
        <v>22</v>
      </c>
      <c r="Q183" t="s">
        <v>527</v>
      </c>
      <c r="R183">
        <v>5136000</v>
      </c>
      <c r="S183">
        <v>4637810</v>
      </c>
      <c r="T183">
        <v>4637810</v>
      </c>
      <c r="U183">
        <v>0</v>
      </c>
      <c r="V183">
        <v>0</v>
      </c>
      <c r="W183">
        <v>0</v>
      </c>
      <c r="X183">
        <v>0</v>
      </c>
      <c r="Y183">
        <v>5136000</v>
      </c>
      <c r="Z183">
        <v>2490950</v>
      </c>
      <c r="AA183">
        <v>2490950</v>
      </c>
      <c r="AB183">
        <v>2490950</v>
      </c>
      <c r="AC183">
        <v>2490950</v>
      </c>
      <c r="AD183">
        <v>2645050</v>
      </c>
      <c r="AE183">
        <v>48.5</v>
      </c>
    </row>
    <row r="184" spans="1:31" x14ac:dyDescent="0.2">
      <c r="A184" t="s">
        <v>518</v>
      </c>
      <c r="B184" t="s">
        <v>853</v>
      </c>
      <c r="C184" t="s">
        <v>854</v>
      </c>
      <c r="D184" t="s">
        <v>855</v>
      </c>
      <c r="E184" t="s">
        <v>856</v>
      </c>
      <c r="F184" t="s">
        <v>857</v>
      </c>
      <c r="G184" t="s">
        <v>858</v>
      </c>
      <c r="H184" t="s">
        <v>859</v>
      </c>
      <c r="I184" t="s">
        <v>22</v>
      </c>
      <c r="J184" t="s">
        <v>523</v>
      </c>
      <c r="K184" t="s">
        <v>22</v>
      </c>
      <c r="L184" t="s">
        <v>524</v>
      </c>
      <c r="N184" t="s">
        <v>908</v>
      </c>
      <c r="O184" t="s">
        <v>909</v>
      </c>
      <c r="P184" t="s">
        <v>242</v>
      </c>
      <c r="Q184" t="s">
        <v>541</v>
      </c>
      <c r="R184">
        <v>5136000</v>
      </c>
      <c r="S184">
        <v>0</v>
      </c>
      <c r="T184">
        <v>4637810</v>
      </c>
      <c r="U184">
        <v>0</v>
      </c>
      <c r="V184">
        <v>0</v>
      </c>
      <c r="W184">
        <v>0</v>
      </c>
      <c r="X184">
        <v>0</v>
      </c>
      <c r="Y184">
        <v>498190</v>
      </c>
      <c r="Z184">
        <v>498190</v>
      </c>
      <c r="AA184">
        <v>498190</v>
      </c>
      <c r="AB184">
        <v>498190</v>
      </c>
      <c r="AC184">
        <v>498190</v>
      </c>
      <c r="AD184">
        <v>0</v>
      </c>
      <c r="AE184">
        <v>100</v>
      </c>
    </row>
    <row r="185" spans="1:31" x14ac:dyDescent="0.2">
      <c r="A185" t="s">
        <v>518</v>
      </c>
      <c r="B185" t="s">
        <v>853</v>
      </c>
      <c r="C185" t="s">
        <v>854</v>
      </c>
      <c r="D185" t="s">
        <v>855</v>
      </c>
      <c r="E185" t="s">
        <v>856</v>
      </c>
      <c r="F185" t="s">
        <v>857</v>
      </c>
      <c r="G185" t="s">
        <v>858</v>
      </c>
      <c r="H185" t="s">
        <v>859</v>
      </c>
      <c r="I185" t="s">
        <v>22</v>
      </c>
      <c r="J185" t="s">
        <v>523</v>
      </c>
      <c r="K185" t="s">
        <v>22</v>
      </c>
      <c r="L185" t="s">
        <v>524</v>
      </c>
      <c r="N185" t="s">
        <v>910</v>
      </c>
      <c r="O185" t="s">
        <v>909</v>
      </c>
      <c r="P185" t="s">
        <v>483</v>
      </c>
      <c r="Q185" t="s">
        <v>863</v>
      </c>
      <c r="R185">
        <v>0</v>
      </c>
      <c r="S185">
        <v>4637810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4637810</v>
      </c>
      <c r="Z185">
        <v>1992760</v>
      </c>
      <c r="AA185">
        <v>1992760</v>
      </c>
      <c r="AB185">
        <v>1992760</v>
      </c>
      <c r="AC185">
        <v>1992760</v>
      </c>
      <c r="AD185">
        <v>2645050</v>
      </c>
      <c r="AE185">
        <v>42.97</v>
      </c>
    </row>
    <row r="186" spans="1:31" x14ac:dyDescent="0.2">
      <c r="A186" t="s">
        <v>518</v>
      </c>
      <c r="B186" t="s">
        <v>519</v>
      </c>
      <c r="C186" t="s">
        <v>22</v>
      </c>
      <c r="D186" t="s">
        <v>520</v>
      </c>
      <c r="E186" t="s">
        <v>521</v>
      </c>
      <c r="F186" t="s">
        <v>522</v>
      </c>
      <c r="G186" t="s">
        <v>22</v>
      </c>
      <c r="H186" t="s">
        <v>22</v>
      </c>
      <c r="I186" t="s">
        <v>22</v>
      </c>
      <c r="J186" t="s">
        <v>523</v>
      </c>
      <c r="K186" t="s">
        <v>22</v>
      </c>
      <c r="L186" t="s">
        <v>524</v>
      </c>
      <c r="N186" t="s">
        <v>911</v>
      </c>
      <c r="O186" t="s">
        <v>865</v>
      </c>
      <c r="P186" t="s">
        <v>22</v>
      </c>
      <c r="Q186" t="s">
        <v>527</v>
      </c>
      <c r="R186">
        <v>10272000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10272000</v>
      </c>
      <c r="Z186">
        <v>4458801</v>
      </c>
      <c r="AA186">
        <v>4458801</v>
      </c>
      <c r="AB186">
        <v>4458801</v>
      </c>
      <c r="AC186">
        <v>4458801</v>
      </c>
      <c r="AD186">
        <v>5813199</v>
      </c>
      <c r="AE186">
        <v>43.41</v>
      </c>
    </row>
    <row r="187" spans="1:31" x14ac:dyDescent="0.2">
      <c r="A187" t="s">
        <v>518</v>
      </c>
      <c r="B187" t="s">
        <v>866</v>
      </c>
      <c r="C187" t="s">
        <v>867</v>
      </c>
      <c r="D187" t="s">
        <v>868</v>
      </c>
      <c r="E187" t="s">
        <v>869</v>
      </c>
      <c r="F187" t="s">
        <v>870</v>
      </c>
      <c r="G187" t="s">
        <v>871</v>
      </c>
      <c r="H187" t="s">
        <v>872</v>
      </c>
      <c r="I187" t="s">
        <v>22</v>
      </c>
      <c r="J187" t="s">
        <v>523</v>
      </c>
      <c r="K187" t="s">
        <v>22</v>
      </c>
      <c r="L187" t="s">
        <v>524</v>
      </c>
      <c r="N187" t="s">
        <v>912</v>
      </c>
      <c r="O187" t="s">
        <v>913</v>
      </c>
      <c r="P187" t="s">
        <v>238</v>
      </c>
      <c r="Q187" t="s">
        <v>805</v>
      </c>
      <c r="R187">
        <v>10272000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10272000</v>
      </c>
      <c r="Z187">
        <v>4458801</v>
      </c>
      <c r="AA187">
        <v>4458801</v>
      </c>
      <c r="AB187">
        <v>4458801</v>
      </c>
      <c r="AC187">
        <v>4458801</v>
      </c>
      <c r="AD187">
        <v>5813199</v>
      </c>
      <c r="AE187">
        <v>43.41</v>
      </c>
    </row>
    <row r="188" spans="1:31" x14ac:dyDescent="0.2">
      <c r="A188" t="s">
        <v>518</v>
      </c>
      <c r="B188" t="s">
        <v>519</v>
      </c>
      <c r="C188" t="s">
        <v>22</v>
      </c>
      <c r="D188" t="s">
        <v>520</v>
      </c>
      <c r="E188" t="s">
        <v>521</v>
      </c>
      <c r="F188" t="s">
        <v>522</v>
      </c>
      <c r="G188" t="s">
        <v>22</v>
      </c>
      <c r="H188" t="s">
        <v>22</v>
      </c>
      <c r="I188" t="s">
        <v>22</v>
      </c>
      <c r="J188" t="s">
        <v>523</v>
      </c>
      <c r="K188" t="s">
        <v>22</v>
      </c>
      <c r="L188" t="s">
        <v>524</v>
      </c>
      <c r="N188" t="s">
        <v>914</v>
      </c>
      <c r="O188" t="s">
        <v>876</v>
      </c>
      <c r="P188" t="s">
        <v>22</v>
      </c>
      <c r="Q188" t="s">
        <v>527</v>
      </c>
      <c r="R188">
        <v>10272000</v>
      </c>
      <c r="S188">
        <v>9674172</v>
      </c>
      <c r="T188">
        <v>9674172</v>
      </c>
      <c r="U188">
        <v>0</v>
      </c>
      <c r="V188">
        <v>0</v>
      </c>
      <c r="W188">
        <v>0</v>
      </c>
      <c r="X188">
        <v>0</v>
      </c>
      <c r="Y188">
        <v>10272000</v>
      </c>
      <c r="Z188">
        <v>4558438</v>
      </c>
      <c r="AA188">
        <v>4558438</v>
      </c>
      <c r="AB188">
        <v>4558438</v>
      </c>
      <c r="AC188">
        <v>4558438</v>
      </c>
      <c r="AD188">
        <v>5713562</v>
      </c>
      <c r="AE188">
        <v>44.38</v>
      </c>
    </row>
    <row r="189" spans="1:31" x14ac:dyDescent="0.2">
      <c r="A189" t="s">
        <v>518</v>
      </c>
      <c r="B189" t="s">
        <v>877</v>
      </c>
      <c r="C189" t="s">
        <v>878</v>
      </c>
      <c r="D189" t="s">
        <v>879</v>
      </c>
      <c r="E189" t="s">
        <v>880</v>
      </c>
      <c r="F189" t="s">
        <v>881</v>
      </c>
      <c r="G189" t="s">
        <v>882</v>
      </c>
      <c r="H189" t="s">
        <v>883</v>
      </c>
      <c r="I189" t="s">
        <v>22</v>
      </c>
      <c r="J189" t="s">
        <v>523</v>
      </c>
      <c r="K189" t="s">
        <v>22</v>
      </c>
      <c r="L189" t="s">
        <v>524</v>
      </c>
      <c r="N189" t="s">
        <v>915</v>
      </c>
      <c r="O189" t="s">
        <v>916</v>
      </c>
      <c r="P189" t="s">
        <v>242</v>
      </c>
      <c r="Q189" t="s">
        <v>541</v>
      </c>
      <c r="R189">
        <v>10272000</v>
      </c>
      <c r="S189">
        <v>0</v>
      </c>
      <c r="T189">
        <v>9674172</v>
      </c>
      <c r="U189">
        <v>0</v>
      </c>
      <c r="V189">
        <v>0</v>
      </c>
      <c r="W189">
        <v>0</v>
      </c>
      <c r="X189">
        <v>0</v>
      </c>
      <c r="Y189">
        <v>597828</v>
      </c>
      <c r="Z189">
        <v>597828</v>
      </c>
      <c r="AA189">
        <v>597828</v>
      </c>
      <c r="AB189">
        <v>597828</v>
      </c>
      <c r="AC189">
        <v>597828</v>
      </c>
      <c r="AD189">
        <v>0</v>
      </c>
      <c r="AE189">
        <v>100</v>
      </c>
    </row>
    <row r="190" spans="1:31" x14ac:dyDescent="0.2">
      <c r="A190" t="s">
        <v>518</v>
      </c>
      <c r="B190" t="s">
        <v>877</v>
      </c>
      <c r="C190" t="s">
        <v>878</v>
      </c>
      <c r="D190" t="s">
        <v>879</v>
      </c>
      <c r="E190" t="s">
        <v>880</v>
      </c>
      <c r="F190" t="s">
        <v>881</v>
      </c>
      <c r="G190" t="s">
        <v>882</v>
      </c>
      <c r="H190" t="s">
        <v>883</v>
      </c>
      <c r="I190" t="s">
        <v>22</v>
      </c>
      <c r="J190" t="s">
        <v>523</v>
      </c>
      <c r="K190" t="s">
        <v>22</v>
      </c>
      <c r="L190" t="s">
        <v>524</v>
      </c>
      <c r="N190" t="s">
        <v>917</v>
      </c>
      <c r="O190" t="s">
        <v>916</v>
      </c>
      <c r="P190" t="s">
        <v>477</v>
      </c>
      <c r="Q190" t="s">
        <v>902</v>
      </c>
      <c r="R190">
        <v>0</v>
      </c>
      <c r="S190">
        <v>9674172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9674172</v>
      </c>
      <c r="Z190">
        <v>3960610</v>
      </c>
      <c r="AA190">
        <v>3960610</v>
      </c>
      <c r="AB190">
        <v>3960610</v>
      </c>
      <c r="AC190">
        <v>3960610</v>
      </c>
      <c r="AD190">
        <v>5713562</v>
      </c>
      <c r="AE190">
        <v>40.94</v>
      </c>
    </row>
    <row r="191" spans="1:31" x14ac:dyDescent="0.2">
      <c r="A191" t="s">
        <v>518</v>
      </c>
      <c r="B191" t="s">
        <v>519</v>
      </c>
      <c r="C191" t="s">
        <v>22</v>
      </c>
      <c r="D191" t="s">
        <v>520</v>
      </c>
      <c r="E191" t="s">
        <v>521</v>
      </c>
      <c r="F191" t="s">
        <v>522</v>
      </c>
      <c r="G191" t="s">
        <v>22</v>
      </c>
      <c r="H191" t="s">
        <v>22</v>
      </c>
      <c r="I191" t="s">
        <v>22</v>
      </c>
      <c r="J191" t="s">
        <v>523</v>
      </c>
      <c r="K191" t="s">
        <v>22</v>
      </c>
      <c r="L191" t="s">
        <v>524</v>
      </c>
      <c r="N191" t="s">
        <v>918</v>
      </c>
      <c r="O191" t="s">
        <v>919</v>
      </c>
      <c r="P191" t="s">
        <v>22</v>
      </c>
      <c r="Q191" t="s">
        <v>527</v>
      </c>
      <c r="R191">
        <v>16850603</v>
      </c>
      <c r="S191">
        <v>10119032</v>
      </c>
      <c r="T191">
        <v>10119032</v>
      </c>
      <c r="U191">
        <v>0</v>
      </c>
      <c r="V191">
        <v>0</v>
      </c>
      <c r="W191">
        <v>0</v>
      </c>
      <c r="X191">
        <v>0</v>
      </c>
      <c r="Y191">
        <v>16850603</v>
      </c>
      <c r="Z191">
        <v>442237</v>
      </c>
      <c r="AA191">
        <v>442237</v>
      </c>
      <c r="AB191">
        <v>442237</v>
      </c>
      <c r="AC191">
        <v>442237</v>
      </c>
      <c r="AD191">
        <v>16408366</v>
      </c>
      <c r="AE191">
        <v>2.62</v>
      </c>
    </row>
    <row r="192" spans="1:31" x14ac:dyDescent="0.2">
      <c r="A192" t="s">
        <v>518</v>
      </c>
      <c r="B192" t="s">
        <v>519</v>
      </c>
      <c r="C192" t="s">
        <v>22</v>
      </c>
      <c r="D192" t="s">
        <v>520</v>
      </c>
      <c r="E192" t="s">
        <v>521</v>
      </c>
      <c r="F192" t="s">
        <v>522</v>
      </c>
      <c r="G192" t="s">
        <v>22</v>
      </c>
      <c r="H192" t="s">
        <v>22</v>
      </c>
      <c r="I192" t="s">
        <v>22</v>
      </c>
      <c r="J192" t="s">
        <v>523</v>
      </c>
      <c r="K192" t="s">
        <v>22</v>
      </c>
      <c r="L192" t="s">
        <v>524</v>
      </c>
      <c r="N192" t="s">
        <v>920</v>
      </c>
      <c r="O192" t="s">
        <v>852</v>
      </c>
      <c r="P192" t="s">
        <v>22</v>
      </c>
      <c r="Q192" t="s">
        <v>527</v>
      </c>
      <c r="R192">
        <v>2357331</v>
      </c>
      <c r="S192">
        <v>2357331</v>
      </c>
      <c r="T192">
        <v>2357331</v>
      </c>
      <c r="U192">
        <v>0</v>
      </c>
      <c r="V192">
        <v>0</v>
      </c>
      <c r="W192">
        <v>0</v>
      </c>
      <c r="X192">
        <v>0</v>
      </c>
      <c r="Y192">
        <v>2357331</v>
      </c>
      <c r="Z192">
        <v>0</v>
      </c>
      <c r="AA192">
        <v>0</v>
      </c>
      <c r="AB192">
        <v>0</v>
      </c>
      <c r="AC192">
        <v>0</v>
      </c>
      <c r="AD192">
        <v>2357331</v>
      </c>
      <c r="AE192">
        <v>0</v>
      </c>
    </row>
    <row r="193" spans="1:31" x14ac:dyDescent="0.2">
      <c r="A193" t="s">
        <v>518</v>
      </c>
      <c r="B193" t="s">
        <v>853</v>
      </c>
      <c r="C193" t="s">
        <v>854</v>
      </c>
      <c r="D193" t="s">
        <v>855</v>
      </c>
      <c r="E193" t="s">
        <v>856</v>
      </c>
      <c r="F193" t="s">
        <v>857</v>
      </c>
      <c r="G193" t="s">
        <v>858</v>
      </c>
      <c r="H193" t="s">
        <v>859</v>
      </c>
      <c r="I193" t="s">
        <v>22</v>
      </c>
      <c r="J193" t="s">
        <v>523</v>
      </c>
      <c r="K193" t="s">
        <v>22</v>
      </c>
      <c r="L193" t="s">
        <v>524</v>
      </c>
      <c r="N193" t="s">
        <v>921</v>
      </c>
      <c r="O193" t="s">
        <v>922</v>
      </c>
      <c r="P193" t="s">
        <v>242</v>
      </c>
      <c r="Q193" t="s">
        <v>541</v>
      </c>
      <c r="R193">
        <v>2357331</v>
      </c>
      <c r="S193">
        <v>0</v>
      </c>
      <c r="T193">
        <v>2357331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</row>
    <row r="194" spans="1:31" x14ac:dyDescent="0.2">
      <c r="A194" t="s">
        <v>518</v>
      </c>
      <c r="B194" t="s">
        <v>853</v>
      </c>
      <c r="C194" t="s">
        <v>854</v>
      </c>
      <c r="D194" t="s">
        <v>855</v>
      </c>
      <c r="E194" t="s">
        <v>856</v>
      </c>
      <c r="F194" t="s">
        <v>857</v>
      </c>
      <c r="G194" t="s">
        <v>858</v>
      </c>
      <c r="H194" t="s">
        <v>859</v>
      </c>
      <c r="I194" t="s">
        <v>22</v>
      </c>
      <c r="J194" t="s">
        <v>523</v>
      </c>
      <c r="K194" t="s">
        <v>22</v>
      </c>
      <c r="L194" t="s">
        <v>524</v>
      </c>
      <c r="N194" t="s">
        <v>923</v>
      </c>
      <c r="O194" t="s">
        <v>922</v>
      </c>
      <c r="P194" t="s">
        <v>483</v>
      </c>
      <c r="Q194" t="s">
        <v>863</v>
      </c>
      <c r="R194">
        <v>0</v>
      </c>
      <c r="S194">
        <v>2357331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2357331</v>
      </c>
      <c r="Z194">
        <v>0</v>
      </c>
      <c r="AA194">
        <v>0</v>
      </c>
      <c r="AB194">
        <v>0</v>
      </c>
      <c r="AC194">
        <v>0</v>
      </c>
      <c r="AD194">
        <v>2357331</v>
      </c>
      <c r="AE194">
        <v>0</v>
      </c>
    </row>
    <row r="195" spans="1:31" x14ac:dyDescent="0.2">
      <c r="A195" t="s">
        <v>518</v>
      </c>
      <c r="B195" t="s">
        <v>519</v>
      </c>
      <c r="C195" t="s">
        <v>22</v>
      </c>
      <c r="D195" t="s">
        <v>520</v>
      </c>
      <c r="E195" t="s">
        <v>521</v>
      </c>
      <c r="F195" t="s">
        <v>522</v>
      </c>
      <c r="G195" t="s">
        <v>22</v>
      </c>
      <c r="H195" t="s">
        <v>22</v>
      </c>
      <c r="I195" t="s">
        <v>22</v>
      </c>
      <c r="J195" t="s">
        <v>523</v>
      </c>
      <c r="K195" t="s">
        <v>22</v>
      </c>
      <c r="L195" t="s">
        <v>524</v>
      </c>
      <c r="N195" t="s">
        <v>924</v>
      </c>
      <c r="O195" t="s">
        <v>865</v>
      </c>
      <c r="P195" t="s">
        <v>22</v>
      </c>
      <c r="Q195" t="s">
        <v>527</v>
      </c>
      <c r="R195">
        <v>6731571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6731571</v>
      </c>
      <c r="Z195">
        <v>0</v>
      </c>
      <c r="AA195">
        <v>0</v>
      </c>
      <c r="AB195">
        <v>0</v>
      </c>
      <c r="AC195">
        <v>0</v>
      </c>
      <c r="AD195">
        <v>6731571</v>
      </c>
      <c r="AE195">
        <v>0</v>
      </c>
    </row>
    <row r="196" spans="1:31" x14ac:dyDescent="0.2">
      <c r="A196" t="s">
        <v>518</v>
      </c>
      <c r="B196" t="s">
        <v>866</v>
      </c>
      <c r="C196" t="s">
        <v>867</v>
      </c>
      <c r="D196" t="s">
        <v>868</v>
      </c>
      <c r="E196" t="s">
        <v>869</v>
      </c>
      <c r="F196" t="s">
        <v>870</v>
      </c>
      <c r="G196" t="s">
        <v>871</v>
      </c>
      <c r="H196" t="s">
        <v>872</v>
      </c>
      <c r="I196" t="s">
        <v>22</v>
      </c>
      <c r="J196" t="s">
        <v>523</v>
      </c>
      <c r="K196" t="s">
        <v>22</v>
      </c>
      <c r="L196" t="s">
        <v>524</v>
      </c>
      <c r="N196" t="s">
        <v>925</v>
      </c>
      <c r="O196" t="s">
        <v>926</v>
      </c>
      <c r="P196" t="s">
        <v>238</v>
      </c>
      <c r="Q196" t="s">
        <v>805</v>
      </c>
      <c r="R196">
        <v>6731571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6731571</v>
      </c>
      <c r="Z196">
        <v>0</v>
      </c>
      <c r="AA196">
        <v>0</v>
      </c>
      <c r="AB196">
        <v>0</v>
      </c>
      <c r="AC196">
        <v>0</v>
      </c>
      <c r="AD196">
        <v>6731571</v>
      </c>
      <c r="AE196">
        <v>0</v>
      </c>
    </row>
    <row r="197" spans="1:31" x14ac:dyDescent="0.2">
      <c r="A197" t="s">
        <v>518</v>
      </c>
      <c r="B197" t="s">
        <v>519</v>
      </c>
      <c r="C197" t="s">
        <v>22</v>
      </c>
      <c r="D197" t="s">
        <v>520</v>
      </c>
      <c r="E197" t="s">
        <v>521</v>
      </c>
      <c r="F197" t="s">
        <v>522</v>
      </c>
      <c r="G197" t="s">
        <v>22</v>
      </c>
      <c r="H197" t="s">
        <v>22</v>
      </c>
      <c r="I197" t="s">
        <v>22</v>
      </c>
      <c r="J197" t="s">
        <v>523</v>
      </c>
      <c r="K197" t="s">
        <v>22</v>
      </c>
      <c r="L197" t="s">
        <v>524</v>
      </c>
      <c r="N197" t="s">
        <v>927</v>
      </c>
      <c r="O197" t="s">
        <v>876</v>
      </c>
      <c r="P197" t="s">
        <v>22</v>
      </c>
      <c r="Q197" t="s">
        <v>527</v>
      </c>
      <c r="R197">
        <v>7761701</v>
      </c>
      <c r="S197">
        <v>7761701</v>
      </c>
      <c r="T197">
        <v>7761701</v>
      </c>
      <c r="U197">
        <v>0</v>
      </c>
      <c r="V197">
        <v>0</v>
      </c>
      <c r="W197">
        <v>0</v>
      </c>
      <c r="X197">
        <v>0</v>
      </c>
      <c r="Y197">
        <v>7761701</v>
      </c>
      <c r="Z197">
        <v>442237</v>
      </c>
      <c r="AA197">
        <v>442237</v>
      </c>
      <c r="AB197">
        <v>442237</v>
      </c>
      <c r="AC197">
        <v>442237</v>
      </c>
      <c r="AD197">
        <v>7319464</v>
      </c>
      <c r="AE197">
        <v>5.7</v>
      </c>
    </row>
    <row r="198" spans="1:31" x14ac:dyDescent="0.2">
      <c r="A198" t="s">
        <v>518</v>
      </c>
      <c r="B198" t="s">
        <v>877</v>
      </c>
      <c r="C198" t="s">
        <v>878</v>
      </c>
      <c r="D198" t="s">
        <v>879</v>
      </c>
      <c r="E198" t="s">
        <v>880</v>
      </c>
      <c r="F198" t="s">
        <v>881</v>
      </c>
      <c r="G198" t="s">
        <v>882</v>
      </c>
      <c r="H198" t="s">
        <v>883</v>
      </c>
      <c r="I198" t="s">
        <v>22</v>
      </c>
      <c r="J198" t="s">
        <v>523</v>
      </c>
      <c r="K198" t="s">
        <v>22</v>
      </c>
      <c r="L198" t="s">
        <v>524</v>
      </c>
      <c r="N198" t="s">
        <v>928</v>
      </c>
      <c r="O198" t="s">
        <v>929</v>
      </c>
      <c r="P198" t="s">
        <v>242</v>
      </c>
      <c r="Q198" t="s">
        <v>541</v>
      </c>
      <c r="R198">
        <v>7761701</v>
      </c>
      <c r="S198">
        <v>0</v>
      </c>
      <c r="T198">
        <v>7761701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</row>
    <row r="199" spans="1:31" x14ac:dyDescent="0.2">
      <c r="A199" t="s">
        <v>518</v>
      </c>
      <c r="B199" t="s">
        <v>877</v>
      </c>
      <c r="C199" t="s">
        <v>878</v>
      </c>
      <c r="D199" t="s">
        <v>879</v>
      </c>
      <c r="E199" t="s">
        <v>880</v>
      </c>
      <c r="F199" t="s">
        <v>881</v>
      </c>
      <c r="G199" t="s">
        <v>882</v>
      </c>
      <c r="H199" t="s">
        <v>883</v>
      </c>
      <c r="I199" t="s">
        <v>22</v>
      </c>
      <c r="J199" t="s">
        <v>523</v>
      </c>
      <c r="K199" t="s">
        <v>22</v>
      </c>
      <c r="L199" t="s">
        <v>524</v>
      </c>
      <c r="N199" t="s">
        <v>930</v>
      </c>
      <c r="O199" t="s">
        <v>929</v>
      </c>
      <c r="P199" t="s">
        <v>477</v>
      </c>
      <c r="Q199" t="s">
        <v>902</v>
      </c>
      <c r="R199">
        <v>0</v>
      </c>
      <c r="S199">
        <v>7761701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7761701</v>
      </c>
      <c r="Z199">
        <v>442237</v>
      </c>
      <c r="AA199">
        <v>442237</v>
      </c>
      <c r="AB199">
        <v>442237</v>
      </c>
      <c r="AC199">
        <v>442237</v>
      </c>
      <c r="AD199">
        <v>7319464</v>
      </c>
      <c r="AE199">
        <v>5.7</v>
      </c>
    </row>
    <row r="200" spans="1:31" x14ac:dyDescent="0.2">
      <c r="A200" t="s">
        <v>518</v>
      </c>
      <c r="B200" t="s">
        <v>519</v>
      </c>
      <c r="C200" t="s">
        <v>22</v>
      </c>
      <c r="D200" t="s">
        <v>520</v>
      </c>
      <c r="E200" t="s">
        <v>521</v>
      </c>
      <c r="F200" t="s">
        <v>522</v>
      </c>
      <c r="G200" t="s">
        <v>22</v>
      </c>
      <c r="H200" t="s">
        <v>22</v>
      </c>
      <c r="I200" t="s">
        <v>22</v>
      </c>
      <c r="J200" t="s">
        <v>523</v>
      </c>
      <c r="K200" t="s">
        <v>22</v>
      </c>
      <c r="L200" t="s">
        <v>524</v>
      </c>
      <c r="N200" t="s">
        <v>931</v>
      </c>
      <c r="O200" t="s">
        <v>932</v>
      </c>
      <c r="P200" t="s">
        <v>22</v>
      </c>
      <c r="Q200" t="s">
        <v>527</v>
      </c>
      <c r="R200">
        <v>14519729</v>
      </c>
      <c r="S200">
        <v>6461718</v>
      </c>
      <c r="T200">
        <v>6461718</v>
      </c>
      <c r="U200">
        <v>0</v>
      </c>
      <c r="V200">
        <v>0</v>
      </c>
      <c r="W200">
        <v>0</v>
      </c>
      <c r="X200">
        <v>0</v>
      </c>
      <c r="Y200">
        <v>14519729</v>
      </c>
      <c r="Z200">
        <v>5481888</v>
      </c>
      <c r="AA200">
        <v>5481888</v>
      </c>
      <c r="AB200">
        <v>5481888</v>
      </c>
      <c r="AC200">
        <v>5481888</v>
      </c>
      <c r="AD200">
        <v>9037841</v>
      </c>
      <c r="AE200">
        <v>37.75</v>
      </c>
    </row>
    <row r="201" spans="1:31" x14ac:dyDescent="0.2">
      <c r="A201" t="s">
        <v>518</v>
      </c>
      <c r="B201" t="s">
        <v>519</v>
      </c>
      <c r="C201" t="s">
        <v>22</v>
      </c>
      <c r="D201" t="s">
        <v>520</v>
      </c>
      <c r="E201" t="s">
        <v>521</v>
      </c>
      <c r="F201" t="s">
        <v>522</v>
      </c>
      <c r="G201" t="s">
        <v>22</v>
      </c>
      <c r="H201" t="s">
        <v>22</v>
      </c>
      <c r="I201" t="s">
        <v>22</v>
      </c>
      <c r="J201" t="s">
        <v>523</v>
      </c>
      <c r="K201" t="s">
        <v>22</v>
      </c>
      <c r="L201" t="s">
        <v>524</v>
      </c>
      <c r="N201" t="s">
        <v>933</v>
      </c>
      <c r="O201" t="s">
        <v>934</v>
      </c>
      <c r="P201" t="s">
        <v>22</v>
      </c>
      <c r="Q201" t="s">
        <v>527</v>
      </c>
      <c r="R201">
        <v>2161416</v>
      </c>
      <c r="S201">
        <v>2161416</v>
      </c>
      <c r="T201">
        <v>2161416</v>
      </c>
      <c r="U201">
        <v>0</v>
      </c>
      <c r="V201">
        <v>0</v>
      </c>
      <c r="W201">
        <v>0</v>
      </c>
      <c r="X201">
        <v>0</v>
      </c>
      <c r="Y201">
        <v>2161416</v>
      </c>
      <c r="Z201">
        <v>1462973</v>
      </c>
      <c r="AA201">
        <v>1462973</v>
      </c>
      <c r="AB201">
        <v>1462973</v>
      </c>
      <c r="AC201">
        <v>1462973</v>
      </c>
      <c r="AD201">
        <v>698443</v>
      </c>
      <c r="AE201">
        <v>67.69</v>
      </c>
    </row>
    <row r="202" spans="1:31" x14ac:dyDescent="0.2">
      <c r="A202" t="s">
        <v>518</v>
      </c>
      <c r="B202" t="s">
        <v>853</v>
      </c>
      <c r="C202" t="s">
        <v>854</v>
      </c>
      <c r="D202" t="s">
        <v>855</v>
      </c>
      <c r="E202" t="s">
        <v>856</v>
      </c>
      <c r="F202" t="s">
        <v>857</v>
      </c>
      <c r="G202" t="s">
        <v>858</v>
      </c>
      <c r="H202" t="s">
        <v>859</v>
      </c>
      <c r="I202" t="s">
        <v>22</v>
      </c>
      <c r="J202" t="s">
        <v>523</v>
      </c>
      <c r="K202" t="s">
        <v>22</v>
      </c>
      <c r="L202" t="s">
        <v>524</v>
      </c>
      <c r="N202" t="s">
        <v>935</v>
      </c>
      <c r="O202" t="s">
        <v>936</v>
      </c>
      <c r="P202" t="s">
        <v>242</v>
      </c>
      <c r="Q202" t="s">
        <v>541</v>
      </c>
      <c r="R202">
        <v>2161416</v>
      </c>
      <c r="S202">
        <v>0</v>
      </c>
      <c r="T202">
        <v>2161416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</row>
    <row r="203" spans="1:31" x14ac:dyDescent="0.2">
      <c r="A203" t="s">
        <v>518</v>
      </c>
      <c r="B203" t="s">
        <v>853</v>
      </c>
      <c r="C203" t="s">
        <v>854</v>
      </c>
      <c r="D203" t="s">
        <v>855</v>
      </c>
      <c r="E203" t="s">
        <v>856</v>
      </c>
      <c r="F203" t="s">
        <v>857</v>
      </c>
      <c r="G203" t="s">
        <v>858</v>
      </c>
      <c r="H203" t="s">
        <v>859</v>
      </c>
      <c r="I203" t="s">
        <v>22</v>
      </c>
      <c r="J203" t="s">
        <v>523</v>
      </c>
      <c r="K203" t="s">
        <v>22</v>
      </c>
      <c r="L203" t="s">
        <v>524</v>
      </c>
      <c r="N203" t="s">
        <v>937</v>
      </c>
      <c r="O203" t="s">
        <v>936</v>
      </c>
      <c r="P203" t="s">
        <v>483</v>
      </c>
      <c r="Q203" t="s">
        <v>863</v>
      </c>
      <c r="R203">
        <v>0</v>
      </c>
      <c r="S203">
        <v>2161416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2161416</v>
      </c>
      <c r="Z203">
        <v>1462973</v>
      </c>
      <c r="AA203">
        <v>1462973</v>
      </c>
      <c r="AB203">
        <v>1462973</v>
      </c>
      <c r="AC203">
        <v>1462973</v>
      </c>
      <c r="AD203">
        <v>698443</v>
      </c>
      <c r="AE203">
        <v>67.69</v>
      </c>
    </row>
    <row r="204" spans="1:31" x14ac:dyDescent="0.2">
      <c r="A204" t="s">
        <v>518</v>
      </c>
      <c r="B204" t="s">
        <v>519</v>
      </c>
      <c r="C204" t="s">
        <v>22</v>
      </c>
      <c r="D204" t="s">
        <v>520</v>
      </c>
      <c r="E204" t="s">
        <v>521</v>
      </c>
      <c r="F204" t="s">
        <v>522</v>
      </c>
      <c r="G204" t="s">
        <v>22</v>
      </c>
      <c r="H204" t="s">
        <v>22</v>
      </c>
      <c r="I204" t="s">
        <v>22</v>
      </c>
      <c r="J204" t="s">
        <v>523</v>
      </c>
      <c r="K204" t="s">
        <v>22</v>
      </c>
      <c r="L204" t="s">
        <v>524</v>
      </c>
      <c r="N204" t="s">
        <v>938</v>
      </c>
      <c r="O204" t="s">
        <v>939</v>
      </c>
      <c r="P204" t="s">
        <v>22</v>
      </c>
      <c r="Q204" t="s">
        <v>527</v>
      </c>
      <c r="R204">
        <v>5684695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5684695</v>
      </c>
      <c r="Z204">
        <v>1105498</v>
      </c>
      <c r="AA204">
        <v>1105498</v>
      </c>
      <c r="AB204">
        <v>1105498</v>
      </c>
      <c r="AC204">
        <v>1105498</v>
      </c>
      <c r="AD204">
        <v>4579197</v>
      </c>
      <c r="AE204">
        <v>19.45</v>
      </c>
    </row>
    <row r="205" spans="1:31" x14ac:dyDescent="0.2">
      <c r="A205" t="s">
        <v>518</v>
      </c>
      <c r="B205" t="s">
        <v>866</v>
      </c>
      <c r="C205" t="s">
        <v>867</v>
      </c>
      <c r="D205" t="s">
        <v>868</v>
      </c>
      <c r="E205" t="s">
        <v>869</v>
      </c>
      <c r="F205" t="s">
        <v>870</v>
      </c>
      <c r="G205" t="s">
        <v>871</v>
      </c>
      <c r="H205" t="s">
        <v>872</v>
      </c>
      <c r="I205" t="s">
        <v>22</v>
      </c>
      <c r="J205" t="s">
        <v>523</v>
      </c>
      <c r="K205" t="s">
        <v>22</v>
      </c>
      <c r="L205" t="s">
        <v>524</v>
      </c>
      <c r="N205" t="s">
        <v>940</v>
      </c>
      <c r="O205" t="s">
        <v>941</v>
      </c>
      <c r="P205" t="s">
        <v>238</v>
      </c>
      <c r="Q205" t="s">
        <v>805</v>
      </c>
      <c r="R205">
        <v>5684695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5684695</v>
      </c>
      <c r="Z205">
        <v>1105498</v>
      </c>
      <c r="AA205">
        <v>1105498</v>
      </c>
      <c r="AB205">
        <v>1105498</v>
      </c>
      <c r="AC205">
        <v>1105498</v>
      </c>
      <c r="AD205">
        <v>4579197</v>
      </c>
      <c r="AE205">
        <v>19.45</v>
      </c>
    </row>
    <row r="206" spans="1:31" x14ac:dyDescent="0.2">
      <c r="A206" t="s">
        <v>518</v>
      </c>
      <c r="B206" t="s">
        <v>519</v>
      </c>
      <c r="C206" t="s">
        <v>22</v>
      </c>
      <c r="D206" t="s">
        <v>520</v>
      </c>
      <c r="E206" t="s">
        <v>521</v>
      </c>
      <c r="F206" t="s">
        <v>522</v>
      </c>
      <c r="G206" t="s">
        <v>22</v>
      </c>
      <c r="H206" t="s">
        <v>22</v>
      </c>
      <c r="I206" t="s">
        <v>22</v>
      </c>
      <c r="J206" t="s">
        <v>523</v>
      </c>
      <c r="K206" t="s">
        <v>22</v>
      </c>
      <c r="L206" t="s">
        <v>524</v>
      </c>
      <c r="N206" t="s">
        <v>942</v>
      </c>
      <c r="O206" t="s">
        <v>876</v>
      </c>
      <c r="P206" t="s">
        <v>22</v>
      </c>
      <c r="Q206" t="s">
        <v>527</v>
      </c>
      <c r="R206">
        <v>6673618</v>
      </c>
      <c r="S206">
        <v>4300302</v>
      </c>
      <c r="T206">
        <v>4300302</v>
      </c>
      <c r="U206">
        <v>0</v>
      </c>
      <c r="V206">
        <v>0</v>
      </c>
      <c r="W206">
        <v>0</v>
      </c>
      <c r="X206">
        <v>0</v>
      </c>
      <c r="Y206">
        <v>6673618</v>
      </c>
      <c r="Z206">
        <v>2913417</v>
      </c>
      <c r="AA206">
        <v>2913417</v>
      </c>
      <c r="AB206">
        <v>2913417</v>
      </c>
      <c r="AC206">
        <v>2913417</v>
      </c>
      <c r="AD206">
        <v>3760201</v>
      </c>
      <c r="AE206">
        <v>43.66</v>
      </c>
    </row>
    <row r="207" spans="1:31" x14ac:dyDescent="0.2">
      <c r="A207" t="s">
        <v>518</v>
      </c>
      <c r="B207" t="s">
        <v>877</v>
      </c>
      <c r="C207" t="s">
        <v>878</v>
      </c>
      <c r="D207" t="s">
        <v>879</v>
      </c>
      <c r="E207" t="s">
        <v>880</v>
      </c>
      <c r="F207" t="s">
        <v>881</v>
      </c>
      <c r="G207" t="s">
        <v>882</v>
      </c>
      <c r="H207" t="s">
        <v>883</v>
      </c>
      <c r="I207" t="s">
        <v>22</v>
      </c>
      <c r="J207" t="s">
        <v>523</v>
      </c>
      <c r="K207" t="s">
        <v>22</v>
      </c>
      <c r="L207" t="s">
        <v>524</v>
      </c>
      <c r="N207" t="s">
        <v>943</v>
      </c>
      <c r="O207" t="s">
        <v>944</v>
      </c>
      <c r="P207" t="s">
        <v>242</v>
      </c>
      <c r="Q207" t="s">
        <v>541</v>
      </c>
      <c r="R207">
        <v>6673618</v>
      </c>
      <c r="S207">
        <v>0</v>
      </c>
      <c r="T207">
        <v>4300302</v>
      </c>
      <c r="U207">
        <v>0</v>
      </c>
      <c r="V207">
        <v>0</v>
      </c>
      <c r="W207">
        <v>0</v>
      </c>
      <c r="X207">
        <v>0</v>
      </c>
      <c r="Y207">
        <v>2373316</v>
      </c>
      <c r="Z207">
        <v>2373316</v>
      </c>
      <c r="AA207">
        <v>2373316</v>
      </c>
      <c r="AB207">
        <v>2373316</v>
      </c>
      <c r="AC207">
        <v>2373316</v>
      </c>
      <c r="AD207">
        <v>0</v>
      </c>
      <c r="AE207">
        <v>100</v>
      </c>
    </row>
    <row r="208" spans="1:31" x14ac:dyDescent="0.2">
      <c r="A208" t="s">
        <v>518</v>
      </c>
      <c r="B208" t="s">
        <v>877</v>
      </c>
      <c r="C208" t="s">
        <v>878</v>
      </c>
      <c r="D208" t="s">
        <v>879</v>
      </c>
      <c r="E208" t="s">
        <v>880</v>
      </c>
      <c r="F208" t="s">
        <v>881</v>
      </c>
      <c r="G208" t="s">
        <v>882</v>
      </c>
      <c r="H208" t="s">
        <v>883</v>
      </c>
      <c r="I208" t="s">
        <v>22</v>
      </c>
      <c r="J208" t="s">
        <v>523</v>
      </c>
      <c r="K208" t="s">
        <v>22</v>
      </c>
      <c r="L208" t="s">
        <v>524</v>
      </c>
      <c r="N208" t="s">
        <v>945</v>
      </c>
      <c r="O208" t="s">
        <v>944</v>
      </c>
      <c r="P208" t="s">
        <v>461</v>
      </c>
      <c r="Q208" t="s">
        <v>904</v>
      </c>
      <c r="R208">
        <v>0</v>
      </c>
      <c r="S208">
        <v>4300302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4300302</v>
      </c>
      <c r="Z208">
        <v>540101</v>
      </c>
      <c r="AA208">
        <v>540101</v>
      </c>
      <c r="AB208">
        <v>540101</v>
      </c>
      <c r="AC208">
        <v>540101</v>
      </c>
      <c r="AD208">
        <v>3760201</v>
      </c>
      <c r="AE208">
        <v>12.56</v>
      </c>
    </row>
    <row r="209" spans="1:31" x14ac:dyDescent="0.2">
      <c r="A209" t="s">
        <v>518</v>
      </c>
      <c r="B209" t="s">
        <v>519</v>
      </c>
      <c r="C209" t="s">
        <v>22</v>
      </c>
      <c r="D209" t="s">
        <v>520</v>
      </c>
      <c r="E209" t="s">
        <v>521</v>
      </c>
      <c r="F209" t="s">
        <v>522</v>
      </c>
      <c r="G209" t="s">
        <v>22</v>
      </c>
      <c r="H209" t="s">
        <v>22</v>
      </c>
      <c r="I209" t="s">
        <v>22</v>
      </c>
      <c r="J209" t="s">
        <v>523</v>
      </c>
      <c r="K209" t="s">
        <v>22</v>
      </c>
      <c r="L209" t="s">
        <v>524</v>
      </c>
      <c r="N209" t="s">
        <v>946</v>
      </c>
      <c r="O209" t="s">
        <v>947</v>
      </c>
      <c r="P209" t="s">
        <v>22</v>
      </c>
      <c r="Q209" t="s">
        <v>527</v>
      </c>
      <c r="R209">
        <v>54120870</v>
      </c>
      <c r="S209">
        <v>32500366</v>
      </c>
      <c r="T209">
        <v>32500366</v>
      </c>
      <c r="U209">
        <v>0</v>
      </c>
      <c r="V209">
        <v>0</v>
      </c>
      <c r="W209">
        <v>0</v>
      </c>
      <c r="X209">
        <v>0</v>
      </c>
      <c r="Y209">
        <v>54120870</v>
      </c>
      <c r="Z209">
        <v>5038115</v>
      </c>
      <c r="AA209">
        <v>5038115</v>
      </c>
      <c r="AB209">
        <v>5038115</v>
      </c>
      <c r="AC209">
        <v>5038115</v>
      </c>
      <c r="AD209">
        <v>49082755</v>
      </c>
      <c r="AE209">
        <v>9.31</v>
      </c>
    </row>
    <row r="210" spans="1:31" x14ac:dyDescent="0.2">
      <c r="A210" t="s">
        <v>518</v>
      </c>
      <c r="B210" t="s">
        <v>519</v>
      </c>
      <c r="C210" t="s">
        <v>22</v>
      </c>
      <c r="D210" t="s">
        <v>520</v>
      </c>
      <c r="E210" t="s">
        <v>521</v>
      </c>
      <c r="F210" t="s">
        <v>522</v>
      </c>
      <c r="G210" t="s">
        <v>22</v>
      </c>
      <c r="H210" t="s">
        <v>22</v>
      </c>
      <c r="I210" t="s">
        <v>22</v>
      </c>
      <c r="J210" t="s">
        <v>523</v>
      </c>
      <c r="K210" t="s">
        <v>22</v>
      </c>
      <c r="L210" t="s">
        <v>524</v>
      </c>
      <c r="N210" t="s">
        <v>948</v>
      </c>
      <c r="O210" t="s">
        <v>949</v>
      </c>
      <c r="P210" t="s">
        <v>22</v>
      </c>
      <c r="Q210" t="s">
        <v>527</v>
      </c>
      <c r="R210">
        <v>36568154</v>
      </c>
      <c r="S210">
        <v>21959707</v>
      </c>
      <c r="T210">
        <v>21959707</v>
      </c>
      <c r="U210">
        <v>0</v>
      </c>
      <c r="V210">
        <v>0</v>
      </c>
      <c r="W210">
        <v>0</v>
      </c>
      <c r="X210">
        <v>0</v>
      </c>
      <c r="Y210">
        <v>36568154</v>
      </c>
      <c r="Z210">
        <v>747902</v>
      </c>
      <c r="AA210">
        <v>747902</v>
      </c>
      <c r="AB210">
        <v>747902</v>
      </c>
      <c r="AC210">
        <v>747902</v>
      </c>
      <c r="AD210">
        <v>35820252</v>
      </c>
      <c r="AE210">
        <v>2.0499999999999998</v>
      </c>
    </row>
    <row r="211" spans="1:31" x14ac:dyDescent="0.2">
      <c r="A211" t="s">
        <v>518</v>
      </c>
      <c r="B211" t="s">
        <v>853</v>
      </c>
      <c r="C211" t="s">
        <v>854</v>
      </c>
      <c r="D211" t="s">
        <v>855</v>
      </c>
      <c r="E211" t="s">
        <v>856</v>
      </c>
      <c r="F211" t="s">
        <v>857</v>
      </c>
      <c r="G211" t="s">
        <v>858</v>
      </c>
      <c r="H211" t="s">
        <v>859</v>
      </c>
      <c r="I211" t="s">
        <v>22</v>
      </c>
      <c r="J211" t="s">
        <v>523</v>
      </c>
      <c r="K211" t="s">
        <v>22</v>
      </c>
      <c r="L211" t="s">
        <v>524</v>
      </c>
      <c r="N211" t="s">
        <v>950</v>
      </c>
      <c r="O211" t="s">
        <v>951</v>
      </c>
      <c r="P211" t="s">
        <v>242</v>
      </c>
      <c r="Q211" t="s">
        <v>541</v>
      </c>
      <c r="R211">
        <v>5115737</v>
      </c>
      <c r="S211">
        <v>0</v>
      </c>
      <c r="T211">
        <v>5115737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</row>
    <row r="212" spans="1:31" x14ac:dyDescent="0.2">
      <c r="A212" t="s">
        <v>518</v>
      </c>
      <c r="B212" t="s">
        <v>853</v>
      </c>
      <c r="C212" t="s">
        <v>854</v>
      </c>
      <c r="D212" t="s">
        <v>855</v>
      </c>
      <c r="E212" t="s">
        <v>856</v>
      </c>
      <c r="F212" t="s">
        <v>857</v>
      </c>
      <c r="G212" t="s">
        <v>858</v>
      </c>
      <c r="H212" t="s">
        <v>859</v>
      </c>
      <c r="I212" t="s">
        <v>22</v>
      </c>
      <c r="J212" t="s">
        <v>523</v>
      </c>
      <c r="K212" t="s">
        <v>22</v>
      </c>
      <c r="L212" t="s">
        <v>524</v>
      </c>
      <c r="N212" t="s">
        <v>952</v>
      </c>
      <c r="O212" t="s">
        <v>951</v>
      </c>
      <c r="P212" t="s">
        <v>483</v>
      </c>
      <c r="Q212" t="s">
        <v>863</v>
      </c>
      <c r="R212">
        <v>0</v>
      </c>
      <c r="S212">
        <v>5115737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5115737</v>
      </c>
      <c r="Z212">
        <v>0</v>
      </c>
      <c r="AA212">
        <v>0</v>
      </c>
      <c r="AB212">
        <v>0</v>
      </c>
      <c r="AC212">
        <v>0</v>
      </c>
      <c r="AD212">
        <v>5115737</v>
      </c>
      <c r="AE212">
        <v>0</v>
      </c>
    </row>
    <row r="213" spans="1:31" x14ac:dyDescent="0.2">
      <c r="A213" t="s">
        <v>518</v>
      </c>
      <c r="B213" t="s">
        <v>866</v>
      </c>
      <c r="C213" t="s">
        <v>867</v>
      </c>
      <c r="D213" t="s">
        <v>868</v>
      </c>
      <c r="E213" t="s">
        <v>869</v>
      </c>
      <c r="F213" t="s">
        <v>870</v>
      </c>
      <c r="G213" t="s">
        <v>871</v>
      </c>
      <c r="H213" t="s">
        <v>872</v>
      </c>
      <c r="I213" t="s">
        <v>22</v>
      </c>
      <c r="J213" t="s">
        <v>523</v>
      </c>
      <c r="K213" t="s">
        <v>22</v>
      </c>
      <c r="L213" t="s">
        <v>524</v>
      </c>
      <c r="N213" t="s">
        <v>953</v>
      </c>
      <c r="O213" t="s">
        <v>954</v>
      </c>
      <c r="P213" t="s">
        <v>238</v>
      </c>
      <c r="Q213" t="s">
        <v>805</v>
      </c>
      <c r="R213">
        <v>14608447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14608447</v>
      </c>
      <c r="Z213">
        <v>0</v>
      </c>
      <c r="AA213">
        <v>0</v>
      </c>
      <c r="AB213">
        <v>0</v>
      </c>
      <c r="AC213">
        <v>0</v>
      </c>
      <c r="AD213">
        <v>14608447</v>
      </c>
      <c r="AE213">
        <v>0</v>
      </c>
    </row>
    <row r="214" spans="1:31" x14ac:dyDescent="0.2">
      <c r="A214" t="s">
        <v>518</v>
      </c>
      <c r="B214" t="s">
        <v>877</v>
      </c>
      <c r="C214" t="s">
        <v>878</v>
      </c>
      <c r="D214" t="s">
        <v>879</v>
      </c>
      <c r="E214" t="s">
        <v>880</v>
      </c>
      <c r="F214" t="s">
        <v>881</v>
      </c>
      <c r="G214" t="s">
        <v>882</v>
      </c>
      <c r="H214" t="s">
        <v>883</v>
      </c>
      <c r="I214" t="s">
        <v>22</v>
      </c>
      <c r="J214" t="s">
        <v>523</v>
      </c>
      <c r="K214" t="s">
        <v>22</v>
      </c>
      <c r="L214" t="s">
        <v>524</v>
      </c>
      <c r="N214" t="s">
        <v>955</v>
      </c>
      <c r="O214" t="s">
        <v>956</v>
      </c>
      <c r="P214" t="s">
        <v>242</v>
      </c>
      <c r="Q214" t="s">
        <v>541</v>
      </c>
      <c r="R214">
        <v>16843970</v>
      </c>
      <c r="S214">
        <v>0</v>
      </c>
      <c r="T214">
        <v>16843970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</row>
    <row r="215" spans="1:31" x14ac:dyDescent="0.2">
      <c r="A215" t="s">
        <v>518</v>
      </c>
      <c r="B215" t="s">
        <v>877</v>
      </c>
      <c r="C215" t="s">
        <v>878</v>
      </c>
      <c r="D215" t="s">
        <v>879</v>
      </c>
      <c r="E215" t="s">
        <v>880</v>
      </c>
      <c r="F215" t="s">
        <v>881</v>
      </c>
      <c r="G215" t="s">
        <v>882</v>
      </c>
      <c r="H215" t="s">
        <v>883</v>
      </c>
      <c r="I215" t="s">
        <v>22</v>
      </c>
      <c r="J215" t="s">
        <v>523</v>
      </c>
      <c r="K215" t="s">
        <v>22</v>
      </c>
      <c r="L215" t="s">
        <v>524</v>
      </c>
      <c r="N215" t="s">
        <v>957</v>
      </c>
      <c r="O215" t="s">
        <v>956</v>
      </c>
      <c r="P215" t="s">
        <v>477</v>
      </c>
      <c r="Q215" t="s">
        <v>902</v>
      </c>
      <c r="R215">
        <v>0</v>
      </c>
      <c r="S215">
        <v>16843970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16843970</v>
      </c>
      <c r="Z215">
        <v>747902</v>
      </c>
      <c r="AA215">
        <v>747902</v>
      </c>
      <c r="AB215">
        <v>747902</v>
      </c>
      <c r="AC215">
        <v>747902</v>
      </c>
      <c r="AD215">
        <v>16096068</v>
      </c>
      <c r="AE215">
        <v>4.4400000000000004</v>
      </c>
    </row>
    <row r="216" spans="1:31" x14ac:dyDescent="0.2">
      <c r="A216" t="s">
        <v>518</v>
      </c>
      <c r="B216" t="s">
        <v>853</v>
      </c>
      <c r="C216" t="s">
        <v>854</v>
      </c>
      <c r="D216" t="s">
        <v>855</v>
      </c>
      <c r="E216" t="s">
        <v>856</v>
      </c>
      <c r="F216" t="s">
        <v>857</v>
      </c>
      <c r="G216" t="s">
        <v>858</v>
      </c>
      <c r="H216" t="s">
        <v>859</v>
      </c>
      <c r="I216" t="s">
        <v>22</v>
      </c>
      <c r="J216" t="s">
        <v>523</v>
      </c>
      <c r="K216" t="s">
        <v>22</v>
      </c>
      <c r="L216" t="s">
        <v>524</v>
      </c>
      <c r="N216" t="s">
        <v>958</v>
      </c>
      <c r="O216" t="s">
        <v>959</v>
      </c>
      <c r="P216" t="s">
        <v>242</v>
      </c>
      <c r="Q216" t="s">
        <v>541</v>
      </c>
      <c r="R216">
        <v>2455553</v>
      </c>
      <c r="S216">
        <v>0</v>
      </c>
      <c r="T216">
        <v>2455553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</row>
    <row r="217" spans="1:31" x14ac:dyDescent="0.2">
      <c r="A217" t="s">
        <v>518</v>
      </c>
      <c r="B217" t="s">
        <v>853</v>
      </c>
      <c r="C217" t="s">
        <v>854</v>
      </c>
      <c r="D217" t="s">
        <v>855</v>
      </c>
      <c r="E217" t="s">
        <v>856</v>
      </c>
      <c r="F217" t="s">
        <v>857</v>
      </c>
      <c r="G217" t="s">
        <v>858</v>
      </c>
      <c r="H217" t="s">
        <v>859</v>
      </c>
      <c r="I217" t="s">
        <v>22</v>
      </c>
      <c r="J217" t="s">
        <v>523</v>
      </c>
      <c r="K217" t="s">
        <v>22</v>
      </c>
      <c r="L217" t="s">
        <v>524</v>
      </c>
      <c r="N217" t="s">
        <v>960</v>
      </c>
      <c r="O217" t="s">
        <v>959</v>
      </c>
      <c r="P217" t="s">
        <v>483</v>
      </c>
      <c r="Q217" t="s">
        <v>863</v>
      </c>
      <c r="R217">
        <v>0</v>
      </c>
      <c r="S217">
        <v>2455553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2455553</v>
      </c>
      <c r="Z217">
        <v>0</v>
      </c>
      <c r="AA217">
        <v>0</v>
      </c>
      <c r="AB217">
        <v>0</v>
      </c>
      <c r="AC217">
        <v>0</v>
      </c>
      <c r="AD217">
        <v>2455553</v>
      </c>
      <c r="AE217">
        <v>0</v>
      </c>
    </row>
    <row r="218" spans="1:31" x14ac:dyDescent="0.2">
      <c r="A218" t="s">
        <v>518</v>
      </c>
      <c r="B218" t="s">
        <v>866</v>
      </c>
      <c r="C218" t="s">
        <v>867</v>
      </c>
      <c r="D218" t="s">
        <v>868</v>
      </c>
      <c r="E218" t="s">
        <v>869</v>
      </c>
      <c r="F218" t="s">
        <v>870</v>
      </c>
      <c r="G218" t="s">
        <v>871</v>
      </c>
      <c r="H218" t="s">
        <v>872</v>
      </c>
      <c r="I218" t="s">
        <v>22</v>
      </c>
      <c r="J218" t="s">
        <v>523</v>
      </c>
      <c r="K218" t="s">
        <v>22</v>
      </c>
      <c r="L218" t="s">
        <v>524</v>
      </c>
      <c r="N218" t="s">
        <v>961</v>
      </c>
      <c r="O218" t="s">
        <v>962</v>
      </c>
      <c r="P218" t="s">
        <v>238</v>
      </c>
      <c r="Q218" t="s">
        <v>805</v>
      </c>
      <c r="R218">
        <v>7012057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7012057</v>
      </c>
      <c r="Z218">
        <v>2618339</v>
      </c>
      <c r="AA218">
        <v>2618339</v>
      </c>
      <c r="AB218">
        <v>2618339</v>
      </c>
      <c r="AC218">
        <v>2618339</v>
      </c>
      <c r="AD218">
        <v>4393718</v>
      </c>
      <c r="AE218">
        <v>37.340000000000003</v>
      </c>
    </row>
    <row r="219" spans="1:31" x14ac:dyDescent="0.2">
      <c r="A219" t="s">
        <v>518</v>
      </c>
      <c r="B219" t="s">
        <v>877</v>
      </c>
      <c r="C219" t="s">
        <v>878</v>
      </c>
      <c r="D219" t="s">
        <v>879</v>
      </c>
      <c r="E219" t="s">
        <v>880</v>
      </c>
      <c r="F219" t="s">
        <v>881</v>
      </c>
      <c r="G219" t="s">
        <v>882</v>
      </c>
      <c r="H219" t="s">
        <v>883</v>
      </c>
      <c r="I219" t="s">
        <v>22</v>
      </c>
      <c r="J219" t="s">
        <v>523</v>
      </c>
      <c r="K219" t="s">
        <v>22</v>
      </c>
      <c r="L219" t="s">
        <v>524</v>
      </c>
      <c r="N219" t="s">
        <v>963</v>
      </c>
      <c r="O219" t="s">
        <v>964</v>
      </c>
      <c r="P219" t="s">
        <v>242</v>
      </c>
      <c r="Q219" t="s">
        <v>541</v>
      </c>
      <c r="R219">
        <v>8085106</v>
      </c>
      <c r="S219">
        <v>0</v>
      </c>
      <c r="T219">
        <v>8085106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</row>
    <row r="220" spans="1:31" x14ac:dyDescent="0.2">
      <c r="A220" t="s">
        <v>518</v>
      </c>
      <c r="B220" t="s">
        <v>877</v>
      </c>
      <c r="C220" t="s">
        <v>878</v>
      </c>
      <c r="D220" t="s">
        <v>879</v>
      </c>
      <c r="E220" t="s">
        <v>880</v>
      </c>
      <c r="F220" t="s">
        <v>881</v>
      </c>
      <c r="G220" t="s">
        <v>882</v>
      </c>
      <c r="H220" t="s">
        <v>883</v>
      </c>
      <c r="I220" t="s">
        <v>22</v>
      </c>
      <c r="J220" t="s">
        <v>523</v>
      </c>
      <c r="K220" t="s">
        <v>22</v>
      </c>
      <c r="L220" t="s">
        <v>524</v>
      </c>
      <c r="N220" t="s">
        <v>965</v>
      </c>
      <c r="O220" t="s">
        <v>964</v>
      </c>
      <c r="P220" t="s">
        <v>477</v>
      </c>
      <c r="Q220" t="s">
        <v>902</v>
      </c>
      <c r="R220">
        <v>0</v>
      </c>
      <c r="S220">
        <v>8085106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8085106</v>
      </c>
      <c r="Z220">
        <v>1671874</v>
      </c>
      <c r="AA220">
        <v>1671874</v>
      </c>
      <c r="AB220">
        <v>1671874</v>
      </c>
      <c r="AC220">
        <v>1671874</v>
      </c>
      <c r="AD220">
        <v>6413232</v>
      </c>
      <c r="AE220">
        <v>20.68</v>
      </c>
    </row>
    <row r="221" spans="1:31" x14ac:dyDescent="0.2">
      <c r="A221" t="s">
        <v>518</v>
      </c>
      <c r="B221" t="s">
        <v>519</v>
      </c>
      <c r="C221" t="s">
        <v>22</v>
      </c>
      <c r="D221" t="s">
        <v>520</v>
      </c>
      <c r="E221" t="s">
        <v>521</v>
      </c>
      <c r="F221" t="s">
        <v>522</v>
      </c>
      <c r="G221" t="s">
        <v>22</v>
      </c>
      <c r="H221" t="s">
        <v>22</v>
      </c>
      <c r="I221" t="s">
        <v>22</v>
      </c>
      <c r="J221" t="s">
        <v>523</v>
      </c>
      <c r="K221" t="s">
        <v>22</v>
      </c>
      <c r="L221" t="s">
        <v>524</v>
      </c>
      <c r="N221" t="s">
        <v>966</v>
      </c>
      <c r="O221" t="s">
        <v>967</v>
      </c>
      <c r="P221" t="s">
        <v>22</v>
      </c>
      <c r="Q221" t="s">
        <v>527</v>
      </c>
      <c r="R221">
        <v>173465226</v>
      </c>
      <c r="S221">
        <v>98349257</v>
      </c>
      <c r="T221">
        <v>98349257</v>
      </c>
      <c r="U221">
        <v>0</v>
      </c>
      <c r="V221">
        <v>0</v>
      </c>
      <c r="W221">
        <v>0</v>
      </c>
      <c r="X221">
        <v>0</v>
      </c>
      <c r="Y221">
        <v>173465226</v>
      </c>
      <c r="Z221">
        <v>81484081</v>
      </c>
      <c r="AA221">
        <v>81484081</v>
      </c>
      <c r="AB221">
        <v>81484081</v>
      </c>
      <c r="AC221">
        <v>81484081</v>
      </c>
      <c r="AD221">
        <v>91981145</v>
      </c>
      <c r="AE221">
        <v>46.97</v>
      </c>
    </row>
    <row r="222" spans="1:31" x14ac:dyDescent="0.2">
      <c r="A222" t="s">
        <v>518</v>
      </c>
      <c r="B222" t="s">
        <v>519</v>
      </c>
      <c r="C222" t="s">
        <v>22</v>
      </c>
      <c r="D222" t="s">
        <v>520</v>
      </c>
      <c r="E222" t="s">
        <v>521</v>
      </c>
      <c r="F222" t="s">
        <v>522</v>
      </c>
      <c r="G222" t="s">
        <v>22</v>
      </c>
      <c r="H222" t="s">
        <v>22</v>
      </c>
      <c r="I222" t="s">
        <v>22</v>
      </c>
      <c r="J222" t="s">
        <v>523</v>
      </c>
      <c r="K222" t="s">
        <v>22</v>
      </c>
      <c r="L222" t="s">
        <v>524</v>
      </c>
      <c r="N222" t="s">
        <v>968</v>
      </c>
      <c r="O222" t="s">
        <v>969</v>
      </c>
      <c r="P222" t="s">
        <v>22</v>
      </c>
      <c r="Q222" t="s">
        <v>527</v>
      </c>
      <c r="R222">
        <v>48529752</v>
      </c>
      <c r="S222">
        <v>27547720</v>
      </c>
      <c r="T222">
        <v>27547720</v>
      </c>
      <c r="U222">
        <v>0</v>
      </c>
      <c r="V222">
        <v>0</v>
      </c>
      <c r="W222">
        <v>0</v>
      </c>
      <c r="X222">
        <v>0</v>
      </c>
      <c r="Y222">
        <v>48529752</v>
      </c>
      <c r="Z222">
        <v>18783500</v>
      </c>
      <c r="AA222">
        <v>18783500</v>
      </c>
      <c r="AB222">
        <v>18783500</v>
      </c>
      <c r="AC222">
        <v>18783500</v>
      </c>
      <c r="AD222">
        <v>29746252</v>
      </c>
      <c r="AE222">
        <v>38.71</v>
      </c>
    </row>
    <row r="223" spans="1:31" x14ac:dyDescent="0.2">
      <c r="A223" t="s">
        <v>518</v>
      </c>
      <c r="B223" t="s">
        <v>853</v>
      </c>
      <c r="C223" t="s">
        <v>854</v>
      </c>
      <c r="D223" t="s">
        <v>855</v>
      </c>
      <c r="E223" t="s">
        <v>856</v>
      </c>
      <c r="F223" t="s">
        <v>857</v>
      </c>
      <c r="G223" t="s">
        <v>858</v>
      </c>
      <c r="H223" t="s">
        <v>859</v>
      </c>
      <c r="I223" t="s">
        <v>22</v>
      </c>
      <c r="J223" t="s">
        <v>523</v>
      </c>
      <c r="K223" t="s">
        <v>22</v>
      </c>
      <c r="L223" t="s">
        <v>524</v>
      </c>
      <c r="N223" t="s">
        <v>970</v>
      </c>
      <c r="O223" t="s">
        <v>971</v>
      </c>
      <c r="P223" t="s">
        <v>242</v>
      </c>
      <c r="Q223" t="s">
        <v>541</v>
      </c>
      <c r="R223">
        <v>6789116</v>
      </c>
      <c r="S223">
        <v>0</v>
      </c>
      <c r="T223">
        <v>6317516</v>
      </c>
      <c r="U223">
        <v>0</v>
      </c>
      <c r="V223">
        <v>0</v>
      </c>
      <c r="W223">
        <v>0</v>
      </c>
      <c r="X223">
        <v>0</v>
      </c>
      <c r="Y223">
        <v>471600</v>
      </c>
      <c r="Z223">
        <v>471600</v>
      </c>
      <c r="AA223">
        <v>471600</v>
      </c>
      <c r="AB223">
        <v>471600</v>
      </c>
      <c r="AC223">
        <v>471600</v>
      </c>
      <c r="AD223">
        <v>0</v>
      </c>
      <c r="AE223">
        <v>100</v>
      </c>
    </row>
    <row r="224" spans="1:31" x14ac:dyDescent="0.2">
      <c r="A224" t="s">
        <v>518</v>
      </c>
      <c r="B224" t="s">
        <v>853</v>
      </c>
      <c r="C224" t="s">
        <v>854</v>
      </c>
      <c r="D224" t="s">
        <v>855</v>
      </c>
      <c r="E224" t="s">
        <v>856</v>
      </c>
      <c r="F224" t="s">
        <v>857</v>
      </c>
      <c r="G224" t="s">
        <v>858</v>
      </c>
      <c r="H224" t="s">
        <v>859</v>
      </c>
      <c r="I224" t="s">
        <v>22</v>
      </c>
      <c r="J224" t="s">
        <v>523</v>
      </c>
      <c r="K224" t="s">
        <v>22</v>
      </c>
      <c r="L224" t="s">
        <v>524</v>
      </c>
      <c r="N224" t="s">
        <v>972</v>
      </c>
      <c r="O224" t="s">
        <v>971</v>
      </c>
      <c r="P224" t="s">
        <v>483</v>
      </c>
      <c r="Q224" t="s">
        <v>863</v>
      </c>
      <c r="R224">
        <v>0</v>
      </c>
      <c r="S224">
        <v>6317516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6317516</v>
      </c>
      <c r="Z224">
        <v>2346800</v>
      </c>
      <c r="AA224">
        <v>2346800</v>
      </c>
      <c r="AB224">
        <v>2346800</v>
      </c>
      <c r="AC224">
        <v>2346800</v>
      </c>
      <c r="AD224">
        <v>3970716</v>
      </c>
      <c r="AE224">
        <v>37.15</v>
      </c>
    </row>
    <row r="225" spans="1:31" x14ac:dyDescent="0.2">
      <c r="A225" t="s">
        <v>518</v>
      </c>
      <c r="B225" t="s">
        <v>866</v>
      </c>
      <c r="C225" t="s">
        <v>867</v>
      </c>
      <c r="D225" t="s">
        <v>868</v>
      </c>
      <c r="E225" t="s">
        <v>869</v>
      </c>
      <c r="F225" t="s">
        <v>870</v>
      </c>
      <c r="G225" t="s">
        <v>871</v>
      </c>
      <c r="H225" t="s">
        <v>872</v>
      </c>
      <c r="I225" t="s">
        <v>22</v>
      </c>
      <c r="J225" t="s">
        <v>523</v>
      </c>
      <c r="K225" t="s">
        <v>22</v>
      </c>
      <c r="L225" t="s">
        <v>524</v>
      </c>
      <c r="N225" t="s">
        <v>973</v>
      </c>
      <c r="O225" t="s">
        <v>974</v>
      </c>
      <c r="P225" t="s">
        <v>238</v>
      </c>
      <c r="Q225" t="s">
        <v>805</v>
      </c>
      <c r="R225">
        <v>19386932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19386932</v>
      </c>
      <c r="Z225">
        <v>7408000</v>
      </c>
      <c r="AA225">
        <v>7408000</v>
      </c>
      <c r="AB225">
        <v>7408000</v>
      </c>
      <c r="AC225">
        <v>7408000</v>
      </c>
      <c r="AD225">
        <v>11978932</v>
      </c>
      <c r="AE225">
        <v>38.21</v>
      </c>
    </row>
    <row r="226" spans="1:31" x14ac:dyDescent="0.2">
      <c r="A226" t="s">
        <v>518</v>
      </c>
      <c r="B226" t="s">
        <v>877</v>
      </c>
      <c r="C226" t="s">
        <v>878</v>
      </c>
      <c r="D226" t="s">
        <v>879</v>
      </c>
      <c r="E226" t="s">
        <v>880</v>
      </c>
      <c r="F226" t="s">
        <v>881</v>
      </c>
      <c r="G226" t="s">
        <v>882</v>
      </c>
      <c r="H226" t="s">
        <v>883</v>
      </c>
      <c r="I226" t="s">
        <v>22</v>
      </c>
      <c r="J226" t="s">
        <v>523</v>
      </c>
      <c r="K226" t="s">
        <v>22</v>
      </c>
      <c r="L226" t="s">
        <v>524</v>
      </c>
      <c r="N226" t="s">
        <v>975</v>
      </c>
      <c r="O226" t="s">
        <v>976</v>
      </c>
      <c r="P226" t="s">
        <v>242</v>
      </c>
      <c r="Q226" t="s">
        <v>541</v>
      </c>
      <c r="R226">
        <v>22353704</v>
      </c>
      <c r="S226">
        <v>0</v>
      </c>
      <c r="T226">
        <v>21230204</v>
      </c>
      <c r="U226">
        <v>0</v>
      </c>
      <c r="V226">
        <v>0</v>
      </c>
      <c r="W226">
        <v>0</v>
      </c>
      <c r="X226">
        <v>0</v>
      </c>
      <c r="Y226">
        <v>1123500</v>
      </c>
      <c r="Z226">
        <v>1123500</v>
      </c>
      <c r="AA226">
        <v>1123500</v>
      </c>
      <c r="AB226">
        <v>1123500</v>
      </c>
      <c r="AC226">
        <v>1123500</v>
      </c>
      <c r="AD226">
        <v>0</v>
      </c>
      <c r="AE226">
        <v>100</v>
      </c>
    </row>
    <row r="227" spans="1:31" x14ac:dyDescent="0.2">
      <c r="A227" t="s">
        <v>518</v>
      </c>
      <c r="B227" t="s">
        <v>877</v>
      </c>
      <c r="C227" t="s">
        <v>878</v>
      </c>
      <c r="D227" t="s">
        <v>879</v>
      </c>
      <c r="E227" t="s">
        <v>880</v>
      </c>
      <c r="F227" t="s">
        <v>881</v>
      </c>
      <c r="G227" t="s">
        <v>882</v>
      </c>
      <c r="H227" t="s">
        <v>883</v>
      </c>
      <c r="I227" t="s">
        <v>22</v>
      </c>
      <c r="J227" t="s">
        <v>523</v>
      </c>
      <c r="K227" t="s">
        <v>22</v>
      </c>
      <c r="L227" t="s">
        <v>524</v>
      </c>
      <c r="N227" t="s">
        <v>977</v>
      </c>
      <c r="O227" t="s">
        <v>976</v>
      </c>
      <c r="P227" t="s">
        <v>477</v>
      </c>
      <c r="Q227" t="s">
        <v>902</v>
      </c>
      <c r="R227">
        <v>0</v>
      </c>
      <c r="S227">
        <v>21230204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21230204</v>
      </c>
      <c r="Z227">
        <v>7433600</v>
      </c>
      <c r="AA227">
        <v>7433600</v>
      </c>
      <c r="AB227">
        <v>7433600</v>
      </c>
      <c r="AC227">
        <v>7433600</v>
      </c>
      <c r="AD227">
        <v>13796604</v>
      </c>
      <c r="AE227">
        <v>35.01</v>
      </c>
    </row>
    <row r="228" spans="1:31" x14ac:dyDescent="0.2">
      <c r="A228" t="s">
        <v>518</v>
      </c>
      <c r="B228" t="s">
        <v>519</v>
      </c>
      <c r="C228" t="s">
        <v>22</v>
      </c>
      <c r="D228" t="s">
        <v>520</v>
      </c>
      <c r="E228" t="s">
        <v>521</v>
      </c>
      <c r="F228" t="s">
        <v>522</v>
      </c>
      <c r="G228" t="s">
        <v>22</v>
      </c>
      <c r="H228" t="s">
        <v>22</v>
      </c>
      <c r="I228" t="s">
        <v>22</v>
      </c>
      <c r="J228" t="s">
        <v>523</v>
      </c>
      <c r="K228" t="s">
        <v>22</v>
      </c>
      <c r="L228" t="s">
        <v>524</v>
      </c>
      <c r="N228" t="s">
        <v>978</v>
      </c>
      <c r="O228" t="s">
        <v>979</v>
      </c>
      <c r="P228" t="s">
        <v>22</v>
      </c>
      <c r="Q228" t="s">
        <v>527</v>
      </c>
      <c r="R228">
        <v>34375246</v>
      </c>
      <c r="S228">
        <v>19513134</v>
      </c>
      <c r="T228">
        <v>19513134</v>
      </c>
      <c r="U228">
        <v>0</v>
      </c>
      <c r="V228">
        <v>0</v>
      </c>
      <c r="W228">
        <v>0</v>
      </c>
      <c r="X228">
        <v>0</v>
      </c>
      <c r="Y228">
        <v>34375246</v>
      </c>
      <c r="Z228">
        <v>13304600</v>
      </c>
      <c r="AA228">
        <v>13304600</v>
      </c>
      <c r="AB228">
        <v>13304600</v>
      </c>
      <c r="AC228">
        <v>13304600</v>
      </c>
      <c r="AD228">
        <v>21070646</v>
      </c>
      <c r="AE228">
        <v>38.700000000000003</v>
      </c>
    </row>
    <row r="229" spans="1:31" x14ac:dyDescent="0.2">
      <c r="A229" t="s">
        <v>518</v>
      </c>
      <c r="B229" t="s">
        <v>853</v>
      </c>
      <c r="C229" t="s">
        <v>854</v>
      </c>
      <c r="D229" t="s">
        <v>855</v>
      </c>
      <c r="E229" t="s">
        <v>856</v>
      </c>
      <c r="F229" t="s">
        <v>857</v>
      </c>
      <c r="G229" t="s">
        <v>858</v>
      </c>
      <c r="H229" t="s">
        <v>859</v>
      </c>
      <c r="I229" t="s">
        <v>22</v>
      </c>
      <c r="J229" t="s">
        <v>523</v>
      </c>
      <c r="K229" t="s">
        <v>22</v>
      </c>
      <c r="L229" t="s">
        <v>524</v>
      </c>
      <c r="N229" t="s">
        <v>980</v>
      </c>
      <c r="O229" t="s">
        <v>981</v>
      </c>
      <c r="P229" t="s">
        <v>242</v>
      </c>
      <c r="Q229" t="s">
        <v>541</v>
      </c>
      <c r="R229">
        <v>4808957</v>
      </c>
      <c r="S229">
        <v>0</v>
      </c>
      <c r="T229">
        <v>4474957</v>
      </c>
      <c r="U229">
        <v>0</v>
      </c>
      <c r="V229">
        <v>0</v>
      </c>
      <c r="W229">
        <v>0</v>
      </c>
      <c r="X229">
        <v>0</v>
      </c>
      <c r="Y229">
        <v>334000</v>
      </c>
      <c r="Z229">
        <v>334000</v>
      </c>
      <c r="AA229">
        <v>334000</v>
      </c>
      <c r="AB229">
        <v>334000</v>
      </c>
      <c r="AC229">
        <v>334000</v>
      </c>
      <c r="AD229">
        <v>0</v>
      </c>
      <c r="AE229">
        <v>100</v>
      </c>
    </row>
    <row r="230" spans="1:31" x14ac:dyDescent="0.2">
      <c r="A230" t="s">
        <v>518</v>
      </c>
      <c r="B230" t="s">
        <v>853</v>
      </c>
      <c r="C230" t="s">
        <v>854</v>
      </c>
      <c r="D230" t="s">
        <v>855</v>
      </c>
      <c r="E230" t="s">
        <v>856</v>
      </c>
      <c r="F230" t="s">
        <v>857</v>
      </c>
      <c r="G230" t="s">
        <v>858</v>
      </c>
      <c r="H230" t="s">
        <v>859</v>
      </c>
      <c r="I230" t="s">
        <v>22</v>
      </c>
      <c r="J230" t="s">
        <v>523</v>
      </c>
      <c r="K230" t="s">
        <v>22</v>
      </c>
      <c r="L230" t="s">
        <v>524</v>
      </c>
      <c r="N230" t="s">
        <v>982</v>
      </c>
      <c r="O230" t="s">
        <v>981</v>
      </c>
      <c r="P230" t="s">
        <v>483</v>
      </c>
      <c r="Q230" t="s">
        <v>863</v>
      </c>
      <c r="R230">
        <v>0</v>
      </c>
      <c r="S230">
        <v>4474957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4474957</v>
      </c>
      <c r="Z230">
        <v>1662400</v>
      </c>
      <c r="AA230">
        <v>1662400</v>
      </c>
      <c r="AB230">
        <v>1662400</v>
      </c>
      <c r="AC230">
        <v>1662400</v>
      </c>
      <c r="AD230">
        <v>2812557</v>
      </c>
      <c r="AE230">
        <v>37.15</v>
      </c>
    </row>
    <row r="231" spans="1:31" x14ac:dyDescent="0.2">
      <c r="A231" t="s">
        <v>518</v>
      </c>
      <c r="B231" t="s">
        <v>866</v>
      </c>
      <c r="C231" t="s">
        <v>867</v>
      </c>
      <c r="D231" t="s">
        <v>868</v>
      </c>
      <c r="E231" t="s">
        <v>869</v>
      </c>
      <c r="F231" t="s">
        <v>870</v>
      </c>
      <c r="G231" t="s">
        <v>871</v>
      </c>
      <c r="H231" t="s">
        <v>872</v>
      </c>
      <c r="I231" t="s">
        <v>22</v>
      </c>
      <c r="J231" t="s">
        <v>523</v>
      </c>
      <c r="K231" t="s">
        <v>22</v>
      </c>
      <c r="L231" t="s">
        <v>524</v>
      </c>
      <c r="N231" t="s">
        <v>983</v>
      </c>
      <c r="O231" t="s">
        <v>984</v>
      </c>
      <c r="P231" t="s">
        <v>238</v>
      </c>
      <c r="Q231" t="s">
        <v>805</v>
      </c>
      <c r="R231">
        <v>13732412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13732412</v>
      </c>
      <c r="Z231">
        <v>5247200</v>
      </c>
      <c r="AA231">
        <v>5247200</v>
      </c>
      <c r="AB231">
        <v>5247200</v>
      </c>
      <c r="AC231">
        <v>5247200</v>
      </c>
      <c r="AD231">
        <v>8485212</v>
      </c>
      <c r="AE231">
        <v>38.21</v>
      </c>
    </row>
    <row r="232" spans="1:31" x14ac:dyDescent="0.2">
      <c r="A232" t="s">
        <v>518</v>
      </c>
      <c r="B232" t="s">
        <v>877</v>
      </c>
      <c r="C232" t="s">
        <v>878</v>
      </c>
      <c r="D232" t="s">
        <v>879</v>
      </c>
      <c r="E232" t="s">
        <v>880</v>
      </c>
      <c r="F232" t="s">
        <v>881</v>
      </c>
      <c r="G232" t="s">
        <v>882</v>
      </c>
      <c r="H232" t="s">
        <v>883</v>
      </c>
      <c r="I232" t="s">
        <v>22</v>
      </c>
      <c r="J232" t="s">
        <v>523</v>
      </c>
      <c r="K232" t="s">
        <v>22</v>
      </c>
      <c r="L232" t="s">
        <v>524</v>
      </c>
      <c r="N232" t="s">
        <v>985</v>
      </c>
      <c r="O232" t="s">
        <v>986</v>
      </c>
      <c r="P232" t="s">
        <v>242</v>
      </c>
      <c r="Q232" t="s">
        <v>541</v>
      </c>
      <c r="R232">
        <v>15833877</v>
      </c>
      <c r="S232">
        <v>0</v>
      </c>
      <c r="T232">
        <v>15038177</v>
      </c>
      <c r="U232">
        <v>0</v>
      </c>
      <c r="V232">
        <v>0</v>
      </c>
      <c r="W232">
        <v>0</v>
      </c>
      <c r="X232">
        <v>0</v>
      </c>
      <c r="Y232">
        <v>795700</v>
      </c>
      <c r="Z232">
        <v>795700</v>
      </c>
      <c r="AA232">
        <v>795700</v>
      </c>
      <c r="AB232">
        <v>795700</v>
      </c>
      <c r="AC232">
        <v>795700</v>
      </c>
      <c r="AD232">
        <v>0</v>
      </c>
      <c r="AE232">
        <v>100</v>
      </c>
    </row>
    <row r="233" spans="1:31" x14ac:dyDescent="0.2">
      <c r="A233" t="s">
        <v>518</v>
      </c>
      <c r="B233" t="s">
        <v>877</v>
      </c>
      <c r="C233" t="s">
        <v>878</v>
      </c>
      <c r="D233" t="s">
        <v>879</v>
      </c>
      <c r="E233" t="s">
        <v>880</v>
      </c>
      <c r="F233" t="s">
        <v>881</v>
      </c>
      <c r="G233" t="s">
        <v>882</v>
      </c>
      <c r="H233" t="s">
        <v>883</v>
      </c>
      <c r="I233" t="s">
        <v>22</v>
      </c>
      <c r="J233" t="s">
        <v>523</v>
      </c>
      <c r="K233" t="s">
        <v>22</v>
      </c>
      <c r="L233" t="s">
        <v>524</v>
      </c>
      <c r="N233" t="s">
        <v>987</v>
      </c>
      <c r="O233" t="s">
        <v>986</v>
      </c>
      <c r="P233" t="s">
        <v>477</v>
      </c>
      <c r="Q233" t="s">
        <v>902</v>
      </c>
      <c r="R233">
        <v>0</v>
      </c>
      <c r="S233">
        <v>15038177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15038177</v>
      </c>
      <c r="Z233">
        <v>5265300</v>
      </c>
      <c r="AA233">
        <v>5265300</v>
      </c>
      <c r="AB233">
        <v>5265300</v>
      </c>
      <c r="AC233">
        <v>5265300</v>
      </c>
      <c r="AD233">
        <v>9772877</v>
      </c>
      <c r="AE233">
        <v>35.01</v>
      </c>
    </row>
    <row r="234" spans="1:31" x14ac:dyDescent="0.2">
      <c r="A234" t="s">
        <v>518</v>
      </c>
      <c r="B234" t="s">
        <v>519</v>
      </c>
      <c r="C234" t="s">
        <v>22</v>
      </c>
      <c r="D234" t="s">
        <v>520</v>
      </c>
      <c r="E234" t="s">
        <v>521</v>
      </c>
      <c r="F234" t="s">
        <v>522</v>
      </c>
      <c r="G234" t="s">
        <v>22</v>
      </c>
      <c r="H234" t="s">
        <v>22</v>
      </c>
      <c r="I234" t="s">
        <v>22</v>
      </c>
      <c r="J234" t="s">
        <v>523</v>
      </c>
      <c r="K234" t="s">
        <v>22</v>
      </c>
      <c r="L234" t="s">
        <v>524</v>
      </c>
      <c r="N234" t="s">
        <v>988</v>
      </c>
      <c r="O234" t="s">
        <v>989</v>
      </c>
      <c r="P234" t="s">
        <v>22</v>
      </c>
      <c r="Q234" t="s">
        <v>527</v>
      </c>
      <c r="R234">
        <v>44369362</v>
      </c>
      <c r="S234">
        <v>24882930</v>
      </c>
      <c r="T234">
        <v>24882930</v>
      </c>
      <c r="U234">
        <v>0</v>
      </c>
      <c r="V234">
        <v>0</v>
      </c>
      <c r="W234">
        <v>0</v>
      </c>
      <c r="X234">
        <v>0</v>
      </c>
      <c r="Y234">
        <v>44369362</v>
      </c>
      <c r="Z234">
        <v>34658981</v>
      </c>
      <c r="AA234">
        <v>34658981</v>
      </c>
      <c r="AB234">
        <v>34658981</v>
      </c>
      <c r="AC234">
        <v>34658981</v>
      </c>
      <c r="AD234">
        <v>9710381</v>
      </c>
      <c r="AE234">
        <v>78.11</v>
      </c>
    </row>
    <row r="235" spans="1:31" x14ac:dyDescent="0.2">
      <c r="A235" t="s">
        <v>518</v>
      </c>
      <c r="B235" t="s">
        <v>853</v>
      </c>
      <c r="C235" t="s">
        <v>854</v>
      </c>
      <c r="D235" t="s">
        <v>855</v>
      </c>
      <c r="E235" t="s">
        <v>856</v>
      </c>
      <c r="F235" t="s">
        <v>857</v>
      </c>
      <c r="G235" t="s">
        <v>858</v>
      </c>
      <c r="H235" t="s">
        <v>859</v>
      </c>
      <c r="I235" t="s">
        <v>22</v>
      </c>
      <c r="J235" t="s">
        <v>523</v>
      </c>
      <c r="K235" t="s">
        <v>22</v>
      </c>
      <c r="L235" t="s">
        <v>524</v>
      </c>
      <c r="N235" t="s">
        <v>990</v>
      </c>
      <c r="O235" t="s">
        <v>991</v>
      </c>
      <c r="P235" t="s">
        <v>242</v>
      </c>
      <c r="Q235" t="s">
        <v>541</v>
      </c>
      <c r="R235">
        <v>5542048</v>
      </c>
      <c r="S235">
        <v>0</v>
      </c>
      <c r="T235">
        <v>5542048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</row>
    <row r="236" spans="1:31" x14ac:dyDescent="0.2">
      <c r="A236" t="s">
        <v>518</v>
      </c>
      <c r="B236" t="s">
        <v>853</v>
      </c>
      <c r="C236" t="s">
        <v>854</v>
      </c>
      <c r="D236" t="s">
        <v>855</v>
      </c>
      <c r="E236" t="s">
        <v>856</v>
      </c>
      <c r="F236" t="s">
        <v>857</v>
      </c>
      <c r="G236" t="s">
        <v>858</v>
      </c>
      <c r="H236" t="s">
        <v>859</v>
      </c>
      <c r="I236" t="s">
        <v>22</v>
      </c>
      <c r="J236" t="s">
        <v>523</v>
      </c>
      <c r="K236" t="s">
        <v>22</v>
      </c>
      <c r="L236" t="s">
        <v>524</v>
      </c>
      <c r="N236" t="s">
        <v>992</v>
      </c>
      <c r="O236" t="s">
        <v>993</v>
      </c>
      <c r="P236" t="s">
        <v>242</v>
      </c>
      <c r="Q236" t="s">
        <v>541</v>
      </c>
      <c r="R236">
        <v>665045</v>
      </c>
      <c r="S236">
        <v>0</v>
      </c>
      <c r="T236">
        <v>19273</v>
      </c>
      <c r="U236">
        <v>0</v>
      </c>
      <c r="V236">
        <v>0</v>
      </c>
      <c r="W236">
        <v>0</v>
      </c>
      <c r="X236">
        <v>0</v>
      </c>
      <c r="Y236">
        <v>645772</v>
      </c>
      <c r="Z236">
        <v>645772</v>
      </c>
      <c r="AA236">
        <v>645772</v>
      </c>
      <c r="AB236">
        <v>645772</v>
      </c>
      <c r="AC236">
        <v>645772</v>
      </c>
      <c r="AD236">
        <v>0</v>
      </c>
      <c r="AE236">
        <v>100</v>
      </c>
    </row>
    <row r="237" spans="1:31" x14ac:dyDescent="0.2">
      <c r="A237" t="s">
        <v>518</v>
      </c>
      <c r="B237" t="s">
        <v>853</v>
      </c>
      <c r="C237" t="s">
        <v>854</v>
      </c>
      <c r="D237" t="s">
        <v>855</v>
      </c>
      <c r="E237" t="s">
        <v>856</v>
      </c>
      <c r="F237" t="s">
        <v>857</v>
      </c>
      <c r="G237" t="s">
        <v>858</v>
      </c>
      <c r="H237" t="s">
        <v>859</v>
      </c>
      <c r="I237" t="s">
        <v>22</v>
      </c>
      <c r="J237" t="s">
        <v>523</v>
      </c>
      <c r="K237" t="s">
        <v>22</v>
      </c>
      <c r="L237" t="s">
        <v>524</v>
      </c>
      <c r="N237" t="s">
        <v>994</v>
      </c>
      <c r="O237" t="s">
        <v>991</v>
      </c>
      <c r="P237" t="s">
        <v>483</v>
      </c>
      <c r="Q237" t="s">
        <v>863</v>
      </c>
      <c r="R237">
        <v>0</v>
      </c>
      <c r="S237">
        <v>5542048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5542048</v>
      </c>
      <c r="Z237">
        <v>5381434</v>
      </c>
      <c r="AA237">
        <v>5381434</v>
      </c>
      <c r="AB237">
        <v>5381434</v>
      </c>
      <c r="AC237">
        <v>5381434</v>
      </c>
      <c r="AD237">
        <v>160614</v>
      </c>
      <c r="AE237">
        <v>97.1</v>
      </c>
    </row>
    <row r="238" spans="1:31" x14ac:dyDescent="0.2">
      <c r="A238" t="s">
        <v>518</v>
      </c>
      <c r="B238" t="s">
        <v>853</v>
      </c>
      <c r="C238" t="s">
        <v>854</v>
      </c>
      <c r="D238" t="s">
        <v>855</v>
      </c>
      <c r="E238" t="s">
        <v>856</v>
      </c>
      <c r="F238" t="s">
        <v>857</v>
      </c>
      <c r="G238" t="s">
        <v>858</v>
      </c>
      <c r="H238" t="s">
        <v>859</v>
      </c>
      <c r="I238" t="s">
        <v>22</v>
      </c>
      <c r="J238" t="s">
        <v>523</v>
      </c>
      <c r="K238" t="s">
        <v>22</v>
      </c>
      <c r="L238" t="s">
        <v>524</v>
      </c>
      <c r="N238" t="s">
        <v>995</v>
      </c>
      <c r="O238" t="s">
        <v>993</v>
      </c>
      <c r="P238" t="s">
        <v>483</v>
      </c>
      <c r="Q238" t="s">
        <v>863</v>
      </c>
      <c r="R238">
        <v>0</v>
      </c>
      <c r="S238">
        <v>19273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19273</v>
      </c>
      <c r="Z238">
        <v>0</v>
      </c>
      <c r="AA238">
        <v>0</v>
      </c>
      <c r="AB238">
        <v>0</v>
      </c>
      <c r="AC238">
        <v>0</v>
      </c>
      <c r="AD238">
        <v>19273</v>
      </c>
      <c r="AE238">
        <v>0</v>
      </c>
    </row>
    <row r="239" spans="1:31" x14ac:dyDescent="0.2">
      <c r="A239" t="s">
        <v>518</v>
      </c>
      <c r="B239" t="s">
        <v>866</v>
      </c>
      <c r="C239" t="s">
        <v>867</v>
      </c>
      <c r="D239" t="s">
        <v>868</v>
      </c>
      <c r="E239" t="s">
        <v>869</v>
      </c>
      <c r="F239" t="s">
        <v>870</v>
      </c>
      <c r="G239" t="s">
        <v>871</v>
      </c>
      <c r="H239" t="s">
        <v>872</v>
      </c>
      <c r="I239" t="s">
        <v>22</v>
      </c>
      <c r="J239" t="s">
        <v>523</v>
      </c>
      <c r="K239" t="s">
        <v>22</v>
      </c>
      <c r="L239" t="s">
        <v>524</v>
      </c>
      <c r="N239" t="s">
        <v>996</v>
      </c>
      <c r="O239" t="s">
        <v>997</v>
      </c>
      <c r="P239" t="s">
        <v>238</v>
      </c>
      <c r="Q239" t="s">
        <v>805</v>
      </c>
      <c r="R239">
        <v>15825818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15825818</v>
      </c>
      <c r="Z239">
        <v>15197945</v>
      </c>
      <c r="AA239">
        <v>15197945</v>
      </c>
      <c r="AB239">
        <v>15197945</v>
      </c>
      <c r="AC239">
        <v>15197945</v>
      </c>
      <c r="AD239">
        <v>627873</v>
      </c>
      <c r="AE239">
        <v>96.03</v>
      </c>
    </row>
    <row r="240" spans="1:31" x14ac:dyDescent="0.2">
      <c r="A240" t="s">
        <v>518</v>
      </c>
      <c r="B240" t="s">
        <v>866</v>
      </c>
      <c r="C240" t="s">
        <v>867</v>
      </c>
      <c r="D240" t="s">
        <v>868</v>
      </c>
      <c r="E240" t="s">
        <v>869</v>
      </c>
      <c r="F240" t="s">
        <v>870</v>
      </c>
      <c r="G240" t="s">
        <v>871</v>
      </c>
      <c r="H240" t="s">
        <v>872</v>
      </c>
      <c r="I240" t="s">
        <v>22</v>
      </c>
      <c r="J240" t="s">
        <v>523</v>
      </c>
      <c r="K240" t="s">
        <v>22</v>
      </c>
      <c r="L240" t="s">
        <v>524</v>
      </c>
      <c r="N240" t="s">
        <v>998</v>
      </c>
      <c r="O240" t="s">
        <v>999</v>
      </c>
      <c r="P240" t="s">
        <v>238</v>
      </c>
      <c r="Q240" t="s">
        <v>805</v>
      </c>
      <c r="R240">
        <v>1899100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1899100</v>
      </c>
      <c r="Z240">
        <v>1823753</v>
      </c>
      <c r="AA240">
        <v>1823753</v>
      </c>
      <c r="AB240">
        <v>1823753</v>
      </c>
      <c r="AC240">
        <v>1823753</v>
      </c>
      <c r="AD240">
        <v>75347</v>
      </c>
      <c r="AE240">
        <v>96.03</v>
      </c>
    </row>
    <row r="241" spans="1:31" x14ac:dyDescent="0.2">
      <c r="A241" t="s">
        <v>518</v>
      </c>
      <c r="B241" t="s">
        <v>877</v>
      </c>
      <c r="C241" t="s">
        <v>878</v>
      </c>
      <c r="D241" t="s">
        <v>879</v>
      </c>
      <c r="E241" t="s">
        <v>880</v>
      </c>
      <c r="F241" t="s">
        <v>881</v>
      </c>
      <c r="G241" t="s">
        <v>882</v>
      </c>
      <c r="H241" t="s">
        <v>883</v>
      </c>
      <c r="I241" t="s">
        <v>22</v>
      </c>
      <c r="J241" t="s">
        <v>523</v>
      </c>
      <c r="K241" t="s">
        <v>22</v>
      </c>
      <c r="L241" t="s">
        <v>524</v>
      </c>
      <c r="N241" t="s">
        <v>1000</v>
      </c>
      <c r="O241" t="s">
        <v>1001</v>
      </c>
      <c r="P241" t="s">
        <v>242</v>
      </c>
      <c r="Q241" t="s">
        <v>541</v>
      </c>
      <c r="R241">
        <v>18247635</v>
      </c>
      <c r="S241">
        <v>0</v>
      </c>
      <c r="T241">
        <v>18247635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</row>
    <row r="242" spans="1:31" x14ac:dyDescent="0.2">
      <c r="A242" t="s">
        <v>518</v>
      </c>
      <c r="B242" t="s">
        <v>877</v>
      </c>
      <c r="C242" t="s">
        <v>878</v>
      </c>
      <c r="D242" t="s">
        <v>879</v>
      </c>
      <c r="E242" t="s">
        <v>880</v>
      </c>
      <c r="F242" t="s">
        <v>881</v>
      </c>
      <c r="G242" t="s">
        <v>882</v>
      </c>
      <c r="H242" t="s">
        <v>883</v>
      </c>
      <c r="I242" t="s">
        <v>22</v>
      </c>
      <c r="J242" t="s">
        <v>523</v>
      </c>
      <c r="K242" t="s">
        <v>22</v>
      </c>
      <c r="L242" t="s">
        <v>524</v>
      </c>
      <c r="N242" t="s">
        <v>1002</v>
      </c>
      <c r="O242" t="s">
        <v>1003</v>
      </c>
      <c r="P242" t="s">
        <v>242</v>
      </c>
      <c r="Q242" t="s">
        <v>541</v>
      </c>
      <c r="R242">
        <v>2189716</v>
      </c>
      <c r="S242">
        <v>0</v>
      </c>
      <c r="T242">
        <v>1073974</v>
      </c>
      <c r="U242">
        <v>0</v>
      </c>
      <c r="V242">
        <v>0</v>
      </c>
      <c r="W242">
        <v>0</v>
      </c>
      <c r="X242">
        <v>0</v>
      </c>
      <c r="Y242">
        <v>1115742</v>
      </c>
      <c r="Z242">
        <v>1115742</v>
      </c>
      <c r="AA242">
        <v>1115742</v>
      </c>
      <c r="AB242">
        <v>1115742</v>
      </c>
      <c r="AC242">
        <v>1115742</v>
      </c>
      <c r="AD242">
        <v>0</v>
      </c>
      <c r="AE242">
        <v>100</v>
      </c>
    </row>
    <row r="243" spans="1:31" x14ac:dyDescent="0.2">
      <c r="A243" t="s">
        <v>518</v>
      </c>
      <c r="B243" t="s">
        <v>877</v>
      </c>
      <c r="C243" t="s">
        <v>878</v>
      </c>
      <c r="D243" t="s">
        <v>879</v>
      </c>
      <c r="E243" t="s">
        <v>880</v>
      </c>
      <c r="F243" t="s">
        <v>881</v>
      </c>
      <c r="G243" t="s">
        <v>882</v>
      </c>
      <c r="H243" t="s">
        <v>883</v>
      </c>
      <c r="I243" t="s">
        <v>22</v>
      </c>
      <c r="J243" t="s">
        <v>523</v>
      </c>
      <c r="K243" t="s">
        <v>22</v>
      </c>
      <c r="L243" t="s">
        <v>524</v>
      </c>
      <c r="N243" t="s">
        <v>1004</v>
      </c>
      <c r="O243" t="s">
        <v>1001</v>
      </c>
      <c r="P243" t="s">
        <v>477</v>
      </c>
      <c r="Q243" t="s">
        <v>902</v>
      </c>
      <c r="R243">
        <v>0</v>
      </c>
      <c r="S243">
        <v>18247635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18247635</v>
      </c>
      <c r="Z243">
        <v>10465665</v>
      </c>
      <c r="AA243">
        <v>10465665</v>
      </c>
      <c r="AB243">
        <v>10465665</v>
      </c>
      <c r="AC243">
        <v>10465665</v>
      </c>
      <c r="AD243">
        <v>7781970</v>
      </c>
      <c r="AE243">
        <v>57.35</v>
      </c>
    </row>
    <row r="244" spans="1:31" x14ac:dyDescent="0.2">
      <c r="A244" t="s">
        <v>518</v>
      </c>
      <c r="B244" t="s">
        <v>877</v>
      </c>
      <c r="C244" t="s">
        <v>878</v>
      </c>
      <c r="D244" t="s">
        <v>879</v>
      </c>
      <c r="E244" t="s">
        <v>880</v>
      </c>
      <c r="F244" t="s">
        <v>881</v>
      </c>
      <c r="G244" t="s">
        <v>882</v>
      </c>
      <c r="H244" t="s">
        <v>883</v>
      </c>
      <c r="I244" t="s">
        <v>22</v>
      </c>
      <c r="J244" t="s">
        <v>523</v>
      </c>
      <c r="K244" t="s">
        <v>22</v>
      </c>
      <c r="L244" t="s">
        <v>524</v>
      </c>
      <c r="N244" t="s">
        <v>1005</v>
      </c>
      <c r="O244" t="s">
        <v>1003</v>
      </c>
      <c r="P244" t="s">
        <v>461</v>
      </c>
      <c r="Q244" t="s">
        <v>904</v>
      </c>
      <c r="R244">
        <v>0</v>
      </c>
      <c r="S244">
        <v>1073974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1073974</v>
      </c>
      <c r="Z244">
        <v>28670</v>
      </c>
      <c r="AA244">
        <v>28670</v>
      </c>
      <c r="AB244">
        <v>28670</v>
      </c>
      <c r="AC244">
        <v>28670</v>
      </c>
      <c r="AD244">
        <v>1045304</v>
      </c>
      <c r="AE244">
        <v>2.67</v>
      </c>
    </row>
    <row r="245" spans="1:31" x14ac:dyDescent="0.2">
      <c r="A245" t="s">
        <v>518</v>
      </c>
      <c r="B245" t="s">
        <v>519</v>
      </c>
      <c r="C245" t="s">
        <v>22</v>
      </c>
      <c r="D245" t="s">
        <v>520</v>
      </c>
      <c r="E245" t="s">
        <v>521</v>
      </c>
      <c r="F245" t="s">
        <v>522</v>
      </c>
      <c r="G245" t="s">
        <v>22</v>
      </c>
      <c r="H245" t="s">
        <v>22</v>
      </c>
      <c r="I245" t="s">
        <v>22</v>
      </c>
      <c r="J245" t="s">
        <v>523</v>
      </c>
      <c r="K245" t="s">
        <v>22</v>
      </c>
      <c r="L245" t="s">
        <v>524</v>
      </c>
      <c r="N245" t="s">
        <v>1006</v>
      </c>
      <c r="O245" t="s">
        <v>1007</v>
      </c>
      <c r="P245" t="s">
        <v>22</v>
      </c>
      <c r="Q245" t="s">
        <v>527</v>
      </c>
      <c r="R245">
        <v>19537096</v>
      </c>
      <c r="S245">
        <v>11177070</v>
      </c>
      <c r="T245">
        <v>11177070</v>
      </c>
      <c r="U245">
        <v>0</v>
      </c>
      <c r="V245">
        <v>0</v>
      </c>
      <c r="W245">
        <v>0</v>
      </c>
      <c r="X245">
        <v>0</v>
      </c>
      <c r="Y245">
        <v>19537096</v>
      </c>
      <c r="Z245">
        <v>6216800</v>
      </c>
      <c r="AA245">
        <v>6216800</v>
      </c>
      <c r="AB245">
        <v>6216800</v>
      </c>
      <c r="AC245">
        <v>6216800</v>
      </c>
      <c r="AD245">
        <v>13320296</v>
      </c>
      <c r="AE245">
        <v>31.82</v>
      </c>
    </row>
    <row r="246" spans="1:31" x14ac:dyDescent="0.2">
      <c r="A246" t="s">
        <v>518</v>
      </c>
      <c r="B246" t="s">
        <v>853</v>
      </c>
      <c r="C246" t="s">
        <v>854</v>
      </c>
      <c r="D246" t="s">
        <v>855</v>
      </c>
      <c r="E246" t="s">
        <v>856</v>
      </c>
      <c r="F246" t="s">
        <v>857</v>
      </c>
      <c r="G246" t="s">
        <v>858</v>
      </c>
      <c r="H246" t="s">
        <v>859</v>
      </c>
      <c r="I246" t="s">
        <v>22</v>
      </c>
      <c r="J246" t="s">
        <v>523</v>
      </c>
      <c r="K246" t="s">
        <v>22</v>
      </c>
      <c r="L246" t="s">
        <v>524</v>
      </c>
      <c r="N246" t="s">
        <v>1008</v>
      </c>
      <c r="O246" t="s">
        <v>1009</v>
      </c>
      <c r="P246" t="s">
        <v>242</v>
      </c>
      <c r="Q246" t="s">
        <v>541</v>
      </c>
      <c r="R246">
        <v>2702621</v>
      </c>
      <c r="S246">
        <v>0</v>
      </c>
      <c r="T246">
        <v>2445021</v>
      </c>
      <c r="U246">
        <v>0</v>
      </c>
      <c r="V246">
        <v>0</v>
      </c>
      <c r="W246">
        <v>0</v>
      </c>
      <c r="X246">
        <v>0</v>
      </c>
      <c r="Y246">
        <v>257600</v>
      </c>
      <c r="Z246">
        <v>257600</v>
      </c>
      <c r="AA246">
        <v>257600</v>
      </c>
      <c r="AB246">
        <v>257600</v>
      </c>
      <c r="AC246">
        <v>257600</v>
      </c>
      <c r="AD246">
        <v>0</v>
      </c>
      <c r="AE246">
        <v>100</v>
      </c>
    </row>
    <row r="247" spans="1:31" x14ac:dyDescent="0.2">
      <c r="A247" t="s">
        <v>518</v>
      </c>
      <c r="B247" t="s">
        <v>853</v>
      </c>
      <c r="C247" t="s">
        <v>854</v>
      </c>
      <c r="D247" t="s">
        <v>855</v>
      </c>
      <c r="E247" t="s">
        <v>856</v>
      </c>
      <c r="F247" t="s">
        <v>857</v>
      </c>
      <c r="G247" t="s">
        <v>858</v>
      </c>
      <c r="H247" t="s">
        <v>859</v>
      </c>
      <c r="I247" t="s">
        <v>22</v>
      </c>
      <c r="J247" t="s">
        <v>523</v>
      </c>
      <c r="K247" t="s">
        <v>22</v>
      </c>
      <c r="L247" t="s">
        <v>524</v>
      </c>
      <c r="N247" t="s">
        <v>1010</v>
      </c>
      <c r="O247" t="s">
        <v>1009</v>
      </c>
      <c r="P247" t="s">
        <v>483</v>
      </c>
      <c r="Q247" t="s">
        <v>863</v>
      </c>
      <c r="R247">
        <v>0</v>
      </c>
      <c r="S247">
        <v>2445021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2445021</v>
      </c>
      <c r="Z247">
        <v>815000</v>
      </c>
      <c r="AA247">
        <v>815000</v>
      </c>
      <c r="AB247">
        <v>815000</v>
      </c>
      <c r="AC247">
        <v>815000</v>
      </c>
      <c r="AD247">
        <v>1630021</v>
      </c>
      <c r="AE247">
        <v>33.33</v>
      </c>
    </row>
    <row r="248" spans="1:31" x14ac:dyDescent="0.2">
      <c r="A248" t="s">
        <v>518</v>
      </c>
      <c r="B248" t="s">
        <v>866</v>
      </c>
      <c r="C248" t="s">
        <v>867</v>
      </c>
      <c r="D248" t="s">
        <v>868</v>
      </c>
      <c r="E248" t="s">
        <v>869</v>
      </c>
      <c r="F248" t="s">
        <v>870</v>
      </c>
      <c r="G248" t="s">
        <v>871</v>
      </c>
      <c r="H248" t="s">
        <v>872</v>
      </c>
      <c r="I248" t="s">
        <v>22</v>
      </c>
      <c r="J248" t="s">
        <v>523</v>
      </c>
      <c r="K248" t="s">
        <v>22</v>
      </c>
      <c r="L248" t="s">
        <v>524</v>
      </c>
      <c r="N248" t="s">
        <v>1011</v>
      </c>
      <c r="O248" t="s">
        <v>1012</v>
      </c>
      <c r="P248" t="s">
        <v>238</v>
      </c>
      <c r="Q248" t="s">
        <v>805</v>
      </c>
      <c r="R248">
        <v>7804526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7804526</v>
      </c>
      <c r="Z248">
        <v>2469000</v>
      </c>
      <c r="AA248">
        <v>2469000</v>
      </c>
      <c r="AB248">
        <v>2469000</v>
      </c>
      <c r="AC248">
        <v>2469000</v>
      </c>
      <c r="AD248">
        <v>5335526</v>
      </c>
      <c r="AE248">
        <v>31.64</v>
      </c>
    </row>
    <row r="249" spans="1:31" x14ac:dyDescent="0.2">
      <c r="A249" t="s">
        <v>518</v>
      </c>
      <c r="B249" t="s">
        <v>877</v>
      </c>
      <c r="C249" t="s">
        <v>878</v>
      </c>
      <c r="D249" t="s">
        <v>879</v>
      </c>
      <c r="E249" t="s">
        <v>880</v>
      </c>
      <c r="F249" t="s">
        <v>881</v>
      </c>
      <c r="G249" t="s">
        <v>882</v>
      </c>
      <c r="H249" t="s">
        <v>883</v>
      </c>
      <c r="I249" t="s">
        <v>22</v>
      </c>
      <c r="J249" t="s">
        <v>523</v>
      </c>
      <c r="K249" t="s">
        <v>22</v>
      </c>
      <c r="L249" t="s">
        <v>524</v>
      </c>
      <c r="N249" t="s">
        <v>1013</v>
      </c>
      <c r="O249" t="s">
        <v>1014</v>
      </c>
      <c r="P249" t="s">
        <v>242</v>
      </c>
      <c r="Q249" t="s">
        <v>541</v>
      </c>
      <c r="R249">
        <v>9029949</v>
      </c>
      <c r="S249">
        <v>0</v>
      </c>
      <c r="T249">
        <v>8732049</v>
      </c>
      <c r="U249">
        <v>0</v>
      </c>
      <c r="V249">
        <v>0</v>
      </c>
      <c r="W249">
        <v>0</v>
      </c>
      <c r="X249">
        <v>0</v>
      </c>
      <c r="Y249">
        <v>297900</v>
      </c>
      <c r="Z249">
        <v>297900</v>
      </c>
      <c r="AA249">
        <v>297900</v>
      </c>
      <c r="AB249">
        <v>297900</v>
      </c>
      <c r="AC249">
        <v>297900</v>
      </c>
      <c r="AD249">
        <v>0</v>
      </c>
      <c r="AE249">
        <v>100</v>
      </c>
    </row>
    <row r="250" spans="1:31" x14ac:dyDescent="0.2">
      <c r="A250" t="s">
        <v>518</v>
      </c>
      <c r="B250" t="s">
        <v>877</v>
      </c>
      <c r="C250" t="s">
        <v>878</v>
      </c>
      <c r="D250" t="s">
        <v>879</v>
      </c>
      <c r="E250" t="s">
        <v>880</v>
      </c>
      <c r="F250" t="s">
        <v>881</v>
      </c>
      <c r="G250" t="s">
        <v>882</v>
      </c>
      <c r="H250" t="s">
        <v>883</v>
      </c>
      <c r="I250" t="s">
        <v>22</v>
      </c>
      <c r="J250" t="s">
        <v>523</v>
      </c>
      <c r="K250" t="s">
        <v>22</v>
      </c>
      <c r="L250" t="s">
        <v>524</v>
      </c>
      <c r="N250" t="s">
        <v>1015</v>
      </c>
      <c r="O250" t="s">
        <v>1014</v>
      </c>
      <c r="P250" t="s">
        <v>477</v>
      </c>
      <c r="Q250" t="s">
        <v>902</v>
      </c>
      <c r="R250">
        <v>0</v>
      </c>
      <c r="S250">
        <v>8732049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8732049</v>
      </c>
      <c r="Z250">
        <v>2377300</v>
      </c>
      <c r="AA250">
        <v>2377300</v>
      </c>
      <c r="AB250">
        <v>2377300</v>
      </c>
      <c r="AC250">
        <v>2377300</v>
      </c>
      <c r="AD250">
        <v>6354749</v>
      </c>
      <c r="AE250">
        <v>27.22</v>
      </c>
    </row>
    <row r="251" spans="1:31" x14ac:dyDescent="0.2">
      <c r="A251" t="s">
        <v>518</v>
      </c>
      <c r="B251" t="s">
        <v>519</v>
      </c>
      <c r="C251" t="s">
        <v>22</v>
      </c>
      <c r="D251" t="s">
        <v>520</v>
      </c>
      <c r="E251" t="s">
        <v>521</v>
      </c>
      <c r="F251" t="s">
        <v>522</v>
      </c>
      <c r="G251" t="s">
        <v>22</v>
      </c>
      <c r="H251" t="s">
        <v>22</v>
      </c>
      <c r="I251" t="s">
        <v>22</v>
      </c>
      <c r="J251" t="s">
        <v>523</v>
      </c>
      <c r="K251" t="s">
        <v>22</v>
      </c>
      <c r="L251" t="s">
        <v>524</v>
      </c>
      <c r="N251" t="s">
        <v>1016</v>
      </c>
      <c r="O251" t="s">
        <v>1017</v>
      </c>
      <c r="P251" t="s">
        <v>22</v>
      </c>
      <c r="Q251" t="s">
        <v>527</v>
      </c>
      <c r="R251">
        <v>2232376</v>
      </c>
      <c r="S251">
        <v>1281774</v>
      </c>
      <c r="T251">
        <v>1281774</v>
      </c>
      <c r="U251">
        <v>0</v>
      </c>
      <c r="V251">
        <v>0</v>
      </c>
      <c r="W251">
        <v>0</v>
      </c>
      <c r="X251">
        <v>0</v>
      </c>
      <c r="Y251">
        <v>2232376</v>
      </c>
      <c r="Z251">
        <v>741900</v>
      </c>
      <c r="AA251">
        <v>741900</v>
      </c>
      <c r="AB251">
        <v>741900</v>
      </c>
      <c r="AC251">
        <v>741900</v>
      </c>
      <c r="AD251">
        <v>1490476</v>
      </c>
      <c r="AE251">
        <v>33.229999999999997</v>
      </c>
    </row>
    <row r="252" spans="1:31" x14ac:dyDescent="0.2">
      <c r="A252" t="s">
        <v>518</v>
      </c>
      <c r="B252" t="s">
        <v>853</v>
      </c>
      <c r="C252" t="s">
        <v>854</v>
      </c>
      <c r="D252" t="s">
        <v>855</v>
      </c>
      <c r="E252" t="s">
        <v>856</v>
      </c>
      <c r="F252" t="s">
        <v>857</v>
      </c>
      <c r="G252" t="s">
        <v>858</v>
      </c>
      <c r="H252" t="s">
        <v>859</v>
      </c>
      <c r="I252" t="s">
        <v>22</v>
      </c>
      <c r="J252" t="s">
        <v>523</v>
      </c>
      <c r="K252" t="s">
        <v>22</v>
      </c>
      <c r="L252" t="s">
        <v>524</v>
      </c>
      <c r="N252" t="s">
        <v>1018</v>
      </c>
      <c r="O252" t="s">
        <v>1019</v>
      </c>
      <c r="P252" t="s">
        <v>242</v>
      </c>
      <c r="Q252" t="s">
        <v>541</v>
      </c>
      <c r="R252">
        <v>312301</v>
      </c>
      <c r="S252">
        <v>0</v>
      </c>
      <c r="T252">
        <v>291601</v>
      </c>
      <c r="U252">
        <v>0</v>
      </c>
      <c r="V252">
        <v>0</v>
      </c>
      <c r="W252">
        <v>0</v>
      </c>
      <c r="X252">
        <v>0</v>
      </c>
      <c r="Y252">
        <v>20700</v>
      </c>
      <c r="Z252">
        <v>20700</v>
      </c>
      <c r="AA252">
        <v>20700</v>
      </c>
      <c r="AB252">
        <v>20700</v>
      </c>
      <c r="AC252">
        <v>20700</v>
      </c>
      <c r="AD252">
        <v>0</v>
      </c>
      <c r="AE252">
        <v>100</v>
      </c>
    </row>
    <row r="253" spans="1:31" x14ac:dyDescent="0.2">
      <c r="A253" t="s">
        <v>518</v>
      </c>
      <c r="B253" t="s">
        <v>853</v>
      </c>
      <c r="C253" t="s">
        <v>854</v>
      </c>
      <c r="D253" t="s">
        <v>855</v>
      </c>
      <c r="E253" t="s">
        <v>856</v>
      </c>
      <c r="F253" t="s">
        <v>857</v>
      </c>
      <c r="G253" t="s">
        <v>858</v>
      </c>
      <c r="H253" t="s">
        <v>859</v>
      </c>
      <c r="I253" t="s">
        <v>22</v>
      </c>
      <c r="J253" t="s">
        <v>523</v>
      </c>
      <c r="K253" t="s">
        <v>22</v>
      </c>
      <c r="L253" t="s">
        <v>524</v>
      </c>
      <c r="N253" t="s">
        <v>1020</v>
      </c>
      <c r="O253" t="s">
        <v>1019</v>
      </c>
      <c r="P253" t="s">
        <v>483</v>
      </c>
      <c r="Q253" t="s">
        <v>863</v>
      </c>
      <c r="R253">
        <v>0</v>
      </c>
      <c r="S253">
        <v>291601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291601</v>
      </c>
      <c r="Z253">
        <v>102800</v>
      </c>
      <c r="AA253">
        <v>102800</v>
      </c>
      <c r="AB253">
        <v>102800</v>
      </c>
      <c r="AC253">
        <v>102800</v>
      </c>
      <c r="AD253">
        <v>188801</v>
      </c>
      <c r="AE253">
        <v>35.25</v>
      </c>
    </row>
    <row r="254" spans="1:31" x14ac:dyDescent="0.2">
      <c r="A254" t="s">
        <v>518</v>
      </c>
      <c r="B254" t="s">
        <v>866</v>
      </c>
      <c r="C254" t="s">
        <v>867</v>
      </c>
      <c r="D254" t="s">
        <v>868</v>
      </c>
      <c r="E254" t="s">
        <v>869</v>
      </c>
      <c r="F254" t="s">
        <v>870</v>
      </c>
      <c r="G254" t="s">
        <v>871</v>
      </c>
      <c r="H254" t="s">
        <v>872</v>
      </c>
      <c r="I254" t="s">
        <v>22</v>
      </c>
      <c r="J254" t="s">
        <v>523</v>
      </c>
      <c r="K254" t="s">
        <v>22</v>
      </c>
      <c r="L254" t="s">
        <v>524</v>
      </c>
      <c r="N254" t="s">
        <v>1021</v>
      </c>
      <c r="O254" t="s">
        <v>1022</v>
      </c>
      <c r="P254" t="s">
        <v>238</v>
      </c>
      <c r="Q254" t="s">
        <v>805</v>
      </c>
      <c r="R254">
        <v>891802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891802</v>
      </c>
      <c r="Z254">
        <v>298500</v>
      </c>
      <c r="AA254">
        <v>298500</v>
      </c>
      <c r="AB254">
        <v>298500</v>
      </c>
      <c r="AC254">
        <v>298500</v>
      </c>
      <c r="AD254">
        <v>593302</v>
      </c>
      <c r="AE254">
        <v>33.47</v>
      </c>
    </row>
    <row r="255" spans="1:31" x14ac:dyDescent="0.2">
      <c r="A255" t="s">
        <v>518</v>
      </c>
      <c r="B255" t="s">
        <v>877</v>
      </c>
      <c r="C255" t="s">
        <v>878</v>
      </c>
      <c r="D255" t="s">
        <v>879</v>
      </c>
      <c r="E255" t="s">
        <v>880</v>
      </c>
      <c r="F255" t="s">
        <v>881</v>
      </c>
      <c r="G255" t="s">
        <v>882</v>
      </c>
      <c r="H255" t="s">
        <v>883</v>
      </c>
      <c r="I255" t="s">
        <v>22</v>
      </c>
      <c r="J255" t="s">
        <v>523</v>
      </c>
      <c r="K255" t="s">
        <v>22</v>
      </c>
      <c r="L255" t="s">
        <v>524</v>
      </c>
      <c r="N255" t="s">
        <v>1023</v>
      </c>
      <c r="O255" t="s">
        <v>1024</v>
      </c>
      <c r="P255" t="s">
        <v>242</v>
      </c>
      <c r="Q255" t="s">
        <v>541</v>
      </c>
      <c r="R255">
        <v>1028273</v>
      </c>
      <c r="S255">
        <v>0</v>
      </c>
      <c r="T255">
        <v>990173</v>
      </c>
      <c r="U255">
        <v>0</v>
      </c>
      <c r="V255">
        <v>0</v>
      </c>
      <c r="W255">
        <v>0</v>
      </c>
      <c r="X255">
        <v>0</v>
      </c>
      <c r="Y255">
        <v>38100</v>
      </c>
      <c r="Z255">
        <v>38100</v>
      </c>
      <c r="AA255">
        <v>38100</v>
      </c>
      <c r="AB255">
        <v>38100</v>
      </c>
      <c r="AC255">
        <v>38100</v>
      </c>
      <c r="AD255">
        <v>0</v>
      </c>
      <c r="AE255">
        <v>100</v>
      </c>
    </row>
    <row r="256" spans="1:31" x14ac:dyDescent="0.2">
      <c r="A256" t="s">
        <v>518</v>
      </c>
      <c r="B256" t="s">
        <v>877</v>
      </c>
      <c r="C256" t="s">
        <v>878</v>
      </c>
      <c r="D256" t="s">
        <v>879</v>
      </c>
      <c r="E256" t="s">
        <v>880</v>
      </c>
      <c r="F256" t="s">
        <v>881</v>
      </c>
      <c r="G256" t="s">
        <v>882</v>
      </c>
      <c r="H256" t="s">
        <v>883</v>
      </c>
      <c r="I256" t="s">
        <v>22</v>
      </c>
      <c r="J256" t="s">
        <v>523</v>
      </c>
      <c r="K256" t="s">
        <v>22</v>
      </c>
      <c r="L256" t="s">
        <v>524</v>
      </c>
      <c r="N256" t="s">
        <v>1025</v>
      </c>
      <c r="O256" t="s">
        <v>1024</v>
      </c>
      <c r="P256" t="s">
        <v>461</v>
      </c>
      <c r="Q256" t="s">
        <v>904</v>
      </c>
      <c r="R256">
        <v>0</v>
      </c>
      <c r="S256">
        <v>990173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990173</v>
      </c>
      <c r="Z256">
        <v>281800</v>
      </c>
      <c r="AA256">
        <v>281800</v>
      </c>
      <c r="AB256">
        <v>281800</v>
      </c>
      <c r="AC256">
        <v>281800</v>
      </c>
      <c r="AD256">
        <v>708373</v>
      </c>
      <c r="AE256">
        <v>28.46</v>
      </c>
    </row>
    <row r="257" spans="1:31" x14ac:dyDescent="0.2">
      <c r="A257" t="s">
        <v>518</v>
      </c>
      <c r="B257" t="s">
        <v>519</v>
      </c>
      <c r="C257" t="s">
        <v>22</v>
      </c>
      <c r="D257" t="s">
        <v>520</v>
      </c>
      <c r="E257" t="s">
        <v>521</v>
      </c>
      <c r="F257" t="s">
        <v>522</v>
      </c>
      <c r="G257" t="s">
        <v>22</v>
      </c>
      <c r="H257" t="s">
        <v>22</v>
      </c>
      <c r="I257" t="s">
        <v>22</v>
      </c>
      <c r="J257" t="s">
        <v>523</v>
      </c>
      <c r="K257" t="s">
        <v>22</v>
      </c>
      <c r="L257" t="s">
        <v>524</v>
      </c>
      <c r="N257" t="s">
        <v>1026</v>
      </c>
      <c r="O257" t="s">
        <v>1027</v>
      </c>
      <c r="P257" t="s">
        <v>22</v>
      </c>
      <c r="Q257" t="s">
        <v>527</v>
      </c>
      <c r="R257">
        <v>14652824</v>
      </c>
      <c r="S257">
        <v>8358831</v>
      </c>
      <c r="T257">
        <v>8358831</v>
      </c>
      <c r="U257">
        <v>0</v>
      </c>
      <c r="V257">
        <v>0</v>
      </c>
      <c r="W257">
        <v>0</v>
      </c>
      <c r="X257">
        <v>0</v>
      </c>
      <c r="Y257">
        <v>14652824</v>
      </c>
      <c r="Z257">
        <v>4663100</v>
      </c>
      <c r="AA257">
        <v>4663100</v>
      </c>
      <c r="AB257">
        <v>4663100</v>
      </c>
      <c r="AC257">
        <v>4663100</v>
      </c>
      <c r="AD257">
        <v>9989724</v>
      </c>
      <c r="AE257">
        <v>31.82</v>
      </c>
    </row>
    <row r="258" spans="1:31" x14ac:dyDescent="0.2">
      <c r="A258" t="s">
        <v>518</v>
      </c>
      <c r="B258" t="s">
        <v>853</v>
      </c>
      <c r="C258" t="s">
        <v>854</v>
      </c>
      <c r="D258" t="s">
        <v>855</v>
      </c>
      <c r="E258" t="s">
        <v>856</v>
      </c>
      <c r="F258" t="s">
        <v>857</v>
      </c>
      <c r="G258" t="s">
        <v>858</v>
      </c>
      <c r="H258" t="s">
        <v>859</v>
      </c>
      <c r="I258" t="s">
        <v>22</v>
      </c>
      <c r="J258" t="s">
        <v>523</v>
      </c>
      <c r="K258" t="s">
        <v>22</v>
      </c>
      <c r="L258" t="s">
        <v>524</v>
      </c>
      <c r="N258" t="s">
        <v>1028</v>
      </c>
      <c r="O258" t="s">
        <v>1029</v>
      </c>
      <c r="P258" t="s">
        <v>242</v>
      </c>
      <c r="Q258" t="s">
        <v>541</v>
      </c>
      <c r="R258">
        <v>2026967</v>
      </c>
      <c r="S258">
        <v>0</v>
      </c>
      <c r="T258">
        <v>1809867</v>
      </c>
      <c r="U258">
        <v>0</v>
      </c>
      <c r="V258">
        <v>0</v>
      </c>
      <c r="W258">
        <v>0</v>
      </c>
      <c r="X258">
        <v>0</v>
      </c>
      <c r="Y258">
        <v>217100</v>
      </c>
      <c r="Z258">
        <v>193300</v>
      </c>
      <c r="AA258">
        <v>193300</v>
      </c>
      <c r="AB258">
        <v>193300</v>
      </c>
      <c r="AC258">
        <v>193300</v>
      </c>
      <c r="AD258">
        <v>23800</v>
      </c>
      <c r="AE258">
        <v>89.04</v>
      </c>
    </row>
    <row r="259" spans="1:31" x14ac:dyDescent="0.2">
      <c r="A259" t="s">
        <v>518</v>
      </c>
      <c r="B259" t="s">
        <v>853</v>
      </c>
      <c r="C259" t="s">
        <v>854</v>
      </c>
      <c r="D259" t="s">
        <v>855</v>
      </c>
      <c r="E259" t="s">
        <v>856</v>
      </c>
      <c r="F259" t="s">
        <v>857</v>
      </c>
      <c r="G259" t="s">
        <v>858</v>
      </c>
      <c r="H259" t="s">
        <v>859</v>
      </c>
      <c r="I259" t="s">
        <v>22</v>
      </c>
      <c r="J259" t="s">
        <v>523</v>
      </c>
      <c r="K259" t="s">
        <v>22</v>
      </c>
      <c r="L259" t="s">
        <v>524</v>
      </c>
      <c r="N259" t="s">
        <v>1030</v>
      </c>
      <c r="O259" t="s">
        <v>1029</v>
      </c>
      <c r="P259" t="s">
        <v>483</v>
      </c>
      <c r="Q259" t="s">
        <v>863</v>
      </c>
      <c r="R259">
        <v>0</v>
      </c>
      <c r="S259">
        <v>1809867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1809867</v>
      </c>
      <c r="Z259">
        <v>611100</v>
      </c>
      <c r="AA259">
        <v>611100</v>
      </c>
      <c r="AB259">
        <v>611100</v>
      </c>
      <c r="AC259">
        <v>611100</v>
      </c>
      <c r="AD259">
        <v>1198767</v>
      </c>
      <c r="AE259">
        <v>33.76</v>
      </c>
    </row>
    <row r="260" spans="1:31" x14ac:dyDescent="0.2">
      <c r="A260" t="s">
        <v>518</v>
      </c>
      <c r="B260" t="s">
        <v>866</v>
      </c>
      <c r="C260" t="s">
        <v>867</v>
      </c>
      <c r="D260" t="s">
        <v>868</v>
      </c>
      <c r="E260" t="s">
        <v>869</v>
      </c>
      <c r="F260" t="s">
        <v>870</v>
      </c>
      <c r="G260" t="s">
        <v>871</v>
      </c>
      <c r="H260" t="s">
        <v>872</v>
      </c>
      <c r="I260" t="s">
        <v>22</v>
      </c>
      <c r="J260" t="s">
        <v>523</v>
      </c>
      <c r="K260" t="s">
        <v>22</v>
      </c>
      <c r="L260" t="s">
        <v>524</v>
      </c>
      <c r="N260" t="s">
        <v>1031</v>
      </c>
      <c r="O260" t="s">
        <v>1032</v>
      </c>
      <c r="P260" t="s">
        <v>238</v>
      </c>
      <c r="Q260" t="s">
        <v>805</v>
      </c>
      <c r="R260">
        <v>5853393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5853393</v>
      </c>
      <c r="Z260">
        <v>1852300</v>
      </c>
      <c r="AA260">
        <v>1852300</v>
      </c>
      <c r="AB260">
        <v>1852300</v>
      </c>
      <c r="AC260">
        <v>1852300</v>
      </c>
      <c r="AD260">
        <v>4001093</v>
      </c>
      <c r="AE260">
        <v>31.64</v>
      </c>
    </row>
    <row r="261" spans="1:31" x14ac:dyDescent="0.2">
      <c r="A261" t="s">
        <v>518</v>
      </c>
      <c r="B261" t="s">
        <v>877</v>
      </c>
      <c r="C261" t="s">
        <v>878</v>
      </c>
      <c r="D261" t="s">
        <v>879</v>
      </c>
      <c r="E261" t="s">
        <v>880</v>
      </c>
      <c r="F261" t="s">
        <v>881</v>
      </c>
      <c r="G261" t="s">
        <v>882</v>
      </c>
      <c r="H261" t="s">
        <v>883</v>
      </c>
      <c r="I261" t="s">
        <v>22</v>
      </c>
      <c r="J261" t="s">
        <v>523</v>
      </c>
      <c r="K261" t="s">
        <v>22</v>
      </c>
      <c r="L261" t="s">
        <v>524</v>
      </c>
      <c r="N261" t="s">
        <v>1033</v>
      </c>
      <c r="O261" t="s">
        <v>1034</v>
      </c>
      <c r="P261" t="s">
        <v>242</v>
      </c>
      <c r="Q261" t="s">
        <v>541</v>
      </c>
      <c r="R261">
        <v>6772464</v>
      </c>
      <c r="S261">
        <v>0</v>
      </c>
      <c r="T261">
        <v>6548964</v>
      </c>
      <c r="U261">
        <v>0</v>
      </c>
      <c r="V261">
        <v>0</v>
      </c>
      <c r="W261">
        <v>0</v>
      </c>
      <c r="X261">
        <v>0</v>
      </c>
      <c r="Y261">
        <v>223500</v>
      </c>
      <c r="Z261">
        <v>223500</v>
      </c>
      <c r="AA261">
        <v>223500</v>
      </c>
      <c r="AB261">
        <v>223500</v>
      </c>
      <c r="AC261">
        <v>223500</v>
      </c>
      <c r="AD261">
        <v>0</v>
      </c>
      <c r="AE261">
        <v>100</v>
      </c>
    </row>
    <row r="262" spans="1:31" x14ac:dyDescent="0.2">
      <c r="A262" t="s">
        <v>518</v>
      </c>
      <c r="B262" t="s">
        <v>877</v>
      </c>
      <c r="C262" t="s">
        <v>878</v>
      </c>
      <c r="D262" t="s">
        <v>879</v>
      </c>
      <c r="E262" t="s">
        <v>880</v>
      </c>
      <c r="F262" t="s">
        <v>881</v>
      </c>
      <c r="G262" t="s">
        <v>882</v>
      </c>
      <c r="H262" t="s">
        <v>883</v>
      </c>
      <c r="I262" t="s">
        <v>22</v>
      </c>
      <c r="J262" t="s">
        <v>523</v>
      </c>
      <c r="K262" t="s">
        <v>22</v>
      </c>
      <c r="L262" t="s">
        <v>524</v>
      </c>
      <c r="N262" t="s">
        <v>1035</v>
      </c>
      <c r="O262" t="s">
        <v>1034</v>
      </c>
      <c r="P262" t="s">
        <v>461</v>
      </c>
      <c r="Q262" t="s">
        <v>904</v>
      </c>
      <c r="R262">
        <v>0</v>
      </c>
      <c r="S262">
        <v>6548964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6548964</v>
      </c>
      <c r="Z262">
        <v>1782900</v>
      </c>
      <c r="AA262">
        <v>1782900</v>
      </c>
      <c r="AB262">
        <v>1782900</v>
      </c>
      <c r="AC262">
        <v>1782900</v>
      </c>
      <c r="AD262">
        <v>4766064</v>
      </c>
      <c r="AE262">
        <v>27.22</v>
      </c>
    </row>
    <row r="263" spans="1:31" x14ac:dyDescent="0.2">
      <c r="A263" t="s">
        <v>518</v>
      </c>
      <c r="B263" t="s">
        <v>519</v>
      </c>
      <c r="C263" t="s">
        <v>22</v>
      </c>
      <c r="D263" t="s">
        <v>520</v>
      </c>
      <c r="E263" t="s">
        <v>521</v>
      </c>
      <c r="F263" t="s">
        <v>522</v>
      </c>
      <c r="G263" t="s">
        <v>22</v>
      </c>
      <c r="H263" t="s">
        <v>22</v>
      </c>
      <c r="I263" t="s">
        <v>22</v>
      </c>
      <c r="J263" t="s">
        <v>523</v>
      </c>
      <c r="K263" t="s">
        <v>22</v>
      </c>
      <c r="L263" t="s">
        <v>524</v>
      </c>
      <c r="N263" t="s">
        <v>1036</v>
      </c>
      <c r="O263" t="s">
        <v>1037</v>
      </c>
      <c r="P263" t="s">
        <v>22</v>
      </c>
      <c r="Q263" t="s">
        <v>527</v>
      </c>
      <c r="R263">
        <v>2442145</v>
      </c>
      <c r="S263">
        <v>1396876</v>
      </c>
      <c r="T263">
        <v>1396876</v>
      </c>
      <c r="U263">
        <v>0</v>
      </c>
      <c r="V263">
        <v>0</v>
      </c>
      <c r="W263">
        <v>0</v>
      </c>
      <c r="X263">
        <v>0</v>
      </c>
      <c r="Y263">
        <v>2442145</v>
      </c>
      <c r="Z263">
        <v>779600</v>
      </c>
      <c r="AA263">
        <v>779600</v>
      </c>
      <c r="AB263">
        <v>779600</v>
      </c>
      <c r="AC263">
        <v>779600</v>
      </c>
      <c r="AD263">
        <v>1662545</v>
      </c>
      <c r="AE263">
        <v>31.92</v>
      </c>
    </row>
    <row r="264" spans="1:31" x14ac:dyDescent="0.2">
      <c r="A264" t="s">
        <v>518</v>
      </c>
      <c r="B264" t="s">
        <v>853</v>
      </c>
      <c r="C264" t="s">
        <v>854</v>
      </c>
      <c r="D264" t="s">
        <v>855</v>
      </c>
      <c r="E264" t="s">
        <v>856</v>
      </c>
      <c r="F264" t="s">
        <v>857</v>
      </c>
      <c r="G264" t="s">
        <v>858</v>
      </c>
      <c r="H264" t="s">
        <v>859</v>
      </c>
      <c r="I264" t="s">
        <v>22</v>
      </c>
      <c r="J264" t="s">
        <v>523</v>
      </c>
      <c r="K264" t="s">
        <v>22</v>
      </c>
      <c r="L264" t="s">
        <v>524</v>
      </c>
      <c r="N264" t="s">
        <v>1038</v>
      </c>
      <c r="O264" t="s">
        <v>1039</v>
      </c>
      <c r="P264" t="s">
        <v>242</v>
      </c>
      <c r="Q264" t="s">
        <v>541</v>
      </c>
      <c r="R264">
        <v>337829</v>
      </c>
      <c r="S264">
        <v>0</v>
      </c>
      <c r="T264">
        <v>305529</v>
      </c>
      <c r="U264">
        <v>0</v>
      </c>
      <c r="V264">
        <v>0</v>
      </c>
      <c r="W264">
        <v>0</v>
      </c>
      <c r="X264">
        <v>0</v>
      </c>
      <c r="Y264">
        <v>32300</v>
      </c>
      <c r="Z264">
        <v>32300</v>
      </c>
      <c r="AA264">
        <v>32300</v>
      </c>
      <c r="AB264">
        <v>32300</v>
      </c>
      <c r="AC264">
        <v>32300</v>
      </c>
      <c r="AD264">
        <v>0</v>
      </c>
      <c r="AE264">
        <v>100</v>
      </c>
    </row>
    <row r="265" spans="1:31" x14ac:dyDescent="0.2">
      <c r="A265" t="s">
        <v>518</v>
      </c>
      <c r="B265" t="s">
        <v>853</v>
      </c>
      <c r="C265" t="s">
        <v>854</v>
      </c>
      <c r="D265" t="s">
        <v>855</v>
      </c>
      <c r="E265" t="s">
        <v>856</v>
      </c>
      <c r="F265" t="s">
        <v>857</v>
      </c>
      <c r="G265" t="s">
        <v>858</v>
      </c>
      <c r="H265" t="s">
        <v>859</v>
      </c>
      <c r="I265" t="s">
        <v>22</v>
      </c>
      <c r="J265" t="s">
        <v>523</v>
      </c>
      <c r="K265" t="s">
        <v>22</v>
      </c>
      <c r="L265" t="s">
        <v>524</v>
      </c>
      <c r="N265" t="s">
        <v>1040</v>
      </c>
      <c r="O265" t="s">
        <v>1039</v>
      </c>
      <c r="P265" t="s">
        <v>483</v>
      </c>
      <c r="Q265" t="s">
        <v>863</v>
      </c>
      <c r="R265">
        <v>0</v>
      </c>
      <c r="S265">
        <v>305529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305529</v>
      </c>
      <c r="Z265">
        <v>102200</v>
      </c>
      <c r="AA265">
        <v>102200</v>
      </c>
      <c r="AB265">
        <v>102200</v>
      </c>
      <c r="AC265">
        <v>102200</v>
      </c>
      <c r="AD265">
        <v>203329</v>
      </c>
      <c r="AE265">
        <v>33.450000000000003</v>
      </c>
    </row>
    <row r="266" spans="1:31" x14ac:dyDescent="0.2">
      <c r="A266" t="s">
        <v>518</v>
      </c>
      <c r="B266" t="s">
        <v>866</v>
      </c>
      <c r="C266" t="s">
        <v>867</v>
      </c>
      <c r="D266" t="s">
        <v>868</v>
      </c>
      <c r="E266" t="s">
        <v>869</v>
      </c>
      <c r="F266" t="s">
        <v>870</v>
      </c>
      <c r="G266" t="s">
        <v>871</v>
      </c>
      <c r="H266" t="s">
        <v>872</v>
      </c>
      <c r="I266" t="s">
        <v>22</v>
      </c>
      <c r="J266" t="s">
        <v>523</v>
      </c>
      <c r="K266" t="s">
        <v>22</v>
      </c>
      <c r="L266" t="s">
        <v>524</v>
      </c>
      <c r="N266" t="s">
        <v>1041</v>
      </c>
      <c r="O266" t="s">
        <v>1042</v>
      </c>
      <c r="P266" t="s">
        <v>238</v>
      </c>
      <c r="Q266" t="s">
        <v>805</v>
      </c>
      <c r="R266">
        <v>975569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975569</v>
      </c>
      <c r="Z266">
        <v>309900</v>
      </c>
      <c r="AA266">
        <v>309900</v>
      </c>
      <c r="AB266">
        <v>309900</v>
      </c>
      <c r="AC266">
        <v>309900</v>
      </c>
      <c r="AD266">
        <v>665669</v>
      </c>
      <c r="AE266">
        <v>31.77</v>
      </c>
    </row>
    <row r="267" spans="1:31" x14ac:dyDescent="0.2">
      <c r="A267" t="s">
        <v>518</v>
      </c>
      <c r="B267" t="s">
        <v>877</v>
      </c>
      <c r="C267" t="s">
        <v>878</v>
      </c>
      <c r="D267" t="s">
        <v>879</v>
      </c>
      <c r="E267" t="s">
        <v>880</v>
      </c>
      <c r="F267" t="s">
        <v>881</v>
      </c>
      <c r="G267" t="s">
        <v>882</v>
      </c>
      <c r="H267" t="s">
        <v>883</v>
      </c>
      <c r="I267" t="s">
        <v>22</v>
      </c>
      <c r="J267" t="s">
        <v>523</v>
      </c>
      <c r="K267" t="s">
        <v>22</v>
      </c>
      <c r="L267" t="s">
        <v>524</v>
      </c>
      <c r="N267" t="s">
        <v>1043</v>
      </c>
      <c r="O267" t="s">
        <v>1044</v>
      </c>
      <c r="P267" t="s">
        <v>242</v>
      </c>
      <c r="Q267" t="s">
        <v>541</v>
      </c>
      <c r="R267">
        <v>1128747</v>
      </c>
      <c r="S267">
        <v>0</v>
      </c>
      <c r="T267">
        <v>1091347</v>
      </c>
      <c r="U267">
        <v>0</v>
      </c>
      <c r="V267">
        <v>0</v>
      </c>
      <c r="W267">
        <v>0</v>
      </c>
      <c r="X267">
        <v>0</v>
      </c>
      <c r="Y267">
        <v>37400</v>
      </c>
      <c r="Z267">
        <v>37400</v>
      </c>
      <c r="AA267">
        <v>37400</v>
      </c>
      <c r="AB267">
        <v>37400</v>
      </c>
      <c r="AC267">
        <v>37400</v>
      </c>
      <c r="AD267">
        <v>0</v>
      </c>
      <c r="AE267">
        <v>100</v>
      </c>
    </row>
    <row r="268" spans="1:31" x14ac:dyDescent="0.2">
      <c r="A268" t="s">
        <v>518</v>
      </c>
      <c r="B268" t="s">
        <v>877</v>
      </c>
      <c r="C268" t="s">
        <v>878</v>
      </c>
      <c r="D268" t="s">
        <v>879</v>
      </c>
      <c r="E268" t="s">
        <v>880</v>
      </c>
      <c r="F268" t="s">
        <v>881</v>
      </c>
      <c r="G268" t="s">
        <v>882</v>
      </c>
      <c r="H268" t="s">
        <v>883</v>
      </c>
      <c r="I268" t="s">
        <v>22</v>
      </c>
      <c r="J268" t="s">
        <v>523</v>
      </c>
      <c r="K268" t="s">
        <v>22</v>
      </c>
      <c r="L268" t="s">
        <v>524</v>
      </c>
      <c r="N268" t="s">
        <v>1045</v>
      </c>
      <c r="O268" t="s">
        <v>1044</v>
      </c>
      <c r="P268" t="s">
        <v>461</v>
      </c>
      <c r="Q268" t="s">
        <v>904</v>
      </c>
      <c r="R268">
        <v>0</v>
      </c>
      <c r="S268">
        <v>1091347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1091347</v>
      </c>
      <c r="Z268">
        <v>297800</v>
      </c>
      <c r="AA268">
        <v>297800</v>
      </c>
      <c r="AB268">
        <v>297800</v>
      </c>
      <c r="AC268">
        <v>297800</v>
      </c>
      <c r="AD268">
        <v>793547</v>
      </c>
      <c r="AE268">
        <v>27.29</v>
      </c>
    </row>
    <row r="269" spans="1:31" x14ac:dyDescent="0.2">
      <c r="A269" t="s">
        <v>518</v>
      </c>
      <c r="B269" t="s">
        <v>519</v>
      </c>
      <c r="C269" t="s">
        <v>22</v>
      </c>
      <c r="D269" t="s">
        <v>520</v>
      </c>
      <c r="E269" t="s">
        <v>521</v>
      </c>
      <c r="F269" t="s">
        <v>522</v>
      </c>
      <c r="G269" t="s">
        <v>22</v>
      </c>
      <c r="H269" t="s">
        <v>22</v>
      </c>
      <c r="I269" t="s">
        <v>22</v>
      </c>
      <c r="J269" t="s">
        <v>523</v>
      </c>
      <c r="K269" t="s">
        <v>22</v>
      </c>
      <c r="L269" t="s">
        <v>524</v>
      </c>
      <c r="N269" t="s">
        <v>1046</v>
      </c>
      <c r="O269" t="s">
        <v>1047</v>
      </c>
      <c r="P269" t="s">
        <v>22</v>
      </c>
      <c r="Q269" t="s">
        <v>527</v>
      </c>
      <c r="R269">
        <v>2442145</v>
      </c>
      <c r="S269">
        <v>1396876</v>
      </c>
      <c r="T269">
        <v>1396876</v>
      </c>
      <c r="U269">
        <v>0</v>
      </c>
      <c r="V269">
        <v>0</v>
      </c>
      <c r="W269">
        <v>0</v>
      </c>
      <c r="X269">
        <v>0</v>
      </c>
      <c r="Y269">
        <v>2442145</v>
      </c>
      <c r="Z269">
        <v>779600</v>
      </c>
      <c r="AA269">
        <v>779600</v>
      </c>
      <c r="AB269">
        <v>779600</v>
      </c>
      <c r="AC269">
        <v>779600</v>
      </c>
      <c r="AD269">
        <v>1662545</v>
      </c>
      <c r="AE269">
        <v>31.92</v>
      </c>
    </row>
    <row r="270" spans="1:31" x14ac:dyDescent="0.2">
      <c r="A270" t="s">
        <v>518</v>
      </c>
      <c r="B270" t="s">
        <v>853</v>
      </c>
      <c r="C270" t="s">
        <v>854</v>
      </c>
      <c r="D270" t="s">
        <v>855</v>
      </c>
      <c r="E270" t="s">
        <v>856</v>
      </c>
      <c r="F270" t="s">
        <v>857</v>
      </c>
      <c r="G270" t="s">
        <v>858</v>
      </c>
      <c r="H270" t="s">
        <v>859</v>
      </c>
      <c r="I270" t="s">
        <v>22</v>
      </c>
      <c r="J270" t="s">
        <v>523</v>
      </c>
      <c r="K270" t="s">
        <v>22</v>
      </c>
      <c r="L270" t="s">
        <v>524</v>
      </c>
      <c r="N270" t="s">
        <v>1048</v>
      </c>
      <c r="O270" t="s">
        <v>1049</v>
      </c>
      <c r="P270" t="s">
        <v>242</v>
      </c>
      <c r="Q270" t="s">
        <v>541</v>
      </c>
      <c r="R270">
        <v>337829</v>
      </c>
      <c r="S270">
        <v>0</v>
      </c>
      <c r="T270">
        <v>305529</v>
      </c>
      <c r="U270">
        <v>0</v>
      </c>
      <c r="V270">
        <v>0</v>
      </c>
      <c r="W270">
        <v>0</v>
      </c>
      <c r="X270">
        <v>0</v>
      </c>
      <c r="Y270">
        <v>32300</v>
      </c>
      <c r="Z270">
        <v>32300</v>
      </c>
      <c r="AA270">
        <v>32300</v>
      </c>
      <c r="AB270">
        <v>32300</v>
      </c>
      <c r="AC270">
        <v>32300</v>
      </c>
      <c r="AD270">
        <v>0</v>
      </c>
      <c r="AE270">
        <v>100</v>
      </c>
    </row>
    <row r="271" spans="1:31" x14ac:dyDescent="0.2">
      <c r="A271" t="s">
        <v>518</v>
      </c>
      <c r="B271" t="s">
        <v>853</v>
      </c>
      <c r="C271" t="s">
        <v>854</v>
      </c>
      <c r="D271" t="s">
        <v>855</v>
      </c>
      <c r="E271" t="s">
        <v>856</v>
      </c>
      <c r="F271" t="s">
        <v>857</v>
      </c>
      <c r="G271" t="s">
        <v>858</v>
      </c>
      <c r="H271" t="s">
        <v>859</v>
      </c>
      <c r="I271" t="s">
        <v>22</v>
      </c>
      <c r="J271" t="s">
        <v>523</v>
      </c>
      <c r="K271" t="s">
        <v>22</v>
      </c>
      <c r="L271" t="s">
        <v>524</v>
      </c>
      <c r="N271" t="s">
        <v>1050</v>
      </c>
      <c r="O271" t="s">
        <v>1049</v>
      </c>
      <c r="P271" t="s">
        <v>483</v>
      </c>
      <c r="Q271" t="s">
        <v>863</v>
      </c>
      <c r="R271">
        <v>0</v>
      </c>
      <c r="S271">
        <v>305529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305529</v>
      </c>
      <c r="Z271">
        <v>102200</v>
      </c>
      <c r="AA271">
        <v>102200</v>
      </c>
      <c r="AB271">
        <v>102200</v>
      </c>
      <c r="AC271">
        <v>102200</v>
      </c>
      <c r="AD271">
        <v>203329</v>
      </c>
      <c r="AE271">
        <v>33.450000000000003</v>
      </c>
    </row>
    <row r="272" spans="1:31" x14ac:dyDescent="0.2">
      <c r="A272" t="s">
        <v>518</v>
      </c>
      <c r="B272" t="s">
        <v>866</v>
      </c>
      <c r="C272" t="s">
        <v>867</v>
      </c>
      <c r="D272" t="s">
        <v>868</v>
      </c>
      <c r="E272" t="s">
        <v>869</v>
      </c>
      <c r="F272" t="s">
        <v>870</v>
      </c>
      <c r="G272" t="s">
        <v>871</v>
      </c>
      <c r="H272" t="s">
        <v>872</v>
      </c>
      <c r="I272" t="s">
        <v>22</v>
      </c>
      <c r="J272" t="s">
        <v>523</v>
      </c>
      <c r="K272" t="s">
        <v>22</v>
      </c>
      <c r="L272" t="s">
        <v>524</v>
      </c>
      <c r="N272" t="s">
        <v>1051</v>
      </c>
      <c r="O272" t="s">
        <v>1052</v>
      </c>
      <c r="P272" t="s">
        <v>238</v>
      </c>
      <c r="Q272" t="s">
        <v>805</v>
      </c>
      <c r="R272">
        <v>975569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975569</v>
      </c>
      <c r="Z272">
        <v>309900</v>
      </c>
      <c r="AA272">
        <v>309900</v>
      </c>
      <c r="AB272">
        <v>309900</v>
      </c>
      <c r="AC272">
        <v>309900</v>
      </c>
      <c r="AD272">
        <v>665669</v>
      </c>
      <c r="AE272">
        <v>31.77</v>
      </c>
    </row>
    <row r="273" spans="1:31" x14ac:dyDescent="0.2">
      <c r="A273" t="s">
        <v>518</v>
      </c>
      <c r="B273" t="s">
        <v>877</v>
      </c>
      <c r="C273" t="s">
        <v>878</v>
      </c>
      <c r="D273" t="s">
        <v>879</v>
      </c>
      <c r="E273" t="s">
        <v>880</v>
      </c>
      <c r="F273" t="s">
        <v>881</v>
      </c>
      <c r="G273" t="s">
        <v>882</v>
      </c>
      <c r="H273" t="s">
        <v>883</v>
      </c>
      <c r="I273" t="s">
        <v>22</v>
      </c>
      <c r="J273" t="s">
        <v>523</v>
      </c>
      <c r="K273" t="s">
        <v>22</v>
      </c>
      <c r="L273" t="s">
        <v>524</v>
      </c>
      <c r="N273" t="s">
        <v>1053</v>
      </c>
      <c r="O273" t="s">
        <v>1054</v>
      </c>
      <c r="P273" t="s">
        <v>242</v>
      </c>
      <c r="Q273" t="s">
        <v>541</v>
      </c>
      <c r="R273">
        <v>1128747</v>
      </c>
      <c r="S273">
        <v>0</v>
      </c>
      <c r="T273">
        <v>1091347</v>
      </c>
      <c r="U273">
        <v>0</v>
      </c>
      <c r="V273">
        <v>0</v>
      </c>
      <c r="W273">
        <v>0</v>
      </c>
      <c r="X273">
        <v>0</v>
      </c>
      <c r="Y273">
        <v>37400</v>
      </c>
      <c r="Z273">
        <v>37400</v>
      </c>
      <c r="AA273">
        <v>37400</v>
      </c>
      <c r="AB273">
        <v>37400</v>
      </c>
      <c r="AC273">
        <v>37400</v>
      </c>
      <c r="AD273">
        <v>0</v>
      </c>
      <c r="AE273">
        <v>100</v>
      </c>
    </row>
    <row r="274" spans="1:31" x14ac:dyDescent="0.2">
      <c r="A274" t="s">
        <v>518</v>
      </c>
      <c r="B274" t="s">
        <v>877</v>
      </c>
      <c r="C274" t="s">
        <v>878</v>
      </c>
      <c r="D274" t="s">
        <v>879</v>
      </c>
      <c r="E274" t="s">
        <v>880</v>
      </c>
      <c r="F274" t="s">
        <v>881</v>
      </c>
      <c r="G274" t="s">
        <v>882</v>
      </c>
      <c r="H274" t="s">
        <v>883</v>
      </c>
      <c r="I274" t="s">
        <v>22</v>
      </c>
      <c r="J274" t="s">
        <v>523</v>
      </c>
      <c r="K274" t="s">
        <v>22</v>
      </c>
      <c r="L274" t="s">
        <v>524</v>
      </c>
      <c r="N274" t="s">
        <v>1055</v>
      </c>
      <c r="O274" t="s">
        <v>1054</v>
      </c>
      <c r="P274" t="s">
        <v>461</v>
      </c>
      <c r="Q274" t="s">
        <v>904</v>
      </c>
      <c r="R274">
        <v>0</v>
      </c>
      <c r="S274">
        <v>1091347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1091347</v>
      </c>
      <c r="Z274">
        <v>297800</v>
      </c>
      <c r="AA274">
        <v>297800</v>
      </c>
      <c r="AB274">
        <v>297800</v>
      </c>
      <c r="AC274">
        <v>297800</v>
      </c>
      <c r="AD274">
        <v>793547</v>
      </c>
      <c r="AE274">
        <v>27.29</v>
      </c>
    </row>
    <row r="275" spans="1:31" x14ac:dyDescent="0.2">
      <c r="A275" t="s">
        <v>518</v>
      </c>
      <c r="B275" t="s">
        <v>519</v>
      </c>
      <c r="C275" t="s">
        <v>22</v>
      </c>
      <c r="D275" t="s">
        <v>520</v>
      </c>
      <c r="E275" t="s">
        <v>521</v>
      </c>
      <c r="F275" t="s">
        <v>522</v>
      </c>
      <c r="G275" t="s">
        <v>22</v>
      </c>
      <c r="H275" t="s">
        <v>22</v>
      </c>
      <c r="I275" t="s">
        <v>22</v>
      </c>
      <c r="J275" t="s">
        <v>523</v>
      </c>
      <c r="K275" t="s">
        <v>22</v>
      </c>
      <c r="L275" t="s">
        <v>524</v>
      </c>
      <c r="N275" t="s">
        <v>1056</v>
      </c>
      <c r="O275" t="s">
        <v>1057</v>
      </c>
      <c r="P275" t="s">
        <v>22</v>
      </c>
      <c r="Q275" t="s">
        <v>527</v>
      </c>
      <c r="R275">
        <v>4884280</v>
      </c>
      <c r="S275">
        <v>2794046</v>
      </c>
      <c r="T275">
        <v>2794046</v>
      </c>
      <c r="U275">
        <v>0</v>
      </c>
      <c r="V275">
        <v>0</v>
      </c>
      <c r="W275">
        <v>0</v>
      </c>
      <c r="X275">
        <v>0</v>
      </c>
      <c r="Y275">
        <v>4884280</v>
      </c>
      <c r="Z275">
        <v>1556000</v>
      </c>
      <c r="AA275">
        <v>1556000</v>
      </c>
      <c r="AB275">
        <v>1556000</v>
      </c>
      <c r="AC275">
        <v>1556000</v>
      </c>
      <c r="AD275">
        <v>3328280</v>
      </c>
      <c r="AE275">
        <v>31.86</v>
      </c>
    </row>
    <row r="276" spans="1:31" x14ac:dyDescent="0.2">
      <c r="A276" t="s">
        <v>518</v>
      </c>
      <c r="B276" t="s">
        <v>853</v>
      </c>
      <c r="C276" t="s">
        <v>854</v>
      </c>
      <c r="D276" t="s">
        <v>855</v>
      </c>
      <c r="E276" t="s">
        <v>856</v>
      </c>
      <c r="F276" t="s">
        <v>857</v>
      </c>
      <c r="G276" t="s">
        <v>858</v>
      </c>
      <c r="H276" t="s">
        <v>859</v>
      </c>
      <c r="I276" t="s">
        <v>22</v>
      </c>
      <c r="J276" t="s">
        <v>523</v>
      </c>
      <c r="K276" t="s">
        <v>22</v>
      </c>
      <c r="L276" t="s">
        <v>524</v>
      </c>
      <c r="N276" t="s">
        <v>1058</v>
      </c>
      <c r="O276" t="s">
        <v>1059</v>
      </c>
      <c r="P276" t="s">
        <v>242</v>
      </c>
      <c r="Q276" t="s">
        <v>541</v>
      </c>
      <c r="R276">
        <v>675656</v>
      </c>
      <c r="S276">
        <v>0</v>
      </c>
      <c r="T276">
        <v>611156</v>
      </c>
      <c r="U276">
        <v>0</v>
      </c>
      <c r="V276">
        <v>0</v>
      </c>
      <c r="W276">
        <v>0</v>
      </c>
      <c r="X276">
        <v>0</v>
      </c>
      <c r="Y276">
        <v>64500</v>
      </c>
      <c r="Z276">
        <v>64500</v>
      </c>
      <c r="AA276">
        <v>64500</v>
      </c>
      <c r="AB276">
        <v>64500</v>
      </c>
      <c r="AC276">
        <v>64500</v>
      </c>
      <c r="AD276">
        <v>0</v>
      </c>
      <c r="AE276">
        <v>100</v>
      </c>
    </row>
    <row r="277" spans="1:31" x14ac:dyDescent="0.2">
      <c r="A277" t="s">
        <v>518</v>
      </c>
      <c r="B277" t="s">
        <v>853</v>
      </c>
      <c r="C277" t="s">
        <v>854</v>
      </c>
      <c r="D277" t="s">
        <v>855</v>
      </c>
      <c r="E277" t="s">
        <v>856</v>
      </c>
      <c r="F277" t="s">
        <v>857</v>
      </c>
      <c r="G277" t="s">
        <v>858</v>
      </c>
      <c r="H277" t="s">
        <v>859</v>
      </c>
      <c r="I277" t="s">
        <v>22</v>
      </c>
      <c r="J277" t="s">
        <v>523</v>
      </c>
      <c r="K277" t="s">
        <v>22</v>
      </c>
      <c r="L277" t="s">
        <v>524</v>
      </c>
      <c r="N277" t="s">
        <v>1060</v>
      </c>
      <c r="O277" t="s">
        <v>1059</v>
      </c>
      <c r="P277" t="s">
        <v>483</v>
      </c>
      <c r="Q277" t="s">
        <v>863</v>
      </c>
      <c r="R277">
        <v>0</v>
      </c>
      <c r="S277">
        <v>611156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611156</v>
      </c>
      <c r="Z277">
        <v>203900</v>
      </c>
      <c r="AA277">
        <v>203900</v>
      </c>
      <c r="AB277">
        <v>203900</v>
      </c>
      <c r="AC277">
        <v>203900</v>
      </c>
      <c r="AD277">
        <v>407256</v>
      </c>
      <c r="AE277">
        <v>33.36</v>
      </c>
    </row>
    <row r="278" spans="1:31" x14ac:dyDescent="0.2">
      <c r="A278" t="s">
        <v>518</v>
      </c>
      <c r="B278" t="s">
        <v>866</v>
      </c>
      <c r="C278" t="s">
        <v>867</v>
      </c>
      <c r="D278" t="s">
        <v>868</v>
      </c>
      <c r="E278" t="s">
        <v>869</v>
      </c>
      <c r="F278" t="s">
        <v>870</v>
      </c>
      <c r="G278" t="s">
        <v>871</v>
      </c>
      <c r="H278" t="s">
        <v>872</v>
      </c>
      <c r="I278" t="s">
        <v>22</v>
      </c>
      <c r="J278" t="s">
        <v>523</v>
      </c>
      <c r="K278" t="s">
        <v>22</v>
      </c>
      <c r="L278" t="s">
        <v>524</v>
      </c>
      <c r="N278" t="s">
        <v>1061</v>
      </c>
      <c r="O278" t="s">
        <v>1062</v>
      </c>
      <c r="P278" t="s">
        <v>238</v>
      </c>
      <c r="Q278" t="s">
        <v>805</v>
      </c>
      <c r="R278">
        <v>1951134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1951134</v>
      </c>
      <c r="Z278">
        <v>618200</v>
      </c>
      <c r="AA278">
        <v>618200</v>
      </c>
      <c r="AB278">
        <v>618200</v>
      </c>
      <c r="AC278">
        <v>618200</v>
      </c>
      <c r="AD278">
        <v>1332934</v>
      </c>
      <c r="AE278">
        <v>31.68</v>
      </c>
    </row>
    <row r="279" spans="1:31" x14ac:dyDescent="0.2">
      <c r="A279" t="s">
        <v>518</v>
      </c>
      <c r="B279" t="s">
        <v>877</v>
      </c>
      <c r="C279" t="s">
        <v>878</v>
      </c>
      <c r="D279" t="s">
        <v>879</v>
      </c>
      <c r="E279" t="s">
        <v>880</v>
      </c>
      <c r="F279" t="s">
        <v>881</v>
      </c>
      <c r="G279" t="s">
        <v>882</v>
      </c>
      <c r="H279" t="s">
        <v>883</v>
      </c>
      <c r="I279" t="s">
        <v>22</v>
      </c>
      <c r="J279" t="s">
        <v>523</v>
      </c>
      <c r="K279" t="s">
        <v>22</v>
      </c>
      <c r="L279" t="s">
        <v>524</v>
      </c>
      <c r="N279" t="s">
        <v>1063</v>
      </c>
      <c r="O279" t="s">
        <v>1064</v>
      </c>
      <c r="P279" t="s">
        <v>242</v>
      </c>
      <c r="Q279" t="s">
        <v>541</v>
      </c>
      <c r="R279">
        <v>2257490</v>
      </c>
      <c r="S279">
        <v>0</v>
      </c>
      <c r="T279">
        <v>2182890</v>
      </c>
      <c r="U279">
        <v>0</v>
      </c>
      <c r="V279">
        <v>0</v>
      </c>
      <c r="W279">
        <v>0</v>
      </c>
      <c r="X279">
        <v>0</v>
      </c>
      <c r="Y279">
        <v>74600</v>
      </c>
      <c r="Z279">
        <v>74600</v>
      </c>
      <c r="AA279">
        <v>74600</v>
      </c>
      <c r="AB279">
        <v>74600</v>
      </c>
      <c r="AC279">
        <v>74600</v>
      </c>
      <c r="AD279">
        <v>0</v>
      </c>
      <c r="AE279">
        <v>100</v>
      </c>
    </row>
    <row r="280" spans="1:31" x14ac:dyDescent="0.2">
      <c r="A280" t="s">
        <v>518</v>
      </c>
      <c r="B280" t="s">
        <v>877</v>
      </c>
      <c r="C280" t="s">
        <v>878</v>
      </c>
      <c r="D280" t="s">
        <v>879</v>
      </c>
      <c r="E280" t="s">
        <v>880</v>
      </c>
      <c r="F280" t="s">
        <v>881</v>
      </c>
      <c r="G280" t="s">
        <v>882</v>
      </c>
      <c r="H280" t="s">
        <v>883</v>
      </c>
      <c r="I280" t="s">
        <v>22</v>
      </c>
      <c r="J280" t="s">
        <v>523</v>
      </c>
      <c r="K280" t="s">
        <v>22</v>
      </c>
      <c r="L280" t="s">
        <v>524</v>
      </c>
      <c r="N280" t="s">
        <v>1065</v>
      </c>
      <c r="O280" t="s">
        <v>1064</v>
      </c>
      <c r="P280" t="s">
        <v>461</v>
      </c>
      <c r="Q280" t="s">
        <v>904</v>
      </c>
      <c r="R280">
        <v>0</v>
      </c>
      <c r="S280">
        <v>2182890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2182890</v>
      </c>
      <c r="Z280">
        <v>594800</v>
      </c>
      <c r="AA280">
        <v>594800</v>
      </c>
      <c r="AB280">
        <v>594800</v>
      </c>
      <c r="AC280">
        <v>594800</v>
      </c>
      <c r="AD280">
        <v>1588090</v>
      </c>
      <c r="AE280">
        <v>27.25</v>
      </c>
    </row>
    <row r="281" spans="1:31" x14ac:dyDescent="0.2">
      <c r="A281" t="s">
        <v>518</v>
      </c>
      <c r="B281" t="s">
        <v>519</v>
      </c>
      <c r="C281" t="s">
        <v>22</v>
      </c>
      <c r="D281" t="s">
        <v>520</v>
      </c>
      <c r="E281" t="s">
        <v>521</v>
      </c>
      <c r="F281" t="s">
        <v>522</v>
      </c>
      <c r="G281" t="s">
        <v>22</v>
      </c>
      <c r="H281" t="s">
        <v>22</v>
      </c>
      <c r="I281" t="s">
        <v>22</v>
      </c>
      <c r="J281" t="s">
        <v>523</v>
      </c>
      <c r="K281" t="s">
        <v>22</v>
      </c>
      <c r="L281" t="s">
        <v>524</v>
      </c>
      <c r="N281" t="s">
        <v>1066</v>
      </c>
      <c r="O281" t="s">
        <v>1067</v>
      </c>
      <c r="P281" t="s">
        <v>22</v>
      </c>
      <c r="Q281" t="s">
        <v>527</v>
      </c>
      <c r="R281">
        <v>27839493</v>
      </c>
      <c r="S281">
        <v>16717413</v>
      </c>
      <c r="T281">
        <v>16717413</v>
      </c>
      <c r="U281">
        <v>0</v>
      </c>
      <c r="V281">
        <v>0</v>
      </c>
      <c r="W281">
        <v>0</v>
      </c>
      <c r="X281">
        <v>0</v>
      </c>
      <c r="Y281">
        <v>27839493</v>
      </c>
      <c r="Z281">
        <v>6776875</v>
      </c>
      <c r="AA281">
        <v>6776875</v>
      </c>
      <c r="AB281">
        <v>6776875</v>
      </c>
      <c r="AC281">
        <v>6776875</v>
      </c>
      <c r="AD281">
        <v>21062618</v>
      </c>
      <c r="AE281">
        <v>24.34</v>
      </c>
    </row>
    <row r="282" spans="1:31" x14ac:dyDescent="0.2">
      <c r="A282" t="s">
        <v>518</v>
      </c>
      <c r="B282" t="s">
        <v>519</v>
      </c>
      <c r="C282" t="s">
        <v>22</v>
      </c>
      <c r="D282" t="s">
        <v>520</v>
      </c>
      <c r="E282" t="s">
        <v>521</v>
      </c>
      <c r="F282" t="s">
        <v>522</v>
      </c>
      <c r="G282" t="s">
        <v>22</v>
      </c>
      <c r="H282" t="s">
        <v>22</v>
      </c>
      <c r="I282" t="s">
        <v>22</v>
      </c>
      <c r="J282" t="s">
        <v>523</v>
      </c>
      <c r="K282" t="s">
        <v>22</v>
      </c>
      <c r="L282" t="s">
        <v>524</v>
      </c>
      <c r="N282" t="s">
        <v>1068</v>
      </c>
      <c r="O282" t="s">
        <v>947</v>
      </c>
      <c r="P282" t="s">
        <v>22</v>
      </c>
      <c r="Q282" t="s">
        <v>527</v>
      </c>
      <c r="R282">
        <v>27839493</v>
      </c>
      <c r="S282">
        <v>16717413</v>
      </c>
      <c r="T282">
        <v>16717413</v>
      </c>
      <c r="U282">
        <v>0</v>
      </c>
      <c r="V282">
        <v>0</v>
      </c>
      <c r="W282">
        <v>0</v>
      </c>
      <c r="X282">
        <v>0</v>
      </c>
      <c r="Y282">
        <v>27839493</v>
      </c>
      <c r="Z282">
        <v>6776875</v>
      </c>
      <c r="AA282">
        <v>6776875</v>
      </c>
      <c r="AB282">
        <v>6776875</v>
      </c>
      <c r="AC282">
        <v>6776875</v>
      </c>
      <c r="AD282">
        <v>21062618</v>
      </c>
      <c r="AE282">
        <v>24.34</v>
      </c>
    </row>
    <row r="283" spans="1:31" x14ac:dyDescent="0.2">
      <c r="A283" t="s">
        <v>518</v>
      </c>
      <c r="B283" t="s">
        <v>519</v>
      </c>
      <c r="C283" t="s">
        <v>22</v>
      </c>
      <c r="D283" t="s">
        <v>520</v>
      </c>
      <c r="E283" t="s">
        <v>521</v>
      </c>
      <c r="F283" t="s">
        <v>522</v>
      </c>
      <c r="G283" t="s">
        <v>22</v>
      </c>
      <c r="H283" t="s">
        <v>22</v>
      </c>
      <c r="I283" t="s">
        <v>22</v>
      </c>
      <c r="J283" t="s">
        <v>523</v>
      </c>
      <c r="K283" t="s">
        <v>22</v>
      </c>
      <c r="L283" t="s">
        <v>524</v>
      </c>
      <c r="N283" t="s">
        <v>1069</v>
      </c>
      <c r="O283" t="s">
        <v>1070</v>
      </c>
      <c r="P283" t="s">
        <v>22</v>
      </c>
      <c r="Q283" t="s">
        <v>527</v>
      </c>
      <c r="R283">
        <v>20936021</v>
      </c>
      <c r="S283">
        <v>12936021</v>
      </c>
      <c r="T283">
        <v>12936021</v>
      </c>
      <c r="U283">
        <v>0</v>
      </c>
      <c r="V283">
        <v>0</v>
      </c>
      <c r="W283">
        <v>0</v>
      </c>
      <c r="X283">
        <v>0</v>
      </c>
      <c r="Y283">
        <v>20936021</v>
      </c>
      <c r="Z283">
        <v>5561358</v>
      </c>
      <c r="AA283">
        <v>5561358</v>
      </c>
      <c r="AB283">
        <v>5561358</v>
      </c>
      <c r="AC283">
        <v>5561358</v>
      </c>
      <c r="AD283">
        <v>15374663</v>
      </c>
      <c r="AE283">
        <v>26.56</v>
      </c>
    </row>
    <row r="284" spans="1:31" x14ac:dyDescent="0.2">
      <c r="A284" t="s">
        <v>518</v>
      </c>
      <c r="B284" t="s">
        <v>853</v>
      </c>
      <c r="C284" t="s">
        <v>854</v>
      </c>
      <c r="D284" t="s">
        <v>855</v>
      </c>
      <c r="E284" t="s">
        <v>856</v>
      </c>
      <c r="F284" t="s">
        <v>857</v>
      </c>
      <c r="G284" t="s">
        <v>858</v>
      </c>
      <c r="H284" t="s">
        <v>859</v>
      </c>
      <c r="I284" t="s">
        <v>22</v>
      </c>
      <c r="J284" t="s">
        <v>523</v>
      </c>
      <c r="K284" t="s">
        <v>22</v>
      </c>
      <c r="L284" t="s">
        <v>524</v>
      </c>
      <c r="N284" t="s">
        <v>1071</v>
      </c>
      <c r="O284" t="s">
        <v>1072</v>
      </c>
      <c r="P284" t="s">
        <v>242</v>
      </c>
      <c r="Q284" t="s">
        <v>541</v>
      </c>
      <c r="R284">
        <v>2077864</v>
      </c>
      <c r="S284">
        <v>0</v>
      </c>
      <c r="T284">
        <v>2077864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</row>
    <row r="285" spans="1:31" x14ac:dyDescent="0.2">
      <c r="A285" t="s">
        <v>518</v>
      </c>
      <c r="B285" t="s">
        <v>853</v>
      </c>
      <c r="C285" t="s">
        <v>854</v>
      </c>
      <c r="D285" t="s">
        <v>855</v>
      </c>
      <c r="E285" t="s">
        <v>856</v>
      </c>
      <c r="F285" t="s">
        <v>857</v>
      </c>
      <c r="G285" t="s">
        <v>858</v>
      </c>
      <c r="H285" t="s">
        <v>859</v>
      </c>
      <c r="I285" t="s">
        <v>22</v>
      </c>
      <c r="J285" t="s">
        <v>523</v>
      </c>
      <c r="K285" t="s">
        <v>22</v>
      </c>
      <c r="L285" t="s">
        <v>524</v>
      </c>
      <c r="N285" t="s">
        <v>1073</v>
      </c>
      <c r="O285" t="s">
        <v>1072</v>
      </c>
      <c r="P285" t="s">
        <v>483</v>
      </c>
      <c r="Q285" t="s">
        <v>863</v>
      </c>
      <c r="R285">
        <v>0</v>
      </c>
      <c r="S285">
        <v>2077864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2077864</v>
      </c>
      <c r="Z285">
        <v>0</v>
      </c>
      <c r="AA285">
        <v>0</v>
      </c>
      <c r="AB285">
        <v>0</v>
      </c>
      <c r="AC285">
        <v>0</v>
      </c>
      <c r="AD285">
        <v>2077864</v>
      </c>
      <c r="AE285">
        <v>0</v>
      </c>
    </row>
    <row r="286" spans="1:31" x14ac:dyDescent="0.2">
      <c r="A286" t="s">
        <v>518</v>
      </c>
      <c r="B286" t="s">
        <v>866</v>
      </c>
      <c r="C286" t="s">
        <v>867</v>
      </c>
      <c r="D286" t="s">
        <v>868</v>
      </c>
      <c r="E286" t="s">
        <v>869</v>
      </c>
      <c r="F286" t="s">
        <v>870</v>
      </c>
      <c r="G286" t="s">
        <v>871</v>
      </c>
      <c r="H286" t="s">
        <v>872</v>
      </c>
      <c r="I286" t="s">
        <v>22</v>
      </c>
      <c r="J286" t="s">
        <v>523</v>
      </c>
      <c r="K286" t="s">
        <v>22</v>
      </c>
      <c r="L286" t="s">
        <v>524</v>
      </c>
      <c r="N286" t="s">
        <v>1074</v>
      </c>
      <c r="O286" t="s">
        <v>1075</v>
      </c>
      <c r="P286" t="s">
        <v>238</v>
      </c>
      <c r="Q286" t="s">
        <v>805</v>
      </c>
      <c r="R286">
        <v>8000000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8000000</v>
      </c>
      <c r="Z286">
        <v>3840231</v>
      </c>
      <c r="AA286">
        <v>3840231</v>
      </c>
      <c r="AB286">
        <v>3840231</v>
      </c>
      <c r="AC286">
        <v>3840231</v>
      </c>
      <c r="AD286">
        <v>4159769</v>
      </c>
      <c r="AE286">
        <v>48</v>
      </c>
    </row>
    <row r="287" spans="1:31" x14ac:dyDescent="0.2">
      <c r="A287" t="s">
        <v>518</v>
      </c>
      <c r="B287" t="s">
        <v>877</v>
      </c>
      <c r="C287" t="s">
        <v>878</v>
      </c>
      <c r="D287" t="s">
        <v>879</v>
      </c>
      <c r="E287" t="s">
        <v>880</v>
      </c>
      <c r="F287" t="s">
        <v>881</v>
      </c>
      <c r="G287" t="s">
        <v>882</v>
      </c>
      <c r="H287" t="s">
        <v>883</v>
      </c>
      <c r="I287" t="s">
        <v>22</v>
      </c>
      <c r="J287" t="s">
        <v>523</v>
      </c>
      <c r="K287" t="s">
        <v>22</v>
      </c>
      <c r="L287" t="s">
        <v>524</v>
      </c>
      <c r="N287" t="s">
        <v>1076</v>
      </c>
      <c r="O287" t="s">
        <v>1077</v>
      </c>
      <c r="P287" t="s">
        <v>242</v>
      </c>
      <c r="Q287" t="s">
        <v>541</v>
      </c>
      <c r="R287">
        <v>10858157</v>
      </c>
      <c r="S287">
        <v>0</v>
      </c>
      <c r="T287">
        <v>10858157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</row>
    <row r="288" spans="1:31" x14ac:dyDescent="0.2">
      <c r="A288" t="s">
        <v>518</v>
      </c>
      <c r="B288" t="s">
        <v>877</v>
      </c>
      <c r="C288" t="s">
        <v>878</v>
      </c>
      <c r="D288" t="s">
        <v>879</v>
      </c>
      <c r="E288" t="s">
        <v>880</v>
      </c>
      <c r="F288" t="s">
        <v>881</v>
      </c>
      <c r="G288" t="s">
        <v>882</v>
      </c>
      <c r="H288" t="s">
        <v>883</v>
      </c>
      <c r="I288" t="s">
        <v>22</v>
      </c>
      <c r="J288" t="s">
        <v>523</v>
      </c>
      <c r="K288" t="s">
        <v>22</v>
      </c>
      <c r="L288" t="s">
        <v>524</v>
      </c>
      <c r="N288" t="s">
        <v>1078</v>
      </c>
      <c r="O288" t="s">
        <v>1077</v>
      </c>
      <c r="P288" t="s">
        <v>461</v>
      </c>
      <c r="Q288" t="s">
        <v>904</v>
      </c>
      <c r="R288">
        <v>0</v>
      </c>
      <c r="S288">
        <v>10858157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10858157</v>
      </c>
      <c r="Z288">
        <v>1721127</v>
      </c>
      <c r="AA288">
        <v>1721127</v>
      </c>
      <c r="AB288">
        <v>1721127</v>
      </c>
      <c r="AC288">
        <v>1721127</v>
      </c>
      <c r="AD288">
        <v>9137030</v>
      </c>
      <c r="AE288">
        <v>15.85</v>
      </c>
    </row>
    <row r="289" spans="1:31" x14ac:dyDescent="0.2">
      <c r="A289" t="s">
        <v>518</v>
      </c>
      <c r="B289" t="s">
        <v>519</v>
      </c>
      <c r="C289" t="s">
        <v>22</v>
      </c>
      <c r="D289" t="s">
        <v>520</v>
      </c>
      <c r="E289" t="s">
        <v>521</v>
      </c>
      <c r="F289" t="s">
        <v>522</v>
      </c>
      <c r="G289" t="s">
        <v>22</v>
      </c>
      <c r="H289" t="s">
        <v>22</v>
      </c>
      <c r="I289" t="s">
        <v>22</v>
      </c>
      <c r="J289" t="s">
        <v>523</v>
      </c>
      <c r="K289" t="s">
        <v>22</v>
      </c>
      <c r="L289" t="s">
        <v>524</v>
      </c>
      <c r="N289" t="s">
        <v>1079</v>
      </c>
      <c r="O289" t="s">
        <v>1080</v>
      </c>
      <c r="P289" t="s">
        <v>22</v>
      </c>
      <c r="Q289" t="s">
        <v>527</v>
      </c>
      <c r="R289">
        <v>4807962</v>
      </c>
      <c r="S289">
        <v>2523615</v>
      </c>
      <c r="T289">
        <v>2523615</v>
      </c>
      <c r="U289">
        <v>0</v>
      </c>
      <c r="V289">
        <v>0</v>
      </c>
      <c r="W289">
        <v>0</v>
      </c>
      <c r="X289">
        <v>0</v>
      </c>
      <c r="Y289">
        <v>4807962</v>
      </c>
      <c r="Z289">
        <v>754665</v>
      </c>
      <c r="AA289">
        <v>754665</v>
      </c>
      <c r="AB289">
        <v>754665</v>
      </c>
      <c r="AC289">
        <v>754665</v>
      </c>
      <c r="AD289">
        <v>4053297</v>
      </c>
      <c r="AE289">
        <v>15.7</v>
      </c>
    </row>
    <row r="290" spans="1:31" x14ac:dyDescent="0.2">
      <c r="A290" t="s">
        <v>518</v>
      </c>
      <c r="B290" t="s">
        <v>853</v>
      </c>
      <c r="C290" t="s">
        <v>854</v>
      </c>
      <c r="D290" t="s">
        <v>855</v>
      </c>
      <c r="E290" t="s">
        <v>856</v>
      </c>
      <c r="F290" t="s">
        <v>857</v>
      </c>
      <c r="G290" t="s">
        <v>858</v>
      </c>
      <c r="H290" t="s">
        <v>859</v>
      </c>
      <c r="I290" t="s">
        <v>22</v>
      </c>
      <c r="J290" t="s">
        <v>523</v>
      </c>
      <c r="K290" t="s">
        <v>22</v>
      </c>
      <c r="L290" t="s">
        <v>524</v>
      </c>
      <c r="N290" t="s">
        <v>1081</v>
      </c>
      <c r="O290" t="s">
        <v>1082</v>
      </c>
      <c r="P290" t="s">
        <v>242</v>
      </c>
      <c r="Q290" t="s">
        <v>541</v>
      </c>
      <c r="R290">
        <v>1523615</v>
      </c>
      <c r="S290">
        <v>0</v>
      </c>
      <c r="T290">
        <v>1523615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</row>
    <row r="291" spans="1:31" x14ac:dyDescent="0.2">
      <c r="A291" t="s">
        <v>518</v>
      </c>
      <c r="B291" t="s">
        <v>853</v>
      </c>
      <c r="C291" t="s">
        <v>854</v>
      </c>
      <c r="D291" t="s">
        <v>855</v>
      </c>
      <c r="E291" t="s">
        <v>856</v>
      </c>
      <c r="F291" t="s">
        <v>857</v>
      </c>
      <c r="G291" t="s">
        <v>858</v>
      </c>
      <c r="H291" t="s">
        <v>859</v>
      </c>
      <c r="I291" t="s">
        <v>22</v>
      </c>
      <c r="J291" t="s">
        <v>523</v>
      </c>
      <c r="K291" t="s">
        <v>22</v>
      </c>
      <c r="L291" t="s">
        <v>524</v>
      </c>
      <c r="N291" t="s">
        <v>1083</v>
      </c>
      <c r="O291" t="s">
        <v>1082</v>
      </c>
      <c r="P291" t="s">
        <v>483</v>
      </c>
      <c r="Q291" t="s">
        <v>863</v>
      </c>
      <c r="R291">
        <v>0</v>
      </c>
      <c r="S291">
        <v>1523615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1523615</v>
      </c>
      <c r="Z291">
        <v>0</v>
      </c>
      <c r="AA291">
        <v>0</v>
      </c>
      <c r="AB291">
        <v>0</v>
      </c>
      <c r="AC291">
        <v>0</v>
      </c>
      <c r="AD291">
        <v>1523615</v>
      </c>
      <c r="AE291">
        <v>0</v>
      </c>
    </row>
    <row r="292" spans="1:31" x14ac:dyDescent="0.2">
      <c r="A292" t="s">
        <v>518</v>
      </c>
      <c r="B292" t="s">
        <v>866</v>
      </c>
      <c r="C292" t="s">
        <v>867</v>
      </c>
      <c r="D292" t="s">
        <v>868</v>
      </c>
      <c r="E292" t="s">
        <v>869</v>
      </c>
      <c r="F292" t="s">
        <v>870</v>
      </c>
      <c r="G292" t="s">
        <v>871</v>
      </c>
      <c r="H292" t="s">
        <v>872</v>
      </c>
      <c r="I292" t="s">
        <v>22</v>
      </c>
      <c r="J292" t="s">
        <v>523</v>
      </c>
      <c r="K292" t="s">
        <v>22</v>
      </c>
      <c r="L292" t="s">
        <v>524</v>
      </c>
      <c r="N292" t="s">
        <v>1084</v>
      </c>
      <c r="O292" t="s">
        <v>1085</v>
      </c>
      <c r="P292" t="s">
        <v>238</v>
      </c>
      <c r="Q292" t="s">
        <v>805</v>
      </c>
      <c r="R292">
        <v>2284347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2284347</v>
      </c>
      <c r="Z292">
        <v>0</v>
      </c>
      <c r="AA292">
        <v>0</v>
      </c>
      <c r="AB292">
        <v>0</v>
      </c>
      <c r="AC292">
        <v>0</v>
      </c>
      <c r="AD292">
        <v>2284347</v>
      </c>
      <c r="AE292">
        <v>0</v>
      </c>
    </row>
    <row r="293" spans="1:31" x14ac:dyDescent="0.2">
      <c r="A293" t="s">
        <v>518</v>
      </c>
      <c r="B293" t="s">
        <v>877</v>
      </c>
      <c r="C293" t="s">
        <v>878</v>
      </c>
      <c r="D293" t="s">
        <v>879</v>
      </c>
      <c r="E293" t="s">
        <v>880</v>
      </c>
      <c r="F293" t="s">
        <v>881</v>
      </c>
      <c r="G293" t="s">
        <v>882</v>
      </c>
      <c r="H293" t="s">
        <v>883</v>
      </c>
      <c r="I293" t="s">
        <v>22</v>
      </c>
      <c r="J293" t="s">
        <v>523</v>
      </c>
      <c r="K293" t="s">
        <v>22</v>
      </c>
      <c r="L293" t="s">
        <v>524</v>
      </c>
      <c r="N293" t="s">
        <v>1086</v>
      </c>
      <c r="O293" t="s">
        <v>1087</v>
      </c>
      <c r="P293" t="s">
        <v>242</v>
      </c>
      <c r="Q293" t="s">
        <v>541</v>
      </c>
      <c r="R293">
        <v>1000000</v>
      </c>
      <c r="S293">
        <v>0</v>
      </c>
      <c r="T293">
        <v>1000000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</row>
    <row r="294" spans="1:31" x14ac:dyDescent="0.2">
      <c r="A294" t="s">
        <v>518</v>
      </c>
      <c r="B294" t="s">
        <v>877</v>
      </c>
      <c r="C294" t="s">
        <v>878</v>
      </c>
      <c r="D294" t="s">
        <v>879</v>
      </c>
      <c r="E294" t="s">
        <v>880</v>
      </c>
      <c r="F294" t="s">
        <v>881</v>
      </c>
      <c r="G294" t="s">
        <v>882</v>
      </c>
      <c r="H294" t="s">
        <v>883</v>
      </c>
      <c r="I294" t="s">
        <v>22</v>
      </c>
      <c r="J294" t="s">
        <v>523</v>
      </c>
      <c r="K294" t="s">
        <v>22</v>
      </c>
      <c r="L294" t="s">
        <v>524</v>
      </c>
      <c r="N294" t="s">
        <v>1088</v>
      </c>
      <c r="O294" t="s">
        <v>1087</v>
      </c>
      <c r="P294" t="s">
        <v>461</v>
      </c>
      <c r="Q294" t="s">
        <v>904</v>
      </c>
      <c r="R294">
        <v>0</v>
      </c>
      <c r="S294">
        <v>1000000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1000000</v>
      </c>
      <c r="Z294">
        <v>754665</v>
      </c>
      <c r="AA294">
        <v>754665</v>
      </c>
      <c r="AB294">
        <v>754665</v>
      </c>
      <c r="AC294">
        <v>754665</v>
      </c>
      <c r="AD294">
        <v>245335</v>
      </c>
      <c r="AE294">
        <v>75.47</v>
      </c>
    </row>
    <row r="295" spans="1:31" x14ac:dyDescent="0.2">
      <c r="A295" t="s">
        <v>518</v>
      </c>
      <c r="B295" t="s">
        <v>519</v>
      </c>
      <c r="C295" t="s">
        <v>22</v>
      </c>
      <c r="D295" t="s">
        <v>520</v>
      </c>
      <c r="E295" t="s">
        <v>521</v>
      </c>
      <c r="F295" t="s">
        <v>522</v>
      </c>
      <c r="G295" t="s">
        <v>22</v>
      </c>
      <c r="H295" t="s">
        <v>22</v>
      </c>
      <c r="I295" t="s">
        <v>22</v>
      </c>
      <c r="J295" t="s">
        <v>523</v>
      </c>
      <c r="K295" t="s">
        <v>22</v>
      </c>
      <c r="L295" t="s">
        <v>524</v>
      </c>
      <c r="N295" t="s">
        <v>1089</v>
      </c>
      <c r="O295" t="s">
        <v>1090</v>
      </c>
      <c r="P295" t="s">
        <v>22</v>
      </c>
      <c r="Q295" t="s">
        <v>527</v>
      </c>
      <c r="R295">
        <v>2095510</v>
      </c>
      <c r="S295">
        <v>1257777</v>
      </c>
      <c r="T295">
        <v>1257777</v>
      </c>
      <c r="U295">
        <v>0</v>
      </c>
      <c r="V295">
        <v>0</v>
      </c>
      <c r="W295">
        <v>0</v>
      </c>
      <c r="X295">
        <v>0</v>
      </c>
      <c r="Y295">
        <v>2095510</v>
      </c>
      <c r="Z295">
        <v>460852</v>
      </c>
      <c r="AA295">
        <v>460852</v>
      </c>
      <c r="AB295">
        <v>460852</v>
      </c>
      <c r="AC295">
        <v>460852</v>
      </c>
      <c r="AD295">
        <v>1634658</v>
      </c>
      <c r="AE295">
        <v>21.99</v>
      </c>
    </row>
    <row r="296" spans="1:31" x14ac:dyDescent="0.2">
      <c r="A296" t="s">
        <v>518</v>
      </c>
      <c r="B296" t="s">
        <v>853</v>
      </c>
      <c r="C296" t="s">
        <v>854</v>
      </c>
      <c r="D296" t="s">
        <v>855</v>
      </c>
      <c r="E296" t="s">
        <v>856</v>
      </c>
      <c r="F296" t="s">
        <v>857</v>
      </c>
      <c r="G296" t="s">
        <v>858</v>
      </c>
      <c r="H296" t="s">
        <v>859</v>
      </c>
      <c r="I296" t="s">
        <v>22</v>
      </c>
      <c r="J296" t="s">
        <v>523</v>
      </c>
      <c r="K296" t="s">
        <v>22</v>
      </c>
      <c r="L296" t="s">
        <v>524</v>
      </c>
      <c r="N296" t="s">
        <v>1091</v>
      </c>
      <c r="O296" t="s">
        <v>1092</v>
      </c>
      <c r="P296" t="s">
        <v>242</v>
      </c>
      <c r="Q296" t="s">
        <v>541</v>
      </c>
      <c r="R296">
        <v>288188</v>
      </c>
      <c r="S296">
        <v>0</v>
      </c>
      <c r="T296">
        <v>288188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</row>
    <row r="297" spans="1:31" x14ac:dyDescent="0.2">
      <c r="A297" t="s">
        <v>518</v>
      </c>
      <c r="B297" t="s">
        <v>853</v>
      </c>
      <c r="C297" t="s">
        <v>854</v>
      </c>
      <c r="D297" t="s">
        <v>855</v>
      </c>
      <c r="E297" t="s">
        <v>856</v>
      </c>
      <c r="F297" t="s">
        <v>857</v>
      </c>
      <c r="G297" t="s">
        <v>858</v>
      </c>
      <c r="H297" t="s">
        <v>859</v>
      </c>
      <c r="I297" t="s">
        <v>22</v>
      </c>
      <c r="J297" t="s">
        <v>523</v>
      </c>
      <c r="K297" t="s">
        <v>22</v>
      </c>
      <c r="L297" t="s">
        <v>524</v>
      </c>
      <c r="N297" t="s">
        <v>1093</v>
      </c>
      <c r="O297" t="s">
        <v>1092</v>
      </c>
      <c r="P297" t="s">
        <v>483</v>
      </c>
      <c r="Q297" t="s">
        <v>863</v>
      </c>
      <c r="R297">
        <v>0</v>
      </c>
      <c r="S297">
        <v>288188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288188</v>
      </c>
      <c r="Z297">
        <v>0</v>
      </c>
      <c r="AA297">
        <v>0</v>
      </c>
      <c r="AB297">
        <v>0</v>
      </c>
      <c r="AC297">
        <v>0</v>
      </c>
      <c r="AD297">
        <v>288188</v>
      </c>
      <c r="AE297">
        <v>0</v>
      </c>
    </row>
    <row r="298" spans="1:31" x14ac:dyDescent="0.2">
      <c r="A298" t="s">
        <v>518</v>
      </c>
      <c r="B298" t="s">
        <v>866</v>
      </c>
      <c r="C298" t="s">
        <v>867</v>
      </c>
      <c r="D298" t="s">
        <v>868</v>
      </c>
      <c r="E298" t="s">
        <v>869</v>
      </c>
      <c r="F298" t="s">
        <v>870</v>
      </c>
      <c r="G298" t="s">
        <v>871</v>
      </c>
      <c r="H298" t="s">
        <v>872</v>
      </c>
      <c r="I298" t="s">
        <v>22</v>
      </c>
      <c r="J298" t="s">
        <v>523</v>
      </c>
      <c r="K298" t="s">
        <v>22</v>
      </c>
      <c r="L298" t="s">
        <v>524</v>
      </c>
      <c r="N298" t="s">
        <v>1094</v>
      </c>
      <c r="O298" t="s">
        <v>1095</v>
      </c>
      <c r="P298" t="s">
        <v>238</v>
      </c>
      <c r="Q298" t="s">
        <v>805</v>
      </c>
      <c r="R298">
        <v>837733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837733</v>
      </c>
      <c r="Z298">
        <v>278112</v>
      </c>
      <c r="AA298">
        <v>278112</v>
      </c>
      <c r="AB298">
        <v>278112</v>
      </c>
      <c r="AC298">
        <v>278112</v>
      </c>
      <c r="AD298">
        <v>559621</v>
      </c>
      <c r="AE298">
        <v>33.200000000000003</v>
      </c>
    </row>
    <row r="299" spans="1:31" x14ac:dyDescent="0.2">
      <c r="A299" t="s">
        <v>518</v>
      </c>
      <c r="B299" t="s">
        <v>877</v>
      </c>
      <c r="C299" t="s">
        <v>878</v>
      </c>
      <c r="D299" t="s">
        <v>879</v>
      </c>
      <c r="E299" t="s">
        <v>880</v>
      </c>
      <c r="F299" t="s">
        <v>881</v>
      </c>
      <c r="G299" t="s">
        <v>882</v>
      </c>
      <c r="H299" t="s">
        <v>883</v>
      </c>
      <c r="I299" t="s">
        <v>22</v>
      </c>
      <c r="J299" t="s">
        <v>523</v>
      </c>
      <c r="K299" t="s">
        <v>22</v>
      </c>
      <c r="L299" t="s">
        <v>524</v>
      </c>
      <c r="N299" t="s">
        <v>1096</v>
      </c>
      <c r="O299" t="s">
        <v>1097</v>
      </c>
      <c r="P299" t="s">
        <v>242</v>
      </c>
      <c r="Q299" t="s">
        <v>541</v>
      </c>
      <c r="R299">
        <v>969589</v>
      </c>
      <c r="S299">
        <v>0</v>
      </c>
      <c r="T299">
        <v>969589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</row>
    <row r="300" spans="1:31" x14ac:dyDescent="0.2">
      <c r="A300" t="s">
        <v>518</v>
      </c>
      <c r="B300" t="s">
        <v>877</v>
      </c>
      <c r="C300" t="s">
        <v>878</v>
      </c>
      <c r="D300" t="s">
        <v>879</v>
      </c>
      <c r="E300" t="s">
        <v>880</v>
      </c>
      <c r="F300" t="s">
        <v>881</v>
      </c>
      <c r="G300" t="s">
        <v>882</v>
      </c>
      <c r="H300" t="s">
        <v>883</v>
      </c>
      <c r="I300" t="s">
        <v>22</v>
      </c>
      <c r="J300" t="s">
        <v>523</v>
      </c>
      <c r="K300" t="s">
        <v>22</v>
      </c>
      <c r="L300" t="s">
        <v>524</v>
      </c>
      <c r="N300" t="s">
        <v>1098</v>
      </c>
      <c r="O300" t="s">
        <v>1097</v>
      </c>
      <c r="P300" t="s">
        <v>461</v>
      </c>
      <c r="Q300" t="s">
        <v>904</v>
      </c>
      <c r="R300">
        <v>0</v>
      </c>
      <c r="S300">
        <v>969589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969589</v>
      </c>
      <c r="Z300">
        <v>182740</v>
      </c>
      <c r="AA300">
        <v>182740</v>
      </c>
      <c r="AB300">
        <v>182740</v>
      </c>
      <c r="AC300">
        <v>182740</v>
      </c>
      <c r="AD300">
        <v>786849</v>
      </c>
      <c r="AE300">
        <v>18.850000000000001</v>
      </c>
    </row>
    <row r="301" spans="1:31" x14ac:dyDescent="0.2">
      <c r="A301" t="s">
        <v>518</v>
      </c>
      <c r="B301" t="s">
        <v>519</v>
      </c>
      <c r="C301" t="s">
        <v>22</v>
      </c>
      <c r="D301" t="s">
        <v>520</v>
      </c>
      <c r="E301" t="s">
        <v>521</v>
      </c>
      <c r="F301" t="s">
        <v>522</v>
      </c>
      <c r="G301" t="s">
        <v>22</v>
      </c>
      <c r="H301" t="s">
        <v>22</v>
      </c>
      <c r="I301" t="s">
        <v>22</v>
      </c>
      <c r="J301" t="s">
        <v>523</v>
      </c>
      <c r="K301" t="s">
        <v>22</v>
      </c>
      <c r="L301" t="s">
        <v>524</v>
      </c>
      <c r="N301" t="s">
        <v>1099</v>
      </c>
      <c r="O301" t="s">
        <v>1100</v>
      </c>
      <c r="P301" t="s">
        <v>22</v>
      </c>
      <c r="Q301" t="s">
        <v>527</v>
      </c>
      <c r="R301">
        <v>5391960350</v>
      </c>
      <c r="S301">
        <v>2160705208</v>
      </c>
      <c r="T301">
        <v>112478966</v>
      </c>
      <c r="U301">
        <v>445200000</v>
      </c>
      <c r="V301">
        <v>463016980</v>
      </c>
      <c r="W301">
        <v>0</v>
      </c>
      <c r="X301">
        <v>0</v>
      </c>
      <c r="Y301">
        <v>7422369612</v>
      </c>
      <c r="Z301">
        <v>3390145618.5999999</v>
      </c>
      <c r="AA301">
        <v>3067983434.71</v>
      </c>
      <c r="AB301">
        <v>1113939229.55</v>
      </c>
      <c r="AC301">
        <v>1113939229.55</v>
      </c>
      <c r="AD301">
        <v>4032223993.4000001</v>
      </c>
      <c r="AE301">
        <v>45.67</v>
      </c>
    </row>
    <row r="302" spans="1:31" x14ac:dyDescent="0.2">
      <c r="A302" t="s">
        <v>518</v>
      </c>
      <c r="B302" t="s">
        <v>519</v>
      </c>
      <c r="C302" t="s">
        <v>22</v>
      </c>
      <c r="D302" t="s">
        <v>520</v>
      </c>
      <c r="E302" t="s">
        <v>521</v>
      </c>
      <c r="F302" t="s">
        <v>522</v>
      </c>
      <c r="G302" t="s">
        <v>22</v>
      </c>
      <c r="H302" t="s">
        <v>22</v>
      </c>
      <c r="I302" t="s">
        <v>22</v>
      </c>
      <c r="J302" t="s">
        <v>523</v>
      </c>
      <c r="K302" t="s">
        <v>22</v>
      </c>
      <c r="L302" t="s">
        <v>524</v>
      </c>
      <c r="N302" t="s">
        <v>1101</v>
      </c>
      <c r="O302" t="s">
        <v>1102</v>
      </c>
      <c r="P302" t="s">
        <v>22</v>
      </c>
      <c r="Q302" t="s">
        <v>527</v>
      </c>
      <c r="R302">
        <v>137458000</v>
      </c>
      <c r="S302">
        <v>14217098</v>
      </c>
      <c r="T302">
        <v>0</v>
      </c>
      <c r="U302">
        <v>23900000</v>
      </c>
      <c r="V302">
        <v>0</v>
      </c>
      <c r="W302">
        <v>0</v>
      </c>
      <c r="X302">
        <v>0</v>
      </c>
      <c r="Y302">
        <v>175575098</v>
      </c>
      <c r="Z302">
        <v>23900000</v>
      </c>
      <c r="AA302">
        <v>23900000</v>
      </c>
      <c r="AB302">
        <v>12648000</v>
      </c>
      <c r="AC302">
        <v>12648000</v>
      </c>
      <c r="AD302">
        <v>151675098</v>
      </c>
      <c r="AE302">
        <v>13.61</v>
      </c>
    </row>
    <row r="303" spans="1:31" x14ac:dyDescent="0.2">
      <c r="A303" t="s">
        <v>518</v>
      </c>
      <c r="B303" t="s">
        <v>519</v>
      </c>
      <c r="C303" t="s">
        <v>22</v>
      </c>
      <c r="D303" t="s">
        <v>520</v>
      </c>
      <c r="E303" t="s">
        <v>521</v>
      </c>
      <c r="F303" t="s">
        <v>522</v>
      </c>
      <c r="G303" t="s">
        <v>22</v>
      </c>
      <c r="H303" t="s">
        <v>22</v>
      </c>
      <c r="I303" t="s">
        <v>22</v>
      </c>
      <c r="J303" t="s">
        <v>523</v>
      </c>
      <c r="K303" t="s">
        <v>22</v>
      </c>
      <c r="L303" t="s">
        <v>524</v>
      </c>
      <c r="N303" t="s">
        <v>1103</v>
      </c>
      <c r="O303" t="s">
        <v>1104</v>
      </c>
      <c r="P303" t="s">
        <v>22</v>
      </c>
      <c r="Q303" t="s">
        <v>527</v>
      </c>
      <c r="R303">
        <v>0</v>
      </c>
      <c r="S303">
        <v>0</v>
      </c>
      <c r="T303">
        <v>0</v>
      </c>
      <c r="U303">
        <v>23900000</v>
      </c>
      <c r="V303">
        <v>0</v>
      </c>
      <c r="W303">
        <v>0</v>
      </c>
      <c r="X303">
        <v>0</v>
      </c>
      <c r="Y303">
        <v>23900000</v>
      </c>
      <c r="Z303">
        <v>23900000</v>
      </c>
      <c r="AA303">
        <v>23900000</v>
      </c>
      <c r="AB303">
        <v>12648000</v>
      </c>
      <c r="AC303">
        <v>12648000</v>
      </c>
      <c r="AD303">
        <v>0</v>
      </c>
      <c r="AE303">
        <v>100</v>
      </c>
    </row>
    <row r="304" spans="1:31" x14ac:dyDescent="0.2">
      <c r="A304" t="s">
        <v>518</v>
      </c>
      <c r="B304" t="s">
        <v>519</v>
      </c>
      <c r="C304" t="s">
        <v>22</v>
      </c>
      <c r="D304" t="s">
        <v>520</v>
      </c>
      <c r="E304" t="s">
        <v>521</v>
      </c>
      <c r="F304" t="s">
        <v>522</v>
      </c>
      <c r="G304" t="s">
        <v>22</v>
      </c>
      <c r="H304" t="s">
        <v>22</v>
      </c>
      <c r="I304" t="s">
        <v>22</v>
      </c>
      <c r="J304" t="s">
        <v>523</v>
      </c>
      <c r="K304" t="s">
        <v>22</v>
      </c>
      <c r="L304" t="s">
        <v>524</v>
      </c>
      <c r="N304" t="s">
        <v>1105</v>
      </c>
      <c r="O304" t="s">
        <v>1106</v>
      </c>
      <c r="P304" t="s">
        <v>22</v>
      </c>
      <c r="Q304" t="s">
        <v>527</v>
      </c>
      <c r="R304">
        <v>0</v>
      </c>
      <c r="S304">
        <v>0</v>
      </c>
      <c r="T304">
        <v>0</v>
      </c>
      <c r="U304">
        <v>23900000</v>
      </c>
      <c r="V304">
        <v>0</v>
      </c>
      <c r="W304">
        <v>0</v>
      </c>
      <c r="X304">
        <v>0</v>
      </c>
      <c r="Y304">
        <v>23900000</v>
      </c>
      <c r="Z304">
        <v>23900000</v>
      </c>
      <c r="AA304">
        <v>23900000</v>
      </c>
      <c r="AB304">
        <v>12648000</v>
      </c>
      <c r="AC304">
        <v>12648000</v>
      </c>
      <c r="AD304">
        <v>0</v>
      </c>
      <c r="AE304">
        <v>100</v>
      </c>
    </row>
    <row r="305" spans="1:31" x14ac:dyDescent="0.2">
      <c r="A305" t="s">
        <v>518</v>
      </c>
      <c r="B305" t="s">
        <v>519</v>
      </c>
      <c r="C305" t="s">
        <v>22</v>
      </c>
      <c r="D305" t="s">
        <v>520</v>
      </c>
      <c r="E305" t="s">
        <v>521</v>
      </c>
      <c r="F305" t="s">
        <v>522</v>
      </c>
      <c r="G305" t="s">
        <v>22</v>
      </c>
      <c r="H305" t="s">
        <v>22</v>
      </c>
      <c r="I305" t="s">
        <v>22</v>
      </c>
      <c r="J305" t="s">
        <v>523</v>
      </c>
      <c r="K305" t="s">
        <v>22</v>
      </c>
      <c r="L305" t="s">
        <v>524</v>
      </c>
      <c r="N305" t="s">
        <v>1107</v>
      </c>
      <c r="O305" t="s">
        <v>1108</v>
      </c>
      <c r="P305" t="s">
        <v>22</v>
      </c>
      <c r="Q305" t="s">
        <v>527</v>
      </c>
      <c r="R305">
        <v>0</v>
      </c>
      <c r="S305">
        <v>0</v>
      </c>
      <c r="T305">
        <v>0</v>
      </c>
      <c r="U305">
        <v>23900000</v>
      </c>
      <c r="V305">
        <v>0</v>
      </c>
      <c r="W305">
        <v>0</v>
      </c>
      <c r="X305">
        <v>0</v>
      </c>
      <c r="Y305">
        <v>23900000</v>
      </c>
      <c r="Z305">
        <v>23900000</v>
      </c>
      <c r="AA305">
        <v>23900000</v>
      </c>
      <c r="AB305">
        <v>12648000</v>
      </c>
      <c r="AC305">
        <v>12648000</v>
      </c>
      <c r="AD305">
        <v>0</v>
      </c>
      <c r="AE305">
        <v>100</v>
      </c>
    </row>
    <row r="306" spans="1:31" x14ac:dyDescent="0.2">
      <c r="A306" t="s">
        <v>518</v>
      </c>
      <c r="B306" t="s">
        <v>519</v>
      </c>
      <c r="C306" t="s">
        <v>22</v>
      </c>
      <c r="D306" t="s">
        <v>520</v>
      </c>
      <c r="E306" t="s">
        <v>521</v>
      </c>
      <c r="F306" t="s">
        <v>522</v>
      </c>
      <c r="G306" t="s">
        <v>22</v>
      </c>
      <c r="H306" t="s">
        <v>22</v>
      </c>
      <c r="I306" t="s">
        <v>22</v>
      </c>
      <c r="J306" t="s">
        <v>523</v>
      </c>
      <c r="K306" t="s">
        <v>22</v>
      </c>
      <c r="L306" t="s">
        <v>524</v>
      </c>
      <c r="N306" t="s">
        <v>1109</v>
      </c>
      <c r="O306" t="s">
        <v>1110</v>
      </c>
      <c r="P306" t="s">
        <v>22</v>
      </c>
      <c r="Q306" t="s">
        <v>527</v>
      </c>
      <c r="R306">
        <v>0</v>
      </c>
      <c r="S306">
        <v>0</v>
      </c>
      <c r="T306">
        <v>0</v>
      </c>
      <c r="U306">
        <v>23900000</v>
      </c>
      <c r="V306">
        <v>0</v>
      </c>
      <c r="W306">
        <v>0</v>
      </c>
      <c r="X306">
        <v>0</v>
      </c>
      <c r="Y306">
        <v>23900000</v>
      </c>
      <c r="Z306">
        <v>23900000</v>
      </c>
      <c r="AA306">
        <v>23900000</v>
      </c>
      <c r="AB306">
        <v>12648000</v>
      </c>
      <c r="AC306">
        <v>12648000</v>
      </c>
      <c r="AD306">
        <v>0</v>
      </c>
      <c r="AE306">
        <v>100</v>
      </c>
    </row>
    <row r="307" spans="1:31" x14ac:dyDescent="0.2">
      <c r="A307" t="s">
        <v>518</v>
      </c>
      <c r="B307" t="s">
        <v>519</v>
      </c>
      <c r="C307" t="s">
        <v>22</v>
      </c>
      <c r="D307" t="s">
        <v>520</v>
      </c>
      <c r="E307" t="s">
        <v>521</v>
      </c>
      <c r="F307" t="s">
        <v>522</v>
      </c>
      <c r="G307" t="s">
        <v>22</v>
      </c>
      <c r="H307" t="s">
        <v>22</v>
      </c>
      <c r="I307" t="s">
        <v>22</v>
      </c>
      <c r="J307" t="s">
        <v>523</v>
      </c>
      <c r="K307" t="s">
        <v>22</v>
      </c>
      <c r="L307" t="s">
        <v>524</v>
      </c>
      <c r="N307" t="s">
        <v>1111</v>
      </c>
      <c r="O307" t="s">
        <v>876</v>
      </c>
      <c r="P307" t="s">
        <v>22</v>
      </c>
      <c r="Q307" t="s">
        <v>527</v>
      </c>
      <c r="R307">
        <v>0</v>
      </c>
      <c r="S307">
        <v>0</v>
      </c>
      <c r="T307">
        <v>0</v>
      </c>
      <c r="U307">
        <v>23900000</v>
      </c>
      <c r="V307">
        <v>0</v>
      </c>
      <c r="W307">
        <v>0</v>
      </c>
      <c r="X307">
        <v>0</v>
      </c>
      <c r="Y307">
        <v>23900000</v>
      </c>
      <c r="Z307">
        <v>23900000</v>
      </c>
      <c r="AA307">
        <v>23900000</v>
      </c>
      <c r="AB307">
        <v>12648000</v>
      </c>
      <c r="AC307">
        <v>12648000</v>
      </c>
      <c r="AD307">
        <v>0</v>
      </c>
      <c r="AE307">
        <v>100</v>
      </c>
    </row>
    <row r="308" spans="1:31" x14ac:dyDescent="0.2">
      <c r="A308" t="s">
        <v>518</v>
      </c>
      <c r="B308" t="s">
        <v>877</v>
      </c>
      <c r="C308" t="s">
        <v>878</v>
      </c>
      <c r="D308" t="s">
        <v>1112</v>
      </c>
      <c r="E308" t="s">
        <v>1113</v>
      </c>
      <c r="F308" t="s">
        <v>1114</v>
      </c>
      <c r="G308" t="s">
        <v>1115</v>
      </c>
      <c r="H308" t="s">
        <v>1116</v>
      </c>
      <c r="I308" t="s">
        <v>22</v>
      </c>
      <c r="J308" t="s">
        <v>523</v>
      </c>
      <c r="K308" t="s">
        <v>22</v>
      </c>
      <c r="L308" t="s">
        <v>524</v>
      </c>
      <c r="N308" t="s">
        <v>1117</v>
      </c>
      <c r="O308" t="s">
        <v>1118</v>
      </c>
      <c r="P308" t="s">
        <v>242</v>
      </c>
      <c r="Q308" t="s">
        <v>541</v>
      </c>
      <c r="R308">
        <v>0</v>
      </c>
      <c r="S308">
        <v>0</v>
      </c>
      <c r="T308">
        <v>0</v>
      </c>
      <c r="U308">
        <v>23900000</v>
      </c>
      <c r="V308">
        <v>0</v>
      </c>
      <c r="W308">
        <v>0</v>
      </c>
      <c r="X308">
        <v>0</v>
      </c>
      <c r="Y308">
        <v>23900000</v>
      </c>
      <c r="Z308">
        <v>23900000</v>
      </c>
      <c r="AA308">
        <v>23900000</v>
      </c>
      <c r="AB308">
        <v>12648000</v>
      </c>
      <c r="AC308">
        <v>12648000</v>
      </c>
      <c r="AD308">
        <v>0</v>
      </c>
      <c r="AE308">
        <v>100</v>
      </c>
    </row>
    <row r="309" spans="1:31" x14ac:dyDescent="0.2">
      <c r="A309" t="s">
        <v>518</v>
      </c>
      <c r="B309" t="s">
        <v>519</v>
      </c>
      <c r="C309" t="s">
        <v>22</v>
      </c>
      <c r="D309" t="s">
        <v>520</v>
      </c>
      <c r="E309" t="s">
        <v>521</v>
      </c>
      <c r="F309" t="s">
        <v>522</v>
      </c>
      <c r="G309" t="s">
        <v>22</v>
      </c>
      <c r="H309" t="s">
        <v>22</v>
      </c>
      <c r="I309" t="s">
        <v>22</v>
      </c>
      <c r="J309" t="s">
        <v>523</v>
      </c>
      <c r="K309" t="s">
        <v>22</v>
      </c>
      <c r="L309" t="s">
        <v>524</v>
      </c>
      <c r="N309" t="s">
        <v>1119</v>
      </c>
      <c r="O309" t="s">
        <v>1120</v>
      </c>
      <c r="P309" t="s">
        <v>22</v>
      </c>
      <c r="Q309" t="s">
        <v>527</v>
      </c>
      <c r="R309">
        <v>137458000</v>
      </c>
      <c r="S309">
        <v>14217098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151675098</v>
      </c>
      <c r="Z309">
        <v>0</v>
      </c>
      <c r="AA309">
        <v>0</v>
      </c>
      <c r="AB309">
        <v>0</v>
      </c>
      <c r="AC309">
        <v>0</v>
      </c>
      <c r="AD309">
        <v>151675098</v>
      </c>
      <c r="AE309">
        <v>0</v>
      </c>
    </row>
    <row r="310" spans="1:31" x14ac:dyDescent="0.2">
      <c r="A310" t="s">
        <v>518</v>
      </c>
      <c r="B310" t="s">
        <v>519</v>
      </c>
      <c r="C310" t="s">
        <v>22</v>
      </c>
      <c r="D310" t="s">
        <v>520</v>
      </c>
      <c r="E310" t="s">
        <v>521</v>
      </c>
      <c r="F310" t="s">
        <v>522</v>
      </c>
      <c r="G310" t="s">
        <v>22</v>
      </c>
      <c r="H310" t="s">
        <v>22</v>
      </c>
      <c r="I310" t="s">
        <v>22</v>
      </c>
      <c r="J310" t="s">
        <v>523</v>
      </c>
      <c r="K310" t="s">
        <v>22</v>
      </c>
      <c r="L310" t="s">
        <v>524</v>
      </c>
      <c r="N310" t="s">
        <v>1121</v>
      </c>
      <c r="O310" t="s">
        <v>1122</v>
      </c>
      <c r="P310" t="s">
        <v>22</v>
      </c>
      <c r="Q310" t="s">
        <v>527</v>
      </c>
      <c r="R310">
        <v>137458000</v>
      </c>
      <c r="S310">
        <v>14217098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151675098</v>
      </c>
      <c r="Z310">
        <v>0</v>
      </c>
      <c r="AA310">
        <v>0</v>
      </c>
      <c r="AB310">
        <v>0</v>
      </c>
      <c r="AC310">
        <v>0</v>
      </c>
      <c r="AD310">
        <v>151675098</v>
      </c>
      <c r="AE310">
        <v>0</v>
      </c>
    </row>
    <row r="311" spans="1:31" x14ac:dyDescent="0.2">
      <c r="A311" t="s">
        <v>518</v>
      </c>
      <c r="B311" t="s">
        <v>519</v>
      </c>
      <c r="C311" t="s">
        <v>22</v>
      </c>
      <c r="D311" t="s">
        <v>520</v>
      </c>
      <c r="E311" t="s">
        <v>521</v>
      </c>
      <c r="F311" t="s">
        <v>522</v>
      </c>
      <c r="G311" t="s">
        <v>22</v>
      </c>
      <c r="H311" t="s">
        <v>22</v>
      </c>
      <c r="I311" t="s">
        <v>22</v>
      </c>
      <c r="J311" t="s">
        <v>523</v>
      </c>
      <c r="K311" t="s">
        <v>22</v>
      </c>
      <c r="L311" t="s">
        <v>524</v>
      </c>
      <c r="N311" t="s">
        <v>1123</v>
      </c>
      <c r="O311" t="s">
        <v>1124</v>
      </c>
      <c r="P311" t="s">
        <v>22</v>
      </c>
      <c r="Q311" t="s">
        <v>527</v>
      </c>
      <c r="R311">
        <v>137458000</v>
      </c>
      <c r="S311">
        <v>14217098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151675098</v>
      </c>
      <c r="Z311">
        <v>0</v>
      </c>
      <c r="AA311">
        <v>0</v>
      </c>
      <c r="AB311">
        <v>0</v>
      </c>
      <c r="AC311">
        <v>0</v>
      </c>
      <c r="AD311">
        <v>151675098</v>
      </c>
      <c r="AE311">
        <v>0</v>
      </c>
    </row>
    <row r="312" spans="1:31" x14ac:dyDescent="0.2">
      <c r="A312" t="s">
        <v>518</v>
      </c>
      <c r="B312" t="s">
        <v>1125</v>
      </c>
      <c r="C312" t="s">
        <v>1126</v>
      </c>
      <c r="D312" t="s">
        <v>1127</v>
      </c>
      <c r="E312" t="s">
        <v>1128</v>
      </c>
      <c r="F312" t="s">
        <v>1129</v>
      </c>
      <c r="G312" t="s">
        <v>1130</v>
      </c>
      <c r="H312" t="s">
        <v>1131</v>
      </c>
      <c r="I312" t="s">
        <v>22</v>
      </c>
      <c r="J312" t="s">
        <v>523</v>
      </c>
      <c r="K312" t="s">
        <v>22</v>
      </c>
      <c r="L312" t="s">
        <v>524</v>
      </c>
      <c r="N312" t="s">
        <v>1132</v>
      </c>
      <c r="O312" t="s">
        <v>1133</v>
      </c>
      <c r="P312" t="s">
        <v>48</v>
      </c>
      <c r="Q312" t="s">
        <v>540</v>
      </c>
      <c r="R312">
        <v>37358000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37358000</v>
      </c>
      <c r="Z312">
        <v>0</v>
      </c>
      <c r="AA312">
        <v>0</v>
      </c>
      <c r="AB312">
        <v>0</v>
      </c>
      <c r="AC312">
        <v>0</v>
      </c>
      <c r="AD312">
        <v>37358000</v>
      </c>
      <c r="AE312">
        <v>0</v>
      </c>
    </row>
    <row r="313" spans="1:31" x14ac:dyDescent="0.2">
      <c r="A313" t="s">
        <v>518</v>
      </c>
      <c r="B313" t="s">
        <v>1125</v>
      </c>
      <c r="C313" t="s">
        <v>1126</v>
      </c>
      <c r="D313" t="s">
        <v>1127</v>
      </c>
      <c r="E313" t="s">
        <v>1128</v>
      </c>
      <c r="F313" t="s">
        <v>1129</v>
      </c>
      <c r="G313" t="s">
        <v>1130</v>
      </c>
      <c r="H313" t="s">
        <v>1131</v>
      </c>
      <c r="I313" t="s">
        <v>22</v>
      </c>
      <c r="J313" t="s">
        <v>523</v>
      </c>
      <c r="K313" t="s">
        <v>22</v>
      </c>
      <c r="L313" t="s">
        <v>524</v>
      </c>
      <c r="N313" t="s">
        <v>1134</v>
      </c>
      <c r="O313" t="s">
        <v>1133</v>
      </c>
      <c r="P313" t="s">
        <v>238</v>
      </c>
      <c r="Q313" t="s">
        <v>805</v>
      </c>
      <c r="R313">
        <v>100000000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100000000</v>
      </c>
      <c r="Z313">
        <v>0</v>
      </c>
      <c r="AA313">
        <v>0</v>
      </c>
      <c r="AB313">
        <v>0</v>
      </c>
      <c r="AC313">
        <v>0</v>
      </c>
      <c r="AD313">
        <v>100000000</v>
      </c>
      <c r="AE313">
        <v>0</v>
      </c>
    </row>
    <row r="314" spans="1:31" x14ac:dyDescent="0.2">
      <c r="A314" t="s">
        <v>518</v>
      </c>
      <c r="B314" t="s">
        <v>1125</v>
      </c>
      <c r="C314" t="s">
        <v>1126</v>
      </c>
      <c r="D314" t="s">
        <v>1127</v>
      </c>
      <c r="E314" t="s">
        <v>1128</v>
      </c>
      <c r="F314" t="s">
        <v>1129</v>
      </c>
      <c r="G314" t="s">
        <v>1130</v>
      </c>
      <c r="H314" t="s">
        <v>1131</v>
      </c>
      <c r="I314" t="s">
        <v>22</v>
      </c>
      <c r="J314" t="s">
        <v>523</v>
      </c>
      <c r="K314" t="s">
        <v>22</v>
      </c>
      <c r="L314" t="s">
        <v>524</v>
      </c>
      <c r="N314" t="s">
        <v>1135</v>
      </c>
      <c r="O314" t="s">
        <v>1133</v>
      </c>
      <c r="P314" t="s">
        <v>380</v>
      </c>
      <c r="Q314" t="s">
        <v>1136</v>
      </c>
      <c r="R314">
        <v>100000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100000</v>
      </c>
      <c r="Z314">
        <v>0</v>
      </c>
      <c r="AA314">
        <v>0</v>
      </c>
      <c r="AB314">
        <v>0</v>
      </c>
      <c r="AC314">
        <v>0</v>
      </c>
      <c r="AD314">
        <v>100000</v>
      </c>
      <c r="AE314">
        <v>0</v>
      </c>
    </row>
    <row r="315" spans="1:31" x14ac:dyDescent="0.2">
      <c r="A315" t="s">
        <v>518</v>
      </c>
      <c r="B315" t="s">
        <v>1125</v>
      </c>
      <c r="C315" t="s">
        <v>1126</v>
      </c>
      <c r="D315" t="s">
        <v>1127</v>
      </c>
      <c r="E315" t="s">
        <v>1128</v>
      </c>
      <c r="F315" t="s">
        <v>1129</v>
      </c>
      <c r="G315" t="s">
        <v>1130</v>
      </c>
      <c r="H315" t="s">
        <v>1131</v>
      </c>
      <c r="I315" t="s">
        <v>22</v>
      </c>
      <c r="J315" t="s">
        <v>523</v>
      </c>
      <c r="K315" t="s">
        <v>22</v>
      </c>
      <c r="L315" t="s">
        <v>524</v>
      </c>
      <c r="N315" t="s">
        <v>1137</v>
      </c>
      <c r="O315" t="s">
        <v>1133</v>
      </c>
      <c r="P315" t="s">
        <v>443</v>
      </c>
      <c r="Q315" t="s">
        <v>1138</v>
      </c>
      <c r="R315">
        <v>0</v>
      </c>
      <c r="S315">
        <v>14150280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14150280</v>
      </c>
      <c r="Z315">
        <v>0</v>
      </c>
      <c r="AA315">
        <v>0</v>
      </c>
      <c r="AB315">
        <v>0</v>
      </c>
      <c r="AC315">
        <v>0</v>
      </c>
      <c r="AD315">
        <v>14150280</v>
      </c>
      <c r="AE315">
        <v>0</v>
      </c>
    </row>
    <row r="316" spans="1:31" x14ac:dyDescent="0.2">
      <c r="A316" t="s">
        <v>518</v>
      </c>
      <c r="B316" t="s">
        <v>1125</v>
      </c>
      <c r="C316" t="s">
        <v>1126</v>
      </c>
      <c r="D316" t="s">
        <v>1127</v>
      </c>
      <c r="E316" t="s">
        <v>1128</v>
      </c>
      <c r="F316" t="s">
        <v>1129</v>
      </c>
      <c r="G316" t="s">
        <v>1130</v>
      </c>
      <c r="H316" t="s">
        <v>1131</v>
      </c>
      <c r="I316" t="s">
        <v>22</v>
      </c>
      <c r="J316" t="s">
        <v>523</v>
      </c>
      <c r="K316" t="s">
        <v>22</v>
      </c>
      <c r="L316" t="s">
        <v>524</v>
      </c>
      <c r="N316" t="s">
        <v>1139</v>
      </c>
      <c r="O316" t="s">
        <v>1133</v>
      </c>
      <c r="P316" t="s">
        <v>421</v>
      </c>
      <c r="Q316" t="s">
        <v>419</v>
      </c>
      <c r="R316">
        <v>0</v>
      </c>
      <c r="S316">
        <v>66818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66818</v>
      </c>
      <c r="Z316">
        <v>0</v>
      </c>
      <c r="AA316">
        <v>0</v>
      </c>
      <c r="AB316">
        <v>0</v>
      </c>
      <c r="AC316">
        <v>0</v>
      </c>
      <c r="AD316">
        <v>66818</v>
      </c>
      <c r="AE316">
        <v>0</v>
      </c>
    </row>
    <row r="317" spans="1:31" x14ac:dyDescent="0.2">
      <c r="A317" t="s">
        <v>518</v>
      </c>
      <c r="B317" t="s">
        <v>519</v>
      </c>
      <c r="C317" t="s">
        <v>22</v>
      </c>
      <c r="D317" t="s">
        <v>520</v>
      </c>
      <c r="E317" t="s">
        <v>521</v>
      </c>
      <c r="F317" t="s">
        <v>522</v>
      </c>
      <c r="G317" t="s">
        <v>22</v>
      </c>
      <c r="H317" t="s">
        <v>22</v>
      </c>
      <c r="I317" t="s">
        <v>22</v>
      </c>
      <c r="J317" t="s">
        <v>523</v>
      </c>
      <c r="K317" t="s">
        <v>22</v>
      </c>
      <c r="L317" t="s">
        <v>524</v>
      </c>
      <c r="N317" t="s">
        <v>1140</v>
      </c>
      <c r="O317" t="s">
        <v>626</v>
      </c>
      <c r="P317" t="s">
        <v>22</v>
      </c>
      <c r="Q317" t="s">
        <v>527</v>
      </c>
      <c r="R317">
        <v>5254502350</v>
      </c>
      <c r="S317">
        <v>2146488110</v>
      </c>
      <c r="T317">
        <v>112478966</v>
      </c>
      <c r="U317">
        <v>421300000</v>
      </c>
      <c r="V317">
        <v>463016980</v>
      </c>
      <c r="W317">
        <v>0</v>
      </c>
      <c r="X317">
        <v>0</v>
      </c>
      <c r="Y317">
        <v>7246794514</v>
      </c>
      <c r="Z317">
        <v>3366245618.5999999</v>
      </c>
      <c r="AA317">
        <v>3044083434.71</v>
      </c>
      <c r="AB317">
        <v>1101291229.55</v>
      </c>
      <c r="AC317">
        <v>1101291229.55</v>
      </c>
      <c r="AD317">
        <v>3880548895.4000001</v>
      </c>
      <c r="AE317">
        <v>46.45</v>
      </c>
    </row>
    <row r="318" spans="1:31" x14ac:dyDescent="0.2">
      <c r="A318" t="s">
        <v>518</v>
      </c>
      <c r="B318" t="s">
        <v>519</v>
      </c>
      <c r="C318" t="s">
        <v>22</v>
      </c>
      <c r="D318" t="s">
        <v>520</v>
      </c>
      <c r="E318" t="s">
        <v>521</v>
      </c>
      <c r="F318" t="s">
        <v>522</v>
      </c>
      <c r="G318" t="s">
        <v>22</v>
      </c>
      <c r="H318" t="s">
        <v>22</v>
      </c>
      <c r="I318" t="s">
        <v>22</v>
      </c>
      <c r="J318" t="s">
        <v>523</v>
      </c>
      <c r="K318" t="s">
        <v>22</v>
      </c>
      <c r="L318" t="s">
        <v>524</v>
      </c>
      <c r="N318" t="s">
        <v>1141</v>
      </c>
      <c r="O318" t="s">
        <v>1142</v>
      </c>
      <c r="P318" t="s">
        <v>22</v>
      </c>
      <c r="Q318" t="s">
        <v>527</v>
      </c>
      <c r="R318">
        <v>21698000</v>
      </c>
      <c r="S318">
        <v>19377353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41075353</v>
      </c>
      <c r="Z318">
        <v>6254113.5999999996</v>
      </c>
      <c r="AA318">
        <v>0</v>
      </c>
      <c r="AB318">
        <v>0</v>
      </c>
      <c r="AC318">
        <v>0</v>
      </c>
      <c r="AD318">
        <v>34821239.399999999</v>
      </c>
      <c r="AE318">
        <v>15.23</v>
      </c>
    </row>
    <row r="319" spans="1:31" x14ac:dyDescent="0.2">
      <c r="A319" t="s">
        <v>518</v>
      </c>
      <c r="B319" t="s">
        <v>519</v>
      </c>
      <c r="C319" t="s">
        <v>22</v>
      </c>
      <c r="D319" t="s">
        <v>520</v>
      </c>
      <c r="E319" t="s">
        <v>521</v>
      </c>
      <c r="F319" t="s">
        <v>522</v>
      </c>
      <c r="G319" t="s">
        <v>22</v>
      </c>
      <c r="H319" t="s">
        <v>22</v>
      </c>
      <c r="I319" t="s">
        <v>22</v>
      </c>
      <c r="J319" t="s">
        <v>523</v>
      </c>
      <c r="K319" t="s">
        <v>22</v>
      </c>
      <c r="L319" t="s">
        <v>524</v>
      </c>
      <c r="N319" t="s">
        <v>1143</v>
      </c>
      <c r="O319" t="s">
        <v>1144</v>
      </c>
      <c r="P319" t="s">
        <v>22</v>
      </c>
      <c r="Q319" t="s">
        <v>527</v>
      </c>
      <c r="R319">
        <v>21698000</v>
      </c>
      <c r="S319">
        <v>19377353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41075353</v>
      </c>
      <c r="Z319">
        <v>6254113.5999999996</v>
      </c>
      <c r="AA319">
        <v>0</v>
      </c>
      <c r="AB319">
        <v>0</v>
      </c>
      <c r="AC319">
        <v>0</v>
      </c>
      <c r="AD319">
        <v>34821239.399999999</v>
      </c>
      <c r="AE319">
        <v>15.23</v>
      </c>
    </row>
    <row r="320" spans="1:31" x14ac:dyDescent="0.2">
      <c r="A320" t="s">
        <v>518</v>
      </c>
      <c r="B320" t="s">
        <v>519</v>
      </c>
      <c r="C320" t="s">
        <v>22</v>
      </c>
      <c r="D320" t="s">
        <v>520</v>
      </c>
      <c r="E320" t="s">
        <v>521</v>
      </c>
      <c r="F320" t="s">
        <v>522</v>
      </c>
      <c r="G320" t="s">
        <v>22</v>
      </c>
      <c r="H320" t="s">
        <v>22</v>
      </c>
      <c r="I320" t="s">
        <v>22</v>
      </c>
      <c r="J320" t="s">
        <v>523</v>
      </c>
      <c r="K320" t="s">
        <v>22</v>
      </c>
      <c r="L320" t="s">
        <v>524</v>
      </c>
      <c r="N320" t="s">
        <v>1145</v>
      </c>
      <c r="O320" t="s">
        <v>1146</v>
      </c>
      <c r="P320" t="s">
        <v>22</v>
      </c>
      <c r="Q320" t="s">
        <v>527</v>
      </c>
      <c r="R320">
        <v>21698000</v>
      </c>
      <c r="S320">
        <v>19377353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41075353</v>
      </c>
      <c r="Z320">
        <v>6254113.5999999996</v>
      </c>
      <c r="AA320">
        <v>0</v>
      </c>
      <c r="AB320">
        <v>0</v>
      </c>
      <c r="AC320">
        <v>0</v>
      </c>
      <c r="AD320">
        <v>34821239.399999999</v>
      </c>
      <c r="AE320">
        <v>15.23</v>
      </c>
    </row>
    <row r="321" spans="1:31" x14ac:dyDescent="0.2">
      <c r="A321" t="s">
        <v>518</v>
      </c>
      <c r="B321" t="s">
        <v>1147</v>
      </c>
      <c r="C321" t="s">
        <v>1148</v>
      </c>
      <c r="D321" t="s">
        <v>1149</v>
      </c>
      <c r="E321" t="s">
        <v>1150</v>
      </c>
      <c r="F321" t="s">
        <v>1151</v>
      </c>
      <c r="G321" t="s">
        <v>1152</v>
      </c>
      <c r="H321" t="s">
        <v>1153</v>
      </c>
      <c r="I321" t="s">
        <v>22</v>
      </c>
      <c r="J321" t="s">
        <v>523</v>
      </c>
      <c r="K321" t="s">
        <v>22</v>
      </c>
      <c r="L321" t="s">
        <v>524</v>
      </c>
      <c r="N321" t="s">
        <v>1154</v>
      </c>
      <c r="O321" t="s">
        <v>1155</v>
      </c>
      <c r="P321" t="s">
        <v>248</v>
      </c>
      <c r="Q321" t="s">
        <v>1156</v>
      </c>
      <c r="R321">
        <v>21698000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21698000</v>
      </c>
      <c r="Z321">
        <v>0</v>
      </c>
      <c r="AA321">
        <v>0</v>
      </c>
      <c r="AB321">
        <v>0</v>
      </c>
      <c r="AC321">
        <v>0</v>
      </c>
      <c r="AD321">
        <v>21698000</v>
      </c>
      <c r="AE321">
        <v>0</v>
      </c>
    </row>
    <row r="322" spans="1:31" x14ac:dyDescent="0.2">
      <c r="A322" t="s">
        <v>518</v>
      </c>
      <c r="B322" t="s">
        <v>1147</v>
      </c>
      <c r="C322" t="s">
        <v>1148</v>
      </c>
      <c r="D322" t="s">
        <v>1149</v>
      </c>
      <c r="E322" t="s">
        <v>1150</v>
      </c>
      <c r="F322" t="s">
        <v>1151</v>
      </c>
      <c r="G322" t="s">
        <v>1152</v>
      </c>
      <c r="H322" t="s">
        <v>1153</v>
      </c>
      <c r="I322" t="s">
        <v>1157</v>
      </c>
      <c r="J322" t="s">
        <v>1158</v>
      </c>
      <c r="K322" t="s">
        <v>22</v>
      </c>
      <c r="L322" t="s">
        <v>524</v>
      </c>
      <c r="N322" t="s">
        <v>1159</v>
      </c>
      <c r="O322" t="s">
        <v>1155</v>
      </c>
      <c r="P322" t="s">
        <v>455</v>
      </c>
      <c r="Q322" t="s">
        <v>1160</v>
      </c>
      <c r="R322">
        <v>0</v>
      </c>
      <c r="S322">
        <v>19377353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19377353</v>
      </c>
      <c r="Z322">
        <v>6254113.5999999996</v>
      </c>
      <c r="AA322">
        <v>0</v>
      </c>
      <c r="AB322">
        <v>0</v>
      </c>
      <c r="AC322">
        <v>0</v>
      </c>
      <c r="AD322">
        <v>13123239.4</v>
      </c>
      <c r="AE322">
        <v>32.28</v>
      </c>
    </row>
    <row r="323" spans="1:31" x14ac:dyDescent="0.2">
      <c r="A323" t="s">
        <v>518</v>
      </c>
      <c r="B323" t="s">
        <v>519</v>
      </c>
      <c r="C323" t="s">
        <v>22</v>
      </c>
      <c r="D323" t="s">
        <v>520</v>
      </c>
      <c r="E323" t="s">
        <v>521</v>
      </c>
      <c r="F323" t="s">
        <v>522</v>
      </c>
      <c r="G323" t="s">
        <v>22</v>
      </c>
      <c r="H323" t="s">
        <v>22</v>
      </c>
      <c r="I323" t="s">
        <v>22</v>
      </c>
      <c r="J323" t="s">
        <v>523</v>
      </c>
      <c r="K323" t="s">
        <v>22</v>
      </c>
      <c r="L323" t="s">
        <v>524</v>
      </c>
      <c r="N323" t="s">
        <v>1161</v>
      </c>
      <c r="O323" t="s">
        <v>1162</v>
      </c>
      <c r="P323" t="s">
        <v>22</v>
      </c>
      <c r="Q323" t="s">
        <v>527</v>
      </c>
      <c r="R323">
        <v>5232804350</v>
      </c>
      <c r="S323">
        <v>2127110757</v>
      </c>
      <c r="T323">
        <v>112478966</v>
      </c>
      <c r="U323">
        <v>421300000</v>
      </c>
      <c r="V323">
        <v>463016980</v>
      </c>
      <c r="W323">
        <v>0</v>
      </c>
      <c r="X323">
        <v>0</v>
      </c>
      <c r="Y323">
        <v>7205719161</v>
      </c>
      <c r="Z323">
        <v>3359991505</v>
      </c>
      <c r="AA323">
        <v>3044083434.71</v>
      </c>
      <c r="AB323">
        <v>1101291229.55</v>
      </c>
      <c r="AC323">
        <v>1101291229.55</v>
      </c>
      <c r="AD323">
        <v>3845727656</v>
      </c>
      <c r="AE323">
        <v>46.63</v>
      </c>
    </row>
    <row r="324" spans="1:31" x14ac:dyDescent="0.2">
      <c r="A324" t="s">
        <v>518</v>
      </c>
      <c r="B324" t="s">
        <v>519</v>
      </c>
      <c r="C324" t="s">
        <v>22</v>
      </c>
      <c r="D324" t="s">
        <v>520</v>
      </c>
      <c r="E324" t="s">
        <v>521</v>
      </c>
      <c r="F324" t="s">
        <v>522</v>
      </c>
      <c r="G324" t="s">
        <v>22</v>
      </c>
      <c r="H324" t="s">
        <v>22</v>
      </c>
      <c r="I324" t="s">
        <v>22</v>
      </c>
      <c r="J324" t="s">
        <v>523</v>
      </c>
      <c r="K324" t="s">
        <v>22</v>
      </c>
      <c r="L324" t="s">
        <v>524</v>
      </c>
      <c r="N324" t="s">
        <v>1163</v>
      </c>
      <c r="O324" t="s">
        <v>1164</v>
      </c>
      <c r="P324" t="s">
        <v>22</v>
      </c>
      <c r="Q324" t="s">
        <v>527</v>
      </c>
      <c r="R324">
        <v>2158341942</v>
      </c>
      <c r="S324">
        <v>620266770</v>
      </c>
      <c r="T324">
        <v>37228932</v>
      </c>
      <c r="U324">
        <v>0</v>
      </c>
      <c r="V324">
        <v>372601980</v>
      </c>
      <c r="W324">
        <v>0</v>
      </c>
      <c r="X324">
        <v>0</v>
      </c>
      <c r="Y324">
        <v>2368777800</v>
      </c>
      <c r="Z324">
        <v>175590053</v>
      </c>
      <c r="AA324">
        <v>110412102.8</v>
      </c>
      <c r="AB324">
        <v>60628862.799999997</v>
      </c>
      <c r="AC324">
        <v>60628862.799999997</v>
      </c>
      <c r="AD324">
        <v>2193187747</v>
      </c>
      <c r="AE324">
        <v>7.41</v>
      </c>
    </row>
    <row r="325" spans="1:31" x14ac:dyDescent="0.2">
      <c r="A325" t="s">
        <v>518</v>
      </c>
      <c r="B325" t="s">
        <v>519</v>
      </c>
      <c r="C325" t="s">
        <v>22</v>
      </c>
      <c r="D325" t="s">
        <v>520</v>
      </c>
      <c r="E325" t="s">
        <v>521</v>
      </c>
      <c r="F325" t="s">
        <v>522</v>
      </c>
      <c r="G325" t="s">
        <v>22</v>
      </c>
      <c r="H325" t="s">
        <v>22</v>
      </c>
      <c r="I325" t="s">
        <v>22</v>
      </c>
      <c r="J325" t="s">
        <v>523</v>
      </c>
      <c r="K325" t="s">
        <v>22</v>
      </c>
      <c r="L325" t="s">
        <v>524</v>
      </c>
      <c r="N325" t="s">
        <v>1165</v>
      </c>
      <c r="O325" t="s">
        <v>1166</v>
      </c>
      <c r="P325" t="s">
        <v>22</v>
      </c>
      <c r="Q325" t="s">
        <v>527</v>
      </c>
      <c r="R325">
        <v>40000000</v>
      </c>
      <c r="S325">
        <v>59651657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99651657</v>
      </c>
      <c r="Z325">
        <v>0</v>
      </c>
      <c r="AA325">
        <v>0</v>
      </c>
      <c r="AB325">
        <v>0</v>
      </c>
      <c r="AC325">
        <v>0</v>
      </c>
      <c r="AD325">
        <v>99651657</v>
      </c>
      <c r="AE325">
        <v>0</v>
      </c>
    </row>
    <row r="326" spans="1:31" x14ac:dyDescent="0.2">
      <c r="A326" t="s">
        <v>518</v>
      </c>
      <c r="B326" t="s">
        <v>1147</v>
      </c>
      <c r="C326" t="s">
        <v>1148</v>
      </c>
      <c r="D326" t="s">
        <v>1149</v>
      </c>
      <c r="E326" t="s">
        <v>1167</v>
      </c>
      <c r="F326" t="s">
        <v>1168</v>
      </c>
      <c r="G326" t="s">
        <v>1152</v>
      </c>
      <c r="H326" t="s">
        <v>1153</v>
      </c>
      <c r="I326" t="s">
        <v>1169</v>
      </c>
      <c r="J326" t="s">
        <v>1170</v>
      </c>
      <c r="K326" t="s">
        <v>22</v>
      </c>
      <c r="L326" t="s">
        <v>524</v>
      </c>
      <c r="N326" t="s">
        <v>1171</v>
      </c>
      <c r="O326" t="s">
        <v>1172</v>
      </c>
      <c r="P326" t="s">
        <v>238</v>
      </c>
      <c r="Q326" t="s">
        <v>805</v>
      </c>
      <c r="R326">
        <v>40000000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40000000</v>
      </c>
      <c r="Z326">
        <v>0</v>
      </c>
      <c r="AA326">
        <v>0</v>
      </c>
      <c r="AB326">
        <v>0</v>
      </c>
      <c r="AC326">
        <v>0</v>
      </c>
      <c r="AD326">
        <v>40000000</v>
      </c>
      <c r="AE326">
        <v>0</v>
      </c>
    </row>
    <row r="327" spans="1:31" x14ac:dyDescent="0.2">
      <c r="A327" t="s">
        <v>518</v>
      </c>
      <c r="B327" t="s">
        <v>1147</v>
      </c>
      <c r="C327" t="s">
        <v>1148</v>
      </c>
      <c r="D327" t="s">
        <v>1149</v>
      </c>
      <c r="E327" t="s">
        <v>1167</v>
      </c>
      <c r="F327" t="s">
        <v>1168</v>
      </c>
      <c r="G327" t="s">
        <v>1152</v>
      </c>
      <c r="H327" t="s">
        <v>1153</v>
      </c>
      <c r="I327" t="s">
        <v>1173</v>
      </c>
      <c r="J327" t="s">
        <v>1174</v>
      </c>
      <c r="K327" t="s">
        <v>22</v>
      </c>
      <c r="L327" t="s">
        <v>524</v>
      </c>
      <c r="N327" t="s">
        <v>1175</v>
      </c>
      <c r="O327" t="s">
        <v>1172</v>
      </c>
      <c r="P327" t="s">
        <v>463</v>
      </c>
      <c r="Q327" t="s">
        <v>1176</v>
      </c>
      <c r="R327">
        <v>0</v>
      </c>
      <c r="S327">
        <v>7683287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7683287</v>
      </c>
      <c r="Z327">
        <v>0</v>
      </c>
      <c r="AA327">
        <v>0</v>
      </c>
      <c r="AB327">
        <v>0</v>
      </c>
      <c r="AC327">
        <v>0</v>
      </c>
      <c r="AD327">
        <v>7683287</v>
      </c>
      <c r="AE327">
        <v>0</v>
      </c>
    </row>
    <row r="328" spans="1:31" x14ac:dyDescent="0.2">
      <c r="A328" t="s">
        <v>518</v>
      </c>
      <c r="B328" t="s">
        <v>1147</v>
      </c>
      <c r="C328" t="s">
        <v>1148</v>
      </c>
      <c r="D328" t="s">
        <v>1149</v>
      </c>
      <c r="E328" t="s">
        <v>1167</v>
      </c>
      <c r="F328" t="s">
        <v>1168</v>
      </c>
      <c r="G328" t="s">
        <v>1152</v>
      </c>
      <c r="H328" t="s">
        <v>1153</v>
      </c>
      <c r="I328" t="s">
        <v>1173</v>
      </c>
      <c r="J328" t="s">
        <v>1174</v>
      </c>
      <c r="K328" t="s">
        <v>22</v>
      </c>
      <c r="L328" t="s">
        <v>524</v>
      </c>
      <c r="N328" t="s">
        <v>1177</v>
      </c>
      <c r="O328" t="s">
        <v>1172</v>
      </c>
      <c r="P328" t="s">
        <v>483</v>
      </c>
      <c r="Q328" t="s">
        <v>863</v>
      </c>
      <c r="R328">
        <v>0</v>
      </c>
      <c r="S328">
        <v>49439982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49439982</v>
      </c>
      <c r="Z328">
        <v>0</v>
      </c>
      <c r="AA328">
        <v>0</v>
      </c>
      <c r="AB328">
        <v>0</v>
      </c>
      <c r="AC328">
        <v>0</v>
      </c>
      <c r="AD328">
        <v>49439982</v>
      </c>
      <c r="AE328">
        <v>0</v>
      </c>
    </row>
    <row r="329" spans="1:31" x14ac:dyDescent="0.2">
      <c r="A329" t="s">
        <v>518</v>
      </c>
      <c r="B329" t="s">
        <v>1147</v>
      </c>
      <c r="C329" t="s">
        <v>1148</v>
      </c>
      <c r="D329" t="s">
        <v>1149</v>
      </c>
      <c r="E329" t="s">
        <v>1167</v>
      </c>
      <c r="F329" t="s">
        <v>1168</v>
      </c>
      <c r="G329" t="s">
        <v>1152</v>
      </c>
      <c r="H329" t="s">
        <v>1153</v>
      </c>
      <c r="I329" t="s">
        <v>1173</v>
      </c>
      <c r="J329" t="s">
        <v>1174</v>
      </c>
      <c r="K329" t="s">
        <v>22</v>
      </c>
      <c r="L329" t="s">
        <v>524</v>
      </c>
      <c r="N329" t="s">
        <v>1177</v>
      </c>
      <c r="O329" t="s">
        <v>1172</v>
      </c>
      <c r="P329" t="s">
        <v>430</v>
      </c>
      <c r="Q329" t="s">
        <v>429</v>
      </c>
      <c r="R329">
        <v>0</v>
      </c>
      <c r="S329">
        <v>2528388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2528388</v>
      </c>
      <c r="Z329">
        <v>0</v>
      </c>
      <c r="AA329">
        <v>0</v>
      </c>
      <c r="AB329">
        <v>0</v>
      </c>
      <c r="AC329">
        <v>0</v>
      </c>
      <c r="AD329">
        <v>2528388</v>
      </c>
      <c r="AE329">
        <v>0</v>
      </c>
    </row>
    <row r="330" spans="1:31" x14ac:dyDescent="0.2">
      <c r="A330" t="s">
        <v>518</v>
      </c>
      <c r="B330" t="s">
        <v>519</v>
      </c>
      <c r="C330" t="s">
        <v>22</v>
      </c>
      <c r="D330" t="s">
        <v>520</v>
      </c>
      <c r="E330" t="s">
        <v>521</v>
      </c>
      <c r="F330" t="s">
        <v>522</v>
      </c>
      <c r="G330" t="s">
        <v>22</v>
      </c>
      <c r="H330" t="s">
        <v>22</v>
      </c>
      <c r="I330" t="s">
        <v>22</v>
      </c>
      <c r="J330" t="s">
        <v>523</v>
      </c>
      <c r="K330" t="s">
        <v>22</v>
      </c>
      <c r="L330" t="s">
        <v>524</v>
      </c>
      <c r="N330" t="s">
        <v>1178</v>
      </c>
      <c r="O330" t="s">
        <v>1179</v>
      </c>
      <c r="P330" t="s">
        <v>22</v>
      </c>
      <c r="Q330" t="s">
        <v>527</v>
      </c>
      <c r="R330">
        <v>625300000</v>
      </c>
      <c r="S330">
        <v>199565927</v>
      </c>
      <c r="T330">
        <v>0</v>
      </c>
      <c r="U330">
        <v>0</v>
      </c>
      <c r="V330">
        <v>90000000</v>
      </c>
      <c r="W330">
        <v>0</v>
      </c>
      <c r="X330">
        <v>0</v>
      </c>
      <c r="Y330">
        <v>734865927</v>
      </c>
      <c r="Z330">
        <v>175590053</v>
      </c>
      <c r="AA330">
        <v>110412102.8</v>
      </c>
      <c r="AB330">
        <v>60628862.799999997</v>
      </c>
      <c r="AC330">
        <v>60628862.799999997</v>
      </c>
      <c r="AD330">
        <v>559275874</v>
      </c>
      <c r="AE330">
        <v>23.89</v>
      </c>
    </row>
    <row r="331" spans="1:31" x14ac:dyDescent="0.2">
      <c r="A331" t="s">
        <v>518</v>
      </c>
      <c r="B331" t="s">
        <v>1180</v>
      </c>
      <c r="C331" t="s">
        <v>1181</v>
      </c>
      <c r="D331" t="s">
        <v>1182</v>
      </c>
      <c r="E331" t="s">
        <v>1183</v>
      </c>
      <c r="F331" t="s">
        <v>1184</v>
      </c>
      <c r="G331" t="s">
        <v>1185</v>
      </c>
      <c r="H331" t="s">
        <v>1186</v>
      </c>
      <c r="I331" t="s">
        <v>1187</v>
      </c>
      <c r="J331" t="s">
        <v>1188</v>
      </c>
      <c r="K331" t="s">
        <v>22</v>
      </c>
      <c r="L331" t="s">
        <v>524</v>
      </c>
      <c r="N331" t="s">
        <v>1189</v>
      </c>
      <c r="O331" t="s">
        <v>1190</v>
      </c>
      <c r="P331" t="s">
        <v>238</v>
      </c>
      <c r="Q331" t="s">
        <v>805</v>
      </c>
      <c r="R331">
        <v>10000000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10000000</v>
      </c>
      <c r="Z331">
        <v>0</v>
      </c>
      <c r="AA331">
        <v>0</v>
      </c>
      <c r="AB331">
        <v>0</v>
      </c>
      <c r="AC331">
        <v>0</v>
      </c>
      <c r="AD331">
        <v>10000000</v>
      </c>
      <c r="AE331">
        <v>0</v>
      </c>
    </row>
    <row r="332" spans="1:31" x14ac:dyDescent="0.2">
      <c r="A332" t="s">
        <v>518</v>
      </c>
      <c r="B332" t="s">
        <v>1180</v>
      </c>
      <c r="C332" t="s">
        <v>1181</v>
      </c>
      <c r="D332" t="s">
        <v>1191</v>
      </c>
      <c r="E332" t="s">
        <v>1192</v>
      </c>
      <c r="F332" t="s">
        <v>1193</v>
      </c>
      <c r="G332" t="s">
        <v>1194</v>
      </c>
      <c r="H332" t="s">
        <v>1195</v>
      </c>
      <c r="I332" t="s">
        <v>1187</v>
      </c>
      <c r="J332" t="s">
        <v>1188</v>
      </c>
      <c r="K332" t="s">
        <v>22</v>
      </c>
      <c r="L332" t="s">
        <v>524</v>
      </c>
      <c r="N332" t="s">
        <v>1196</v>
      </c>
      <c r="O332" t="s">
        <v>1197</v>
      </c>
      <c r="P332" t="s">
        <v>238</v>
      </c>
      <c r="Q332" t="s">
        <v>805</v>
      </c>
      <c r="R332">
        <v>300000000</v>
      </c>
      <c r="S332">
        <v>0</v>
      </c>
      <c r="T332">
        <v>0</v>
      </c>
      <c r="U332">
        <v>0</v>
      </c>
      <c r="V332">
        <v>90000000</v>
      </c>
      <c r="W332">
        <v>0</v>
      </c>
      <c r="X332">
        <v>0</v>
      </c>
      <c r="Y332">
        <v>210000000</v>
      </c>
      <c r="Z332">
        <v>62466382</v>
      </c>
      <c r="AA332">
        <v>0</v>
      </c>
      <c r="AB332">
        <v>0</v>
      </c>
      <c r="AC332">
        <v>0</v>
      </c>
      <c r="AD332">
        <v>147533618</v>
      </c>
      <c r="AE332">
        <v>29.75</v>
      </c>
    </row>
    <row r="333" spans="1:31" x14ac:dyDescent="0.2">
      <c r="A333" t="s">
        <v>518</v>
      </c>
      <c r="B333" t="s">
        <v>1180</v>
      </c>
      <c r="C333" t="s">
        <v>1181</v>
      </c>
      <c r="D333" t="s">
        <v>1191</v>
      </c>
      <c r="E333" t="s">
        <v>1192</v>
      </c>
      <c r="F333" t="s">
        <v>1193</v>
      </c>
      <c r="G333" t="s">
        <v>1194</v>
      </c>
      <c r="H333" t="s">
        <v>1195</v>
      </c>
      <c r="I333" t="s">
        <v>1187</v>
      </c>
      <c r="J333" t="s">
        <v>1188</v>
      </c>
      <c r="K333" t="s">
        <v>22</v>
      </c>
      <c r="L333" t="s">
        <v>524</v>
      </c>
      <c r="N333" t="s">
        <v>1198</v>
      </c>
      <c r="O333" t="s">
        <v>1197</v>
      </c>
      <c r="P333" t="s">
        <v>332</v>
      </c>
      <c r="Q333" t="s">
        <v>1199</v>
      </c>
      <c r="R333">
        <v>100000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100000</v>
      </c>
      <c r="Z333">
        <v>0</v>
      </c>
      <c r="AA333">
        <v>0</v>
      </c>
      <c r="AB333">
        <v>0</v>
      </c>
      <c r="AC333">
        <v>0</v>
      </c>
      <c r="AD333">
        <v>100000</v>
      </c>
      <c r="AE333">
        <v>0</v>
      </c>
    </row>
    <row r="334" spans="1:31" x14ac:dyDescent="0.2">
      <c r="A334" t="s">
        <v>518</v>
      </c>
      <c r="B334" t="s">
        <v>1180</v>
      </c>
      <c r="C334" t="s">
        <v>1181</v>
      </c>
      <c r="D334" t="s">
        <v>1191</v>
      </c>
      <c r="E334" t="s">
        <v>1192</v>
      </c>
      <c r="F334" t="s">
        <v>1193</v>
      </c>
      <c r="G334" t="s">
        <v>1194</v>
      </c>
      <c r="H334" t="s">
        <v>1195</v>
      </c>
      <c r="I334" t="s">
        <v>1187</v>
      </c>
      <c r="J334" t="s">
        <v>1188</v>
      </c>
      <c r="K334" t="s">
        <v>22</v>
      </c>
      <c r="L334" t="s">
        <v>524</v>
      </c>
      <c r="N334" t="s">
        <v>1200</v>
      </c>
      <c r="O334" t="s">
        <v>1197</v>
      </c>
      <c r="P334" t="s">
        <v>388</v>
      </c>
      <c r="Q334" t="s">
        <v>1201</v>
      </c>
      <c r="R334">
        <v>100000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100000</v>
      </c>
      <c r="Z334">
        <v>0</v>
      </c>
      <c r="AA334">
        <v>0</v>
      </c>
      <c r="AB334">
        <v>0</v>
      </c>
      <c r="AC334">
        <v>0</v>
      </c>
      <c r="AD334">
        <v>100000</v>
      </c>
      <c r="AE334">
        <v>0</v>
      </c>
    </row>
    <row r="335" spans="1:31" x14ac:dyDescent="0.2">
      <c r="A335" t="s">
        <v>518</v>
      </c>
      <c r="B335" t="s">
        <v>1180</v>
      </c>
      <c r="C335" t="s">
        <v>1181</v>
      </c>
      <c r="D335" t="s">
        <v>1191</v>
      </c>
      <c r="E335" t="s">
        <v>1192</v>
      </c>
      <c r="F335" t="s">
        <v>1193</v>
      </c>
      <c r="G335" t="s">
        <v>1194</v>
      </c>
      <c r="H335" t="s">
        <v>1195</v>
      </c>
      <c r="I335" t="s">
        <v>1187</v>
      </c>
      <c r="J335" t="s">
        <v>1188</v>
      </c>
      <c r="K335" t="s">
        <v>22</v>
      </c>
      <c r="L335" t="s">
        <v>524</v>
      </c>
      <c r="N335" t="s">
        <v>1200</v>
      </c>
      <c r="O335" t="s">
        <v>1197</v>
      </c>
      <c r="P335" t="s">
        <v>376</v>
      </c>
      <c r="Q335" t="s">
        <v>1202</v>
      </c>
      <c r="R335">
        <v>100000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100000</v>
      </c>
      <c r="Z335">
        <v>0</v>
      </c>
      <c r="AA335">
        <v>0</v>
      </c>
      <c r="AB335">
        <v>0</v>
      </c>
      <c r="AC335">
        <v>0</v>
      </c>
      <c r="AD335">
        <v>100000</v>
      </c>
      <c r="AE335">
        <v>0</v>
      </c>
    </row>
    <row r="336" spans="1:31" x14ac:dyDescent="0.2">
      <c r="A336" t="s">
        <v>518</v>
      </c>
      <c r="B336" t="s">
        <v>1180</v>
      </c>
      <c r="C336" t="s">
        <v>1181</v>
      </c>
      <c r="D336" t="s">
        <v>1191</v>
      </c>
      <c r="E336" t="s">
        <v>1203</v>
      </c>
      <c r="F336" t="s">
        <v>1204</v>
      </c>
      <c r="G336" t="s">
        <v>1205</v>
      </c>
      <c r="H336" t="s">
        <v>1206</v>
      </c>
      <c r="I336" t="s">
        <v>1187</v>
      </c>
      <c r="J336" t="s">
        <v>1188</v>
      </c>
      <c r="K336" t="s">
        <v>22</v>
      </c>
      <c r="L336" t="s">
        <v>524</v>
      </c>
      <c r="N336" t="s">
        <v>1207</v>
      </c>
      <c r="O336" t="s">
        <v>1208</v>
      </c>
      <c r="P336" t="s">
        <v>238</v>
      </c>
      <c r="Q336" t="s">
        <v>805</v>
      </c>
      <c r="R336">
        <v>15000000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15000000</v>
      </c>
      <c r="Z336">
        <v>13557841</v>
      </c>
      <c r="AA336">
        <v>10846272.800000001</v>
      </c>
      <c r="AB336">
        <v>10846272.800000001</v>
      </c>
      <c r="AC336">
        <v>10846272.800000001</v>
      </c>
      <c r="AD336">
        <v>1442159</v>
      </c>
      <c r="AE336">
        <v>90.39</v>
      </c>
    </row>
    <row r="337" spans="1:31" x14ac:dyDescent="0.2">
      <c r="A337" t="s">
        <v>518</v>
      </c>
      <c r="B337" t="s">
        <v>1180</v>
      </c>
      <c r="C337" t="s">
        <v>1181</v>
      </c>
      <c r="D337" t="s">
        <v>1191</v>
      </c>
      <c r="E337" t="s">
        <v>1209</v>
      </c>
      <c r="F337" t="s">
        <v>1210</v>
      </c>
      <c r="G337" t="s">
        <v>1205</v>
      </c>
      <c r="H337" t="s">
        <v>1206</v>
      </c>
      <c r="I337" t="s">
        <v>1187</v>
      </c>
      <c r="J337" t="s">
        <v>1188</v>
      </c>
      <c r="K337" t="s">
        <v>22</v>
      </c>
      <c r="L337" t="s">
        <v>524</v>
      </c>
      <c r="N337" t="s">
        <v>1211</v>
      </c>
      <c r="O337" t="s">
        <v>1212</v>
      </c>
      <c r="P337" t="s">
        <v>238</v>
      </c>
      <c r="Q337" t="s">
        <v>805</v>
      </c>
      <c r="R337">
        <v>300000000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300000000</v>
      </c>
      <c r="Z337">
        <v>0</v>
      </c>
      <c r="AA337">
        <v>0</v>
      </c>
      <c r="AB337">
        <v>0</v>
      </c>
      <c r="AC337">
        <v>0</v>
      </c>
      <c r="AD337">
        <v>300000000</v>
      </c>
      <c r="AE337">
        <v>0</v>
      </c>
    </row>
    <row r="338" spans="1:31" x14ac:dyDescent="0.2">
      <c r="A338" t="s">
        <v>518</v>
      </c>
      <c r="B338" t="s">
        <v>1180</v>
      </c>
      <c r="C338" t="s">
        <v>1181</v>
      </c>
      <c r="D338" t="s">
        <v>1191</v>
      </c>
      <c r="E338" t="s">
        <v>1192</v>
      </c>
      <c r="F338" t="s">
        <v>1193</v>
      </c>
      <c r="G338" t="s">
        <v>1194</v>
      </c>
      <c r="H338" t="s">
        <v>1195</v>
      </c>
      <c r="I338" t="s">
        <v>1187</v>
      </c>
      <c r="J338" t="s">
        <v>1188</v>
      </c>
      <c r="K338" t="s">
        <v>22</v>
      </c>
      <c r="L338" t="s">
        <v>524</v>
      </c>
      <c r="N338" t="s">
        <v>1213</v>
      </c>
      <c r="O338" t="s">
        <v>1197</v>
      </c>
      <c r="P338" t="s">
        <v>441</v>
      </c>
      <c r="Q338" t="s">
        <v>1214</v>
      </c>
      <c r="R338">
        <v>0</v>
      </c>
      <c r="S338">
        <v>99565927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99565927</v>
      </c>
      <c r="Z338">
        <v>0</v>
      </c>
      <c r="AA338">
        <v>0</v>
      </c>
      <c r="AB338">
        <v>0</v>
      </c>
      <c r="AC338">
        <v>0</v>
      </c>
      <c r="AD338">
        <v>99565927</v>
      </c>
      <c r="AE338">
        <v>0</v>
      </c>
    </row>
    <row r="339" spans="1:31" x14ac:dyDescent="0.2">
      <c r="A339" t="s">
        <v>518</v>
      </c>
      <c r="B339" t="s">
        <v>1180</v>
      </c>
      <c r="C339" t="s">
        <v>1181</v>
      </c>
      <c r="D339" t="s">
        <v>1191</v>
      </c>
      <c r="E339" t="s">
        <v>1192</v>
      </c>
      <c r="F339" t="s">
        <v>1193</v>
      </c>
      <c r="G339" t="s">
        <v>1194</v>
      </c>
      <c r="H339" t="s">
        <v>1195</v>
      </c>
      <c r="I339" t="s">
        <v>1187</v>
      </c>
      <c r="J339" t="s">
        <v>1188</v>
      </c>
      <c r="K339" t="s">
        <v>22</v>
      </c>
      <c r="L339" t="s">
        <v>524</v>
      </c>
      <c r="N339" t="s">
        <v>1213</v>
      </c>
      <c r="O339" t="s">
        <v>1197</v>
      </c>
      <c r="P339" t="s">
        <v>483</v>
      </c>
      <c r="Q339" t="s">
        <v>863</v>
      </c>
      <c r="R339">
        <v>0</v>
      </c>
      <c r="S339">
        <v>100000000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100000000</v>
      </c>
      <c r="Z339">
        <v>99565830</v>
      </c>
      <c r="AA339">
        <v>99565830</v>
      </c>
      <c r="AB339">
        <v>49782590</v>
      </c>
      <c r="AC339">
        <v>49782590</v>
      </c>
      <c r="AD339">
        <v>434170</v>
      </c>
      <c r="AE339">
        <v>99.57</v>
      </c>
    </row>
    <row r="340" spans="1:31" x14ac:dyDescent="0.2">
      <c r="A340" t="s">
        <v>518</v>
      </c>
      <c r="B340" t="s">
        <v>519</v>
      </c>
      <c r="C340" t="s">
        <v>22</v>
      </c>
      <c r="D340" t="s">
        <v>520</v>
      </c>
      <c r="E340" t="s">
        <v>521</v>
      </c>
      <c r="F340" t="s">
        <v>522</v>
      </c>
      <c r="G340" t="s">
        <v>22</v>
      </c>
      <c r="H340" t="s">
        <v>22</v>
      </c>
      <c r="I340" t="s">
        <v>22</v>
      </c>
      <c r="J340" t="s">
        <v>523</v>
      </c>
      <c r="K340" t="s">
        <v>22</v>
      </c>
      <c r="L340" t="s">
        <v>524</v>
      </c>
      <c r="N340" t="s">
        <v>1215</v>
      </c>
      <c r="O340" t="s">
        <v>1216</v>
      </c>
      <c r="P340" t="s">
        <v>22</v>
      </c>
      <c r="Q340" t="s">
        <v>527</v>
      </c>
      <c r="R340">
        <v>1263443628</v>
      </c>
      <c r="S340">
        <v>93054410</v>
      </c>
      <c r="T340">
        <v>0</v>
      </c>
      <c r="U340">
        <v>0</v>
      </c>
      <c r="V340">
        <v>236116980</v>
      </c>
      <c r="W340">
        <v>0</v>
      </c>
      <c r="X340">
        <v>0</v>
      </c>
      <c r="Y340">
        <v>1120381058</v>
      </c>
      <c r="Z340">
        <v>0</v>
      </c>
      <c r="AA340">
        <v>0</v>
      </c>
      <c r="AB340">
        <v>0</v>
      </c>
      <c r="AC340">
        <v>0</v>
      </c>
      <c r="AD340">
        <v>1120381058</v>
      </c>
      <c r="AE340">
        <v>0</v>
      </c>
    </row>
    <row r="341" spans="1:31" x14ac:dyDescent="0.2">
      <c r="A341" t="s">
        <v>518</v>
      </c>
      <c r="B341" t="s">
        <v>1217</v>
      </c>
      <c r="C341" t="s">
        <v>1218</v>
      </c>
      <c r="D341" t="s">
        <v>1219</v>
      </c>
      <c r="E341" t="s">
        <v>1220</v>
      </c>
      <c r="F341" t="s">
        <v>1221</v>
      </c>
      <c r="G341" t="s">
        <v>1222</v>
      </c>
      <c r="H341" t="s">
        <v>1223</v>
      </c>
      <c r="I341" t="s">
        <v>1224</v>
      </c>
      <c r="J341" t="s">
        <v>1225</v>
      </c>
      <c r="K341" t="s">
        <v>22</v>
      </c>
      <c r="L341" t="s">
        <v>524</v>
      </c>
      <c r="N341" t="s">
        <v>1226</v>
      </c>
      <c r="O341" t="s">
        <v>1227</v>
      </c>
      <c r="P341" t="s">
        <v>252</v>
      </c>
      <c r="Q341" t="s">
        <v>1228</v>
      </c>
      <c r="R341">
        <v>1163343628</v>
      </c>
      <c r="S341">
        <v>0</v>
      </c>
      <c r="T341">
        <v>0</v>
      </c>
      <c r="U341">
        <v>0</v>
      </c>
      <c r="V341">
        <v>86116980</v>
      </c>
      <c r="W341">
        <v>0</v>
      </c>
      <c r="X341">
        <v>0</v>
      </c>
      <c r="Y341">
        <v>1077226648</v>
      </c>
      <c r="Z341">
        <v>0</v>
      </c>
      <c r="AA341">
        <v>0</v>
      </c>
      <c r="AB341">
        <v>0</v>
      </c>
      <c r="AC341">
        <v>0</v>
      </c>
      <c r="AD341">
        <v>1077226648</v>
      </c>
      <c r="AE341">
        <v>0</v>
      </c>
    </row>
    <row r="342" spans="1:31" x14ac:dyDescent="0.2">
      <c r="A342" t="s">
        <v>518</v>
      </c>
      <c r="B342" t="s">
        <v>1217</v>
      </c>
      <c r="C342" t="s">
        <v>1218</v>
      </c>
      <c r="D342" t="s">
        <v>1219</v>
      </c>
      <c r="E342" t="s">
        <v>1220</v>
      </c>
      <c r="F342" t="s">
        <v>1221</v>
      </c>
      <c r="G342" t="s">
        <v>1222</v>
      </c>
      <c r="H342" t="s">
        <v>1223</v>
      </c>
      <c r="I342" t="s">
        <v>1224</v>
      </c>
      <c r="J342" t="s">
        <v>1225</v>
      </c>
      <c r="K342" t="s">
        <v>22</v>
      </c>
      <c r="L342" t="s">
        <v>524</v>
      </c>
      <c r="N342" t="s">
        <v>1229</v>
      </c>
      <c r="O342" t="s">
        <v>1227</v>
      </c>
      <c r="P342" t="s">
        <v>323</v>
      </c>
      <c r="Q342" t="s">
        <v>1230</v>
      </c>
      <c r="R342">
        <v>100000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100000</v>
      </c>
      <c r="Z342">
        <v>0</v>
      </c>
      <c r="AA342">
        <v>0</v>
      </c>
      <c r="AB342">
        <v>0</v>
      </c>
      <c r="AC342">
        <v>0</v>
      </c>
      <c r="AD342">
        <v>100000</v>
      </c>
      <c r="AE342">
        <v>0</v>
      </c>
    </row>
    <row r="343" spans="1:31" x14ac:dyDescent="0.2">
      <c r="A343" t="s">
        <v>518</v>
      </c>
      <c r="B343" t="s">
        <v>1217</v>
      </c>
      <c r="C343" t="s">
        <v>1218</v>
      </c>
      <c r="D343" t="s">
        <v>1231</v>
      </c>
      <c r="E343" t="s">
        <v>1232</v>
      </c>
      <c r="F343" t="s">
        <v>1233</v>
      </c>
      <c r="G343" t="s">
        <v>1234</v>
      </c>
      <c r="H343" t="s">
        <v>1235</v>
      </c>
      <c r="I343" t="s">
        <v>1173</v>
      </c>
      <c r="J343" t="s">
        <v>1174</v>
      </c>
      <c r="K343" t="s">
        <v>22</v>
      </c>
      <c r="L343" t="s">
        <v>524</v>
      </c>
      <c r="N343" t="s">
        <v>1236</v>
      </c>
      <c r="O343" t="s">
        <v>1237</v>
      </c>
      <c r="P343" t="s">
        <v>238</v>
      </c>
      <c r="Q343" t="s">
        <v>805</v>
      </c>
      <c r="R343">
        <v>100000000</v>
      </c>
      <c r="S343">
        <v>0</v>
      </c>
      <c r="T343">
        <v>0</v>
      </c>
      <c r="U343">
        <v>0</v>
      </c>
      <c r="V343">
        <v>100000000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</row>
    <row r="344" spans="1:31" x14ac:dyDescent="0.2">
      <c r="A344" t="s">
        <v>518</v>
      </c>
      <c r="B344" t="s">
        <v>1217</v>
      </c>
      <c r="C344" t="s">
        <v>1218</v>
      </c>
      <c r="D344" t="s">
        <v>1219</v>
      </c>
      <c r="E344" t="s">
        <v>1220</v>
      </c>
      <c r="F344" t="s">
        <v>1221</v>
      </c>
      <c r="G344" t="s">
        <v>1222</v>
      </c>
      <c r="H344" t="s">
        <v>1223</v>
      </c>
      <c r="I344" t="s">
        <v>1224</v>
      </c>
      <c r="J344" t="s">
        <v>1225</v>
      </c>
      <c r="K344" t="s">
        <v>22</v>
      </c>
      <c r="L344" t="s">
        <v>524</v>
      </c>
      <c r="N344" t="s">
        <v>1238</v>
      </c>
      <c r="O344" t="s">
        <v>1227</v>
      </c>
      <c r="P344" t="s">
        <v>469</v>
      </c>
      <c r="Q344" t="s">
        <v>1239</v>
      </c>
      <c r="R344">
        <v>0</v>
      </c>
      <c r="S344">
        <v>10601391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10601391</v>
      </c>
      <c r="Z344">
        <v>0</v>
      </c>
      <c r="AA344">
        <v>0</v>
      </c>
      <c r="AB344">
        <v>0</v>
      </c>
      <c r="AC344">
        <v>0</v>
      </c>
      <c r="AD344">
        <v>10601391</v>
      </c>
      <c r="AE344">
        <v>0</v>
      </c>
    </row>
    <row r="345" spans="1:31" x14ac:dyDescent="0.2">
      <c r="A345" t="s">
        <v>518</v>
      </c>
      <c r="B345" t="s">
        <v>1217</v>
      </c>
      <c r="C345" t="s">
        <v>1218</v>
      </c>
      <c r="D345" t="s">
        <v>1219</v>
      </c>
      <c r="E345" t="s">
        <v>1220</v>
      </c>
      <c r="F345" t="s">
        <v>1221</v>
      </c>
      <c r="G345" t="s">
        <v>1222</v>
      </c>
      <c r="H345" t="s">
        <v>1223</v>
      </c>
      <c r="I345" t="s">
        <v>1224</v>
      </c>
      <c r="J345" t="s">
        <v>1225</v>
      </c>
      <c r="K345" t="s">
        <v>22</v>
      </c>
      <c r="L345" t="s">
        <v>524</v>
      </c>
      <c r="N345" t="s">
        <v>1240</v>
      </c>
      <c r="O345" t="s">
        <v>1227</v>
      </c>
      <c r="P345" t="s">
        <v>433</v>
      </c>
      <c r="Q345" t="s">
        <v>432</v>
      </c>
      <c r="R345">
        <v>0</v>
      </c>
      <c r="S345">
        <v>32008200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32008200</v>
      </c>
      <c r="Z345">
        <v>0</v>
      </c>
      <c r="AA345">
        <v>0</v>
      </c>
      <c r="AB345">
        <v>0</v>
      </c>
      <c r="AC345">
        <v>0</v>
      </c>
      <c r="AD345">
        <v>32008200</v>
      </c>
      <c r="AE345">
        <v>0</v>
      </c>
    </row>
    <row r="346" spans="1:31" x14ac:dyDescent="0.2">
      <c r="A346" t="s">
        <v>518</v>
      </c>
      <c r="B346" t="s">
        <v>1217</v>
      </c>
      <c r="C346" t="s">
        <v>1218</v>
      </c>
      <c r="D346" t="s">
        <v>1219</v>
      </c>
      <c r="E346" t="s">
        <v>1220</v>
      </c>
      <c r="F346" t="s">
        <v>1221</v>
      </c>
      <c r="G346" t="s">
        <v>1222</v>
      </c>
      <c r="H346" t="s">
        <v>1223</v>
      </c>
      <c r="I346" t="s">
        <v>1224</v>
      </c>
      <c r="J346" t="s">
        <v>1225</v>
      </c>
      <c r="K346" t="s">
        <v>22</v>
      </c>
      <c r="L346" t="s">
        <v>524</v>
      </c>
      <c r="N346" t="s">
        <v>1241</v>
      </c>
      <c r="O346" t="s">
        <v>1227</v>
      </c>
      <c r="P346" t="s">
        <v>413</v>
      </c>
      <c r="Q346" t="s">
        <v>412</v>
      </c>
      <c r="R346">
        <v>0</v>
      </c>
      <c r="S346">
        <v>444819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444819</v>
      </c>
      <c r="Z346">
        <v>0</v>
      </c>
      <c r="AA346">
        <v>0</v>
      </c>
      <c r="AB346">
        <v>0</v>
      </c>
      <c r="AC346">
        <v>0</v>
      </c>
      <c r="AD346">
        <v>444819</v>
      </c>
      <c r="AE346">
        <v>0</v>
      </c>
    </row>
    <row r="347" spans="1:31" x14ac:dyDescent="0.2">
      <c r="A347" t="s">
        <v>518</v>
      </c>
      <c r="B347" t="s">
        <v>1217</v>
      </c>
      <c r="C347" t="s">
        <v>1218</v>
      </c>
      <c r="D347" t="s">
        <v>1231</v>
      </c>
      <c r="E347" t="s">
        <v>1232</v>
      </c>
      <c r="F347" t="s">
        <v>1233</v>
      </c>
      <c r="G347" t="s">
        <v>1234</v>
      </c>
      <c r="H347" t="s">
        <v>1235</v>
      </c>
      <c r="I347" t="s">
        <v>1173</v>
      </c>
      <c r="J347" t="s">
        <v>1174</v>
      </c>
      <c r="K347" t="s">
        <v>22</v>
      </c>
      <c r="L347" t="s">
        <v>524</v>
      </c>
      <c r="N347" t="s">
        <v>1242</v>
      </c>
      <c r="O347" t="s">
        <v>1237</v>
      </c>
      <c r="P347" t="s">
        <v>483</v>
      </c>
      <c r="Q347" t="s">
        <v>863</v>
      </c>
      <c r="R347">
        <v>0</v>
      </c>
      <c r="S347">
        <v>50000000</v>
      </c>
      <c r="T347">
        <v>0</v>
      </c>
      <c r="U347">
        <v>0</v>
      </c>
      <c r="V347">
        <v>50000000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</row>
    <row r="348" spans="1:31" x14ac:dyDescent="0.2">
      <c r="A348" t="s">
        <v>518</v>
      </c>
      <c r="B348" t="s">
        <v>519</v>
      </c>
      <c r="C348" t="s">
        <v>22</v>
      </c>
      <c r="D348" t="s">
        <v>520</v>
      </c>
      <c r="E348" t="s">
        <v>521</v>
      </c>
      <c r="F348" t="s">
        <v>522</v>
      </c>
      <c r="G348" t="s">
        <v>22</v>
      </c>
      <c r="H348" t="s">
        <v>22</v>
      </c>
      <c r="I348" t="s">
        <v>22</v>
      </c>
      <c r="J348" t="s">
        <v>523</v>
      </c>
      <c r="K348" t="s">
        <v>22</v>
      </c>
      <c r="L348" t="s">
        <v>524</v>
      </c>
      <c r="N348" t="s">
        <v>1243</v>
      </c>
      <c r="O348" t="s">
        <v>1244</v>
      </c>
      <c r="P348" t="s">
        <v>22</v>
      </c>
      <c r="Q348" t="s">
        <v>527</v>
      </c>
      <c r="R348">
        <v>95992852</v>
      </c>
      <c r="S348">
        <v>207994776</v>
      </c>
      <c r="T348">
        <v>37228932</v>
      </c>
      <c r="U348">
        <v>0</v>
      </c>
      <c r="V348">
        <v>0</v>
      </c>
      <c r="W348">
        <v>0</v>
      </c>
      <c r="X348">
        <v>0</v>
      </c>
      <c r="Y348">
        <v>266758696</v>
      </c>
      <c r="Z348">
        <v>0</v>
      </c>
      <c r="AA348">
        <v>0</v>
      </c>
      <c r="AB348">
        <v>0</v>
      </c>
      <c r="AC348">
        <v>0</v>
      </c>
      <c r="AD348">
        <v>266758696</v>
      </c>
      <c r="AE348">
        <v>0</v>
      </c>
    </row>
    <row r="349" spans="1:31" x14ac:dyDescent="0.2">
      <c r="A349" t="s">
        <v>518</v>
      </c>
      <c r="B349" t="s">
        <v>1245</v>
      </c>
      <c r="C349" t="s">
        <v>1246</v>
      </c>
      <c r="D349" t="s">
        <v>1247</v>
      </c>
      <c r="E349" t="s">
        <v>1248</v>
      </c>
      <c r="F349" t="s">
        <v>1249</v>
      </c>
      <c r="G349" t="s">
        <v>1250</v>
      </c>
      <c r="H349" t="s">
        <v>1251</v>
      </c>
      <c r="I349" t="s">
        <v>1252</v>
      </c>
      <c r="J349" t="s">
        <v>1253</v>
      </c>
      <c r="K349" t="s">
        <v>22</v>
      </c>
      <c r="L349" t="s">
        <v>524</v>
      </c>
      <c r="N349" t="s">
        <v>1254</v>
      </c>
      <c r="O349" t="s">
        <v>1255</v>
      </c>
      <c r="P349" t="s">
        <v>87</v>
      </c>
      <c r="Q349" t="s">
        <v>1256</v>
      </c>
      <c r="R349">
        <v>58663920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58663920</v>
      </c>
      <c r="Z349">
        <v>0</v>
      </c>
      <c r="AA349">
        <v>0</v>
      </c>
      <c r="AB349">
        <v>0</v>
      </c>
      <c r="AC349">
        <v>0</v>
      </c>
      <c r="AD349">
        <v>58663920</v>
      </c>
      <c r="AE349">
        <v>0</v>
      </c>
    </row>
    <row r="350" spans="1:31" x14ac:dyDescent="0.2">
      <c r="A350" t="s">
        <v>518</v>
      </c>
      <c r="B350" t="s">
        <v>1245</v>
      </c>
      <c r="C350" t="s">
        <v>1246</v>
      </c>
      <c r="D350" t="s">
        <v>1247</v>
      </c>
      <c r="E350" t="s">
        <v>1257</v>
      </c>
      <c r="F350" t="s">
        <v>1258</v>
      </c>
      <c r="G350" t="s">
        <v>1250</v>
      </c>
      <c r="H350" t="s">
        <v>1251</v>
      </c>
      <c r="I350" t="s">
        <v>1252</v>
      </c>
      <c r="J350" t="s">
        <v>1253</v>
      </c>
      <c r="K350" t="s">
        <v>22</v>
      </c>
      <c r="L350" t="s">
        <v>524</v>
      </c>
      <c r="N350" t="s">
        <v>1259</v>
      </c>
      <c r="O350" t="s">
        <v>1260</v>
      </c>
      <c r="P350" t="s">
        <v>231</v>
      </c>
      <c r="Q350" t="s">
        <v>1261</v>
      </c>
      <c r="R350">
        <v>37228932</v>
      </c>
      <c r="S350">
        <v>0</v>
      </c>
      <c r="T350">
        <v>37228932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</row>
    <row r="351" spans="1:31" x14ac:dyDescent="0.2">
      <c r="A351" t="s">
        <v>518</v>
      </c>
      <c r="B351" t="s">
        <v>1245</v>
      </c>
      <c r="C351" t="s">
        <v>1246</v>
      </c>
      <c r="D351" t="s">
        <v>1247</v>
      </c>
      <c r="E351" t="s">
        <v>1257</v>
      </c>
      <c r="F351" t="s">
        <v>1258</v>
      </c>
      <c r="G351" t="s">
        <v>1250</v>
      </c>
      <c r="H351" t="s">
        <v>1251</v>
      </c>
      <c r="I351" t="s">
        <v>1252</v>
      </c>
      <c r="J351" t="s">
        <v>1253</v>
      </c>
      <c r="K351" t="s">
        <v>22</v>
      </c>
      <c r="L351" t="s">
        <v>524</v>
      </c>
      <c r="N351" t="s">
        <v>1262</v>
      </c>
      <c r="O351" t="s">
        <v>1260</v>
      </c>
      <c r="P351" t="s">
        <v>357</v>
      </c>
      <c r="Q351" t="s">
        <v>1263</v>
      </c>
      <c r="R351">
        <v>100000</v>
      </c>
      <c r="S351">
        <v>305089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405089</v>
      </c>
      <c r="Z351">
        <v>0</v>
      </c>
      <c r="AA351">
        <v>0</v>
      </c>
      <c r="AB351">
        <v>0</v>
      </c>
      <c r="AC351">
        <v>0</v>
      </c>
      <c r="AD351">
        <v>405089</v>
      </c>
      <c r="AE351">
        <v>0</v>
      </c>
    </row>
    <row r="352" spans="1:31" x14ac:dyDescent="0.2">
      <c r="A352" t="s">
        <v>518</v>
      </c>
      <c r="B352" t="s">
        <v>1245</v>
      </c>
      <c r="C352" t="s">
        <v>1246</v>
      </c>
      <c r="D352" t="s">
        <v>1247</v>
      </c>
      <c r="E352" t="s">
        <v>1248</v>
      </c>
      <c r="F352" t="s">
        <v>1249</v>
      </c>
      <c r="G352" t="s">
        <v>1250</v>
      </c>
      <c r="H352" t="s">
        <v>1251</v>
      </c>
      <c r="I352" t="s">
        <v>1252</v>
      </c>
      <c r="J352" t="s">
        <v>1253</v>
      </c>
      <c r="K352" t="s">
        <v>22</v>
      </c>
      <c r="L352" t="s">
        <v>524</v>
      </c>
      <c r="N352" t="s">
        <v>1264</v>
      </c>
      <c r="O352" t="s">
        <v>1255</v>
      </c>
      <c r="P352" t="s">
        <v>479</v>
      </c>
      <c r="Q352" t="s">
        <v>1265</v>
      </c>
      <c r="R352">
        <v>0</v>
      </c>
      <c r="S352">
        <v>70460755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70460755</v>
      </c>
      <c r="Z352">
        <v>0</v>
      </c>
      <c r="AA352">
        <v>0</v>
      </c>
      <c r="AB352">
        <v>0</v>
      </c>
      <c r="AC352">
        <v>0</v>
      </c>
      <c r="AD352">
        <v>70460755</v>
      </c>
      <c r="AE352">
        <v>0</v>
      </c>
    </row>
    <row r="353" spans="1:31" x14ac:dyDescent="0.2">
      <c r="A353" t="s">
        <v>518</v>
      </c>
      <c r="B353" t="s">
        <v>1245</v>
      </c>
      <c r="C353" t="s">
        <v>1246</v>
      </c>
      <c r="D353" t="s">
        <v>1247</v>
      </c>
      <c r="E353" t="s">
        <v>1248</v>
      </c>
      <c r="F353" t="s">
        <v>1249</v>
      </c>
      <c r="G353" t="s">
        <v>1250</v>
      </c>
      <c r="H353" t="s">
        <v>1251</v>
      </c>
      <c r="I353" t="s">
        <v>1252</v>
      </c>
      <c r="J353" t="s">
        <v>1253</v>
      </c>
      <c r="K353" t="s">
        <v>22</v>
      </c>
      <c r="L353" t="s">
        <v>524</v>
      </c>
      <c r="N353" t="s">
        <v>1266</v>
      </c>
      <c r="O353" t="s">
        <v>1255</v>
      </c>
      <c r="P353" t="s">
        <v>483</v>
      </c>
      <c r="Q353" t="s">
        <v>863</v>
      </c>
      <c r="R353">
        <v>0</v>
      </c>
      <c r="S353">
        <v>100000000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100000000</v>
      </c>
      <c r="Z353">
        <v>0</v>
      </c>
      <c r="AA353">
        <v>0</v>
      </c>
      <c r="AB353">
        <v>0</v>
      </c>
      <c r="AC353">
        <v>0</v>
      </c>
      <c r="AD353">
        <v>100000000</v>
      </c>
      <c r="AE353">
        <v>0</v>
      </c>
    </row>
    <row r="354" spans="1:31" x14ac:dyDescent="0.2">
      <c r="A354" t="s">
        <v>518</v>
      </c>
      <c r="B354" t="s">
        <v>1245</v>
      </c>
      <c r="C354" t="s">
        <v>1246</v>
      </c>
      <c r="D354" t="s">
        <v>1247</v>
      </c>
      <c r="E354" t="s">
        <v>1257</v>
      </c>
      <c r="F354" t="s">
        <v>1258</v>
      </c>
      <c r="G354" t="s">
        <v>1250</v>
      </c>
      <c r="H354" t="s">
        <v>1251</v>
      </c>
      <c r="I354" t="s">
        <v>1252</v>
      </c>
      <c r="J354" t="s">
        <v>1253</v>
      </c>
      <c r="K354" t="s">
        <v>22</v>
      </c>
      <c r="L354" t="s">
        <v>524</v>
      </c>
      <c r="N354" t="s">
        <v>1267</v>
      </c>
      <c r="O354" t="s">
        <v>1260</v>
      </c>
      <c r="P354" t="s">
        <v>451</v>
      </c>
      <c r="Q354" t="s">
        <v>1268</v>
      </c>
      <c r="R354">
        <v>0</v>
      </c>
      <c r="S354">
        <v>37228932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37228932</v>
      </c>
      <c r="Z354">
        <v>0</v>
      </c>
      <c r="AA354">
        <v>0</v>
      </c>
      <c r="AB354">
        <v>0</v>
      </c>
      <c r="AC354">
        <v>0</v>
      </c>
      <c r="AD354">
        <v>37228932</v>
      </c>
      <c r="AE354">
        <v>0</v>
      </c>
    </row>
    <row r="355" spans="1:31" x14ac:dyDescent="0.2">
      <c r="A355" t="s">
        <v>518</v>
      </c>
      <c r="B355" t="s">
        <v>519</v>
      </c>
      <c r="C355" t="s">
        <v>22</v>
      </c>
      <c r="D355" t="s">
        <v>520</v>
      </c>
      <c r="E355" t="s">
        <v>521</v>
      </c>
      <c r="F355" t="s">
        <v>522</v>
      </c>
      <c r="G355" t="s">
        <v>22</v>
      </c>
      <c r="H355" t="s">
        <v>22</v>
      </c>
      <c r="I355" t="s">
        <v>22</v>
      </c>
      <c r="J355" t="s">
        <v>523</v>
      </c>
      <c r="K355" t="s">
        <v>22</v>
      </c>
      <c r="L355" t="s">
        <v>524</v>
      </c>
      <c r="N355" t="s">
        <v>1269</v>
      </c>
      <c r="O355" t="s">
        <v>876</v>
      </c>
      <c r="P355" t="s">
        <v>22</v>
      </c>
      <c r="Q355" t="s">
        <v>527</v>
      </c>
      <c r="R355">
        <v>133605462</v>
      </c>
      <c r="S355">
        <v>60000000</v>
      </c>
      <c r="T355">
        <v>0</v>
      </c>
      <c r="U355">
        <v>0</v>
      </c>
      <c r="V355">
        <v>46485000</v>
      </c>
      <c r="W355">
        <v>0</v>
      </c>
      <c r="X355">
        <v>0</v>
      </c>
      <c r="Y355">
        <v>147120462</v>
      </c>
      <c r="Z355">
        <v>0</v>
      </c>
      <c r="AA355">
        <v>0</v>
      </c>
      <c r="AB355">
        <v>0</v>
      </c>
      <c r="AC355">
        <v>0</v>
      </c>
      <c r="AD355">
        <v>147120462</v>
      </c>
      <c r="AE355">
        <v>0</v>
      </c>
    </row>
    <row r="356" spans="1:31" x14ac:dyDescent="0.2">
      <c r="A356" t="s">
        <v>518</v>
      </c>
      <c r="B356" t="s">
        <v>877</v>
      </c>
      <c r="C356" t="s">
        <v>878</v>
      </c>
      <c r="D356" t="s">
        <v>1270</v>
      </c>
      <c r="E356" t="s">
        <v>1271</v>
      </c>
      <c r="F356" t="s">
        <v>1272</v>
      </c>
      <c r="G356" t="s">
        <v>1273</v>
      </c>
      <c r="H356" t="s">
        <v>1274</v>
      </c>
      <c r="I356" t="s">
        <v>1173</v>
      </c>
      <c r="J356" t="s">
        <v>1174</v>
      </c>
      <c r="K356" t="s">
        <v>22</v>
      </c>
      <c r="L356" t="s">
        <v>524</v>
      </c>
      <c r="N356" t="s">
        <v>1275</v>
      </c>
      <c r="O356" t="s">
        <v>1276</v>
      </c>
      <c r="P356" t="s">
        <v>238</v>
      </c>
      <c r="Q356" t="s">
        <v>805</v>
      </c>
      <c r="R356">
        <v>40000000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40000000</v>
      </c>
      <c r="Z356">
        <v>0</v>
      </c>
      <c r="AA356">
        <v>0</v>
      </c>
      <c r="AB356">
        <v>0</v>
      </c>
      <c r="AC356">
        <v>0</v>
      </c>
      <c r="AD356">
        <v>40000000</v>
      </c>
      <c r="AE356">
        <v>0</v>
      </c>
    </row>
    <row r="357" spans="1:31" x14ac:dyDescent="0.2">
      <c r="A357" t="s">
        <v>518</v>
      </c>
      <c r="B357" t="s">
        <v>877</v>
      </c>
      <c r="C357" t="s">
        <v>878</v>
      </c>
      <c r="D357" t="s">
        <v>1112</v>
      </c>
      <c r="E357" t="s">
        <v>1277</v>
      </c>
      <c r="F357" t="s">
        <v>1278</v>
      </c>
      <c r="G357" t="s">
        <v>1115</v>
      </c>
      <c r="H357" t="s">
        <v>1116</v>
      </c>
      <c r="I357" t="s">
        <v>1173</v>
      </c>
      <c r="J357" t="s">
        <v>1174</v>
      </c>
      <c r="K357" t="s">
        <v>22</v>
      </c>
      <c r="L357" t="s">
        <v>524</v>
      </c>
      <c r="N357" t="s">
        <v>1279</v>
      </c>
      <c r="O357" t="s">
        <v>1280</v>
      </c>
      <c r="P357" t="s">
        <v>238</v>
      </c>
      <c r="Q357" t="s">
        <v>805</v>
      </c>
      <c r="R357">
        <v>93605462</v>
      </c>
      <c r="S357">
        <v>0</v>
      </c>
      <c r="T357">
        <v>0</v>
      </c>
      <c r="U357">
        <v>0</v>
      </c>
      <c r="V357">
        <v>46485000</v>
      </c>
      <c r="W357">
        <v>0</v>
      </c>
      <c r="X357">
        <v>0</v>
      </c>
      <c r="Y357">
        <v>47120462</v>
      </c>
      <c r="Z357">
        <v>0</v>
      </c>
      <c r="AA357">
        <v>0</v>
      </c>
      <c r="AB357">
        <v>0</v>
      </c>
      <c r="AC357">
        <v>0</v>
      </c>
      <c r="AD357">
        <v>47120462</v>
      </c>
      <c r="AE357">
        <v>0</v>
      </c>
    </row>
    <row r="358" spans="1:31" x14ac:dyDescent="0.2">
      <c r="A358" t="s">
        <v>518</v>
      </c>
      <c r="B358" t="s">
        <v>877</v>
      </c>
      <c r="C358" t="s">
        <v>878</v>
      </c>
      <c r="D358" t="s">
        <v>1112</v>
      </c>
      <c r="E358" t="s">
        <v>1277</v>
      </c>
      <c r="F358" t="s">
        <v>1278</v>
      </c>
      <c r="G358" t="s">
        <v>1115</v>
      </c>
      <c r="H358" t="s">
        <v>1116</v>
      </c>
      <c r="I358" t="s">
        <v>1173</v>
      </c>
      <c r="J358" t="s">
        <v>1174</v>
      </c>
      <c r="K358" t="s">
        <v>22</v>
      </c>
      <c r="L358" t="s">
        <v>524</v>
      </c>
      <c r="N358" t="s">
        <v>1281</v>
      </c>
      <c r="O358" t="s">
        <v>1280</v>
      </c>
      <c r="P358" t="s">
        <v>483</v>
      </c>
      <c r="Q358" t="s">
        <v>863</v>
      </c>
      <c r="R358">
        <v>0</v>
      </c>
      <c r="S358">
        <v>60000000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60000000</v>
      </c>
      <c r="Z358">
        <v>0</v>
      </c>
      <c r="AA358">
        <v>0</v>
      </c>
      <c r="AB358">
        <v>0</v>
      </c>
      <c r="AC358">
        <v>0</v>
      </c>
      <c r="AD358">
        <v>60000000</v>
      </c>
      <c r="AE358">
        <v>0</v>
      </c>
    </row>
    <row r="359" spans="1:31" x14ac:dyDescent="0.2">
      <c r="A359" t="s">
        <v>518</v>
      </c>
      <c r="B359" t="s">
        <v>519</v>
      </c>
      <c r="C359" t="s">
        <v>22</v>
      </c>
      <c r="D359" t="s">
        <v>520</v>
      </c>
      <c r="E359" t="s">
        <v>521</v>
      </c>
      <c r="F359" t="s">
        <v>522</v>
      </c>
      <c r="G359" t="s">
        <v>22</v>
      </c>
      <c r="H359" t="s">
        <v>22</v>
      </c>
      <c r="I359" t="s">
        <v>22</v>
      </c>
      <c r="J359" t="s">
        <v>523</v>
      </c>
      <c r="K359" t="s">
        <v>22</v>
      </c>
      <c r="L359" t="s">
        <v>524</v>
      </c>
      <c r="N359" t="s">
        <v>1282</v>
      </c>
      <c r="O359" t="s">
        <v>1283</v>
      </c>
      <c r="P359" t="s">
        <v>22</v>
      </c>
      <c r="Q359" t="s">
        <v>527</v>
      </c>
      <c r="R359">
        <v>836892064</v>
      </c>
      <c r="S359">
        <v>24542096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861434160</v>
      </c>
      <c r="Z359">
        <v>836792064</v>
      </c>
      <c r="AA359">
        <v>746550000</v>
      </c>
      <c r="AB359">
        <v>162949250</v>
      </c>
      <c r="AC359">
        <v>162949250</v>
      </c>
      <c r="AD359">
        <v>24642096</v>
      </c>
      <c r="AE359">
        <v>97.14</v>
      </c>
    </row>
    <row r="360" spans="1:31" x14ac:dyDescent="0.2">
      <c r="A360" t="s">
        <v>518</v>
      </c>
      <c r="B360" t="s">
        <v>1147</v>
      </c>
      <c r="C360" t="s">
        <v>1148</v>
      </c>
      <c r="D360" t="s">
        <v>1149</v>
      </c>
      <c r="E360" t="s">
        <v>1284</v>
      </c>
      <c r="F360" t="s">
        <v>1285</v>
      </c>
      <c r="G360" t="s">
        <v>1152</v>
      </c>
      <c r="H360" t="s">
        <v>1153</v>
      </c>
      <c r="I360" t="s">
        <v>1286</v>
      </c>
      <c r="J360" t="s">
        <v>1287</v>
      </c>
      <c r="K360" t="s">
        <v>22</v>
      </c>
      <c r="L360" t="s">
        <v>524</v>
      </c>
      <c r="N360" t="s">
        <v>1288</v>
      </c>
      <c r="O360" t="s">
        <v>1289</v>
      </c>
      <c r="P360" t="s">
        <v>207</v>
      </c>
      <c r="Q360" t="s">
        <v>1290</v>
      </c>
      <c r="R360">
        <v>94655711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94655711</v>
      </c>
      <c r="Z360">
        <v>94655711</v>
      </c>
      <c r="AA360">
        <v>91205711</v>
      </c>
      <c r="AB360">
        <v>0</v>
      </c>
      <c r="AC360">
        <v>0</v>
      </c>
      <c r="AD360">
        <v>0</v>
      </c>
      <c r="AE360">
        <v>100</v>
      </c>
    </row>
    <row r="361" spans="1:31" x14ac:dyDescent="0.2">
      <c r="A361" t="s">
        <v>518</v>
      </c>
      <c r="B361" t="s">
        <v>1147</v>
      </c>
      <c r="C361" t="s">
        <v>1148</v>
      </c>
      <c r="D361" t="s">
        <v>1149</v>
      </c>
      <c r="E361" t="s">
        <v>1284</v>
      </c>
      <c r="F361" t="s">
        <v>1285</v>
      </c>
      <c r="G361" t="s">
        <v>1152</v>
      </c>
      <c r="H361" t="s">
        <v>1153</v>
      </c>
      <c r="I361" t="s">
        <v>1286</v>
      </c>
      <c r="J361" t="s">
        <v>1287</v>
      </c>
      <c r="K361" t="s">
        <v>22</v>
      </c>
      <c r="L361" t="s">
        <v>524</v>
      </c>
      <c r="N361" t="s">
        <v>1291</v>
      </c>
      <c r="O361" t="s">
        <v>1289</v>
      </c>
      <c r="P361" t="s">
        <v>238</v>
      </c>
      <c r="Q361" t="s">
        <v>805</v>
      </c>
      <c r="R361">
        <v>655344289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655344289</v>
      </c>
      <c r="Z361">
        <v>655344289</v>
      </c>
      <c r="AA361">
        <v>655344289</v>
      </c>
      <c r="AB361">
        <v>162949250</v>
      </c>
      <c r="AC361">
        <v>162949250</v>
      </c>
      <c r="AD361">
        <v>0</v>
      </c>
      <c r="AE361">
        <v>100</v>
      </c>
    </row>
    <row r="362" spans="1:31" x14ac:dyDescent="0.2">
      <c r="A362" t="s">
        <v>518</v>
      </c>
      <c r="B362" t="s">
        <v>1147</v>
      </c>
      <c r="C362" t="s">
        <v>1148</v>
      </c>
      <c r="D362" t="s">
        <v>1149</v>
      </c>
      <c r="E362" t="s">
        <v>1150</v>
      </c>
      <c r="F362" t="s">
        <v>1151</v>
      </c>
      <c r="G362" t="s">
        <v>1152</v>
      </c>
      <c r="H362" t="s">
        <v>1153</v>
      </c>
      <c r="I362" t="s">
        <v>1157</v>
      </c>
      <c r="J362" t="s">
        <v>1158</v>
      </c>
      <c r="K362" t="s">
        <v>22</v>
      </c>
      <c r="L362" t="s">
        <v>524</v>
      </c>
      <c r="N362" t="s">
        <v>1292</v>
      </c>
      <c r="O362" t="s">
        <v>1155</v>
      </c>
      <c r="P362" t="s">
        <v>248</v>
      </c>
      <c r="Q362" t="s">
        <v>1156</v>
      </c>
      <c r="R362">
        <v>86792064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86792064</v>
      </c>
      <c r="Z362">
        <v>86792064</v>
      </c>
      <c r="AA362">
        <v>0</v>
      </c>
      <c r="AB362">
        <v>0</v>
      </c>
      <c r="AC362">
        <v>0</v>
      </c>
      <c r="AD362">
        <v>0</v>
      </c>
      <c r="AE362">
        <v>100</v>
      </c>
    </row>
    <row r="363" spans="1:31" x14ac:dyDescent="0.2">
      <c r="A363" t="s">
        <v>518</v>
      </c>
      <c r="B363" t="s">
        <v>1147</v>
      </c>
      <c r="C363" t="s">
        <v>1148</v>
      </c>
      <c r="D363" t="s">
        <v>1149</v>
      </c>
      <c r="E363" t="s">
        <v>1150</v>
      </c>
      <c r="F363" t="s">
        <v>1151</v>
      </c>
      <c r="G363" t="s">
        <v>1152</v>
      </c>
      <c r="H363" t="s">
        <v>1153</v>
      </c>
      <c r="I363" t="s">
        <v>1157</v>
      </c>
      <c r="J363" t="s">
        <v>1158</v>
      </c>
      <c r="K363" t="s">
        <v>22</v>
      </c>
      <c r="L363" t="s">
        <v>524</v>
      </c>
      <c r="N363" t="s">
        <v>1293</v>
      </c>
      <c r="O363" t="s">
        <v>1155</v>
      </c>
      <c r="P363" t="s">
        <v>335</v>
      </c>
      <c r="Q363" t="s">
        <v>1294</v>
      </c>
      <c r="R363">
        <v>100000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100000</v>
      </c>
      <c r="Z363">
        <v>0</v>
      </c>
      <c r="AA363">
        <v>0</v>
      </c>
      <c r="AB363">
        <v>0</v>
      </c>
      <c r="AC363">
        <v>0</v>
      </c>
      <c r="AD363">
        <v>100000</v>
      </c>
      <c r="AE363">
        <v>0</v>
      </c>
    </row>
    <row r="364" spans="1:31" x14ac:dyDescent="0.2">
      <c r="A364" t="s">
        <v>518</v>
      </c>
      <c r="B364" t="s">
        <v>1147</v>
      </c>
      <c r="C364" t="s">
        <v>1148</v>
      </c>
      <c r="D364" t="s">
        <v>1149</v>
      </c>
      <c r="E364" t="s">
        <v>1150</v>
      </c>
      <c r="F364" t="s">
        <v>1151</v>
      </c>
      <c r="G364" t="s">
        <v>1152</v>
      </c>
      <c r="H364" t="s">
        <v>1153</v>
      </c>
      <c r="I364" t="s">
        <v>1295</v>
      </c>
      <c r="J364" t="s">
        <v>1296</v>
      </c>
      <c r="K364" t="s">
        <v>22</v>
      </c>
      <c r="L364" t="s">
        <v>524</v>
      </c>
      <c r="N364" t="s">
        <v>1297</v>
      </c>
      <c r="O364" t="s">
        <v>1155</v>
      </c>
      <c r="P364" t="s">
        <v>455</v>
      </c>
      <c r="Q364" t="s">
        <v>1160</v>
      </c>
      <c r="R364">
        <v>0</v>
      </c>
      <c r="S364">
        <v>21598014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21598014</v>
      </c>
      <c r="Z364">
        <v>0</v>
      </c>
      <c r="AA364">
        <v>0</v>
      </c>
      <c r="AB364">
        <v>0</v>
      </c>
      <c r="AC364">
        <v>0</v>
      </c>
      <c r="AD364">
        <v>21598014</v>
      </c>
      <c r="AE364">
        <v>0</v>
      </c>
    </row>
    <row r="365" spans="1:31" x14ac:dyDescent="0.2">
      <c r="A365" t="s">
        <v>518</v>
      </c>
      <c r="B365" t="s">
        <v>1147</v>
      </c>
      <c r="C365" t="s">
        <v>1148</v>
      </c>
      <c r="D365" t="s">
        <v>1149</v>
      </c>
      <c r="E365" t="s">
        <v>1150</v>
      </c>
      <c r="F365" t="s">
        <v>1151</v>
      </c>
      <c r="G365" t="s">
        <v>1152</v>
      </c>
      <c r="H365" t="s">
        <v>1153</v>
      </c>
      <c r="I365" t="s">
        <v>1157</v>
      </c>
      <c r="J365" t="s">
        <v>1158</v>
      </c>
      <c r="K365" t="s">
        <v>22</v>
      </c>
      <c r="L365" t="s">
        <v>524</v>
      </c>
      <c r="N365" t="s">
        <v>1298</v>
      </c>
      <c r="O365" t="s">
        <v>1299</v>
      </c>
      <c r="P365" t="s">
        <v>427</v>
      </c>
      <c r="Q365" t="s">
        <v>426</v>
      </c>
      <c r="R365">
        <v>0</v>
      </c>
      <c r="S365">
        <v>2944082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2944082</v>
      </c>
      <c r="Z365">
        <v>0</v>
      </c>
      <c r="AA365">
        <v>0</v>
      </c>
      <c r="AB365">
        <v>0</v>
      </c>
      <c r="AC365">
        <v>0</v>
      </c>
      <c r="AD365">
        <v>2944082</v>
      </c>
      <c r="AE365">
        <v>0</v>
      </c>
    </row>
    <row r="366" spans="1:31" x14ac:dyDescent="0.2">
      <c r="A366" t="s">
        <v>518</v>
      </c>
      <c r="B366" t="s">
        <v>519</v>
      </c>
      <c r="C366" t="s">
        <v>22</v>
      </c>
      <c r="D366" t="s">
        <v>520</v>
      </c>
      <c r="E366" t="s">
        <v>521</v>
      </c>
      <c r="F366" t="s">
        <v>522</v>
      </c>
      <c r="G366" t="s">
        <v>22</v>
      </c>
      <c r="H366" t="s">
        <v>22</v>
      </c>
      <c r="I366" t="s">
        <v>22</v>
      </c>
      <c r="J366" t="s">
        <v>523</v>
      </c>
      <c r="K366" t="s">
        <v>22</v>
      </c>
      <c r="L366" t="s">
        <v>524</v>
      </c>
      <c r="N366" t="s">
        <v>1300</v>
      </c>
      <c r="O366" t="s">
        <v>1301</v>
      </c>
      <c r="P366" t="s">
        <v>22</v>
      </c>
      <c r="Q366" t="s">
        <v>527</v>
      </c>
      <c r="R366">
        <v>0</v>
      </c>
      <c r="S366">
        <v>0</v>
      </c>
      <c r="T366">
        <v>0</v>
      </c>
      <c r="U366">
        <v>70000000</v>
      </c>
      <c r="V366">
        <v>0</v>
      </c>
      <c r="W366">
        <v>0</v>
      </c>
      <c r="X366">
        <v>0</v>
      </c>
      <c r="Y366">
        <v>70000000</v>
      </c>
      <c r="Z366">
        <v>69025340</v>
      </c>
      <c r="AA366">
        <v>69007079</v>
      </c>
      <c r="AB366">
        <v>14040006.75</v>
      </c>
      <c r="AC366">
        <v>14040006.75</v>
      </c>
      <c r="AD366">
        <v>974660</v>
      </c>
      <c r="AE366">
        <v>98.61</v>
      </c>
    </row>
    <row r="367" spans="1:31" x14ac:dyDescent="0.2">
      <c r="A367" t="s">
        <v>518</v>
      </c>
      <c r="B367" t="s">
        <v>519</v>
      </c>
      <c r="C367" t="s">
        <v>22</v>
      </c>
      <c r="D367" t="s">
        <v>520</v>
      </c>
      <c r="E367" t="s">
        <v>521</v>
      </c>
      <c r="F367" t="s">
        <v>522</v>
      </c>
      <c r="G367" t="s">
        <v>22</v>
      </c>
      <c r="H367" t="s">
        <v>22</v>
      </c>
      <c r="I367" t="s">
        <v>22</v>
      </c>
      <c r="J367" t="s">
        <v>523</v>
      </c>
      <c r="K367" t="s">
        <v>22</v>
      </c>
      <c r="L367" t="s">
        <v>524</v>
      </c>
      <c r="N367" t="s">
        <v>1302</v>
      </c>
      <c r="O367" t="s">
        <v>1179</v>
      </c>
      <c r="P367" t="s">
        <v>22</v>
      </c>
      <c r="Q367" t="s">
        <v>527</v>
      </c>
      <c r="R367">
        <v>0</v>
      </c>
      <c r="S367">
        <v>0</v>
      </c>
      <c r="T367">
        <v>0</v>
      </c>
      <c r="U367">
        <v>50000000</v>
      </c>
      <c r="V367">
        <v>0</v>
      </c>
      <c r="W367">
        <v>0</v>
      </c>
      <c r="X367">
        <v>0</v>
      </c>
      <c r="Y367">
        <v>50000000</v>
      </c>
      <c r="Z367">
        <v>49025340</v>
      </c>
      <c r="AA367">
        <v>49007079</v>
      </c>
      <c r="AB367">
        <v>0</v>
      </c>
      <c r="AC367">
        <v>0</v>
      </c>
      <c r="AD367">
        <v>974660</v>
      </c>
      <c r="AE367">
        <v>98.05</v>
      </c>
    </row>
    <row r="368" spans="1:31" x14ac:dyDescent="0.2">
      <c r="A368" t="s">
        <v>518</v>
      </c>
      <c r="B368" t="s">
        <v>1180</v>
      </c>
      <c r="C368" t="s">
        <v>1181</v>
      </c>
      <c r="D368" t="s">
        <v>1191</v>
      </c>
      <c r="E368" t="s">
        <v>1192</v>
      </c>
      <c r="F368" t="s">
        <v>1193</v>
      </c>
      <c r="G368" t="s">
        <v>1194</v>
      </c>
      <c r="H368" t="s">
        <v>1195</v>
      </c>
      <c r="I368" t="s">
        <v>1303</v>
      </c>
      <c r="J368" t="s">
        <v>1304</v>
      </c>
      <c r="K368" t="s">
        <v>22</v>
      </c>
      <c r="L368" t="s">
        <v>524</v>
      </c>
      <c r="N368" t="s">
        <v>1305</v>
      </c>
      <c r="O368" t="s">
        <v>1306</v>
      </c>
      <c r="P368" t="s">
        <v>238</v>
      </c>
      <c r="Q368" t="s">
        <v>805</v>
      </c>
      <c r="R368">
        <v>0</v>
      </c>
      <c r="S368">
        <v>0</v>
      </c>
      <c r="T368">
        <v>0</v>
      </c>
      <c r="U368">
        <v>50000000</v>
      </c>
      <c r="V368">
        <v>0</v>
      </c>
      <c r="W368">
        <v>0</v>
      </c>
      <c r="X368">
        <v>0</v>
      </c>
      <c r="Y368">
        <v>50000000</v>
      </c>
      <c r="Z368">
        <v>49025340</v>
      </c>
      <c r="AA368">
        <v>49007079</v>
      </c>
      <c r="AB368">
        <v>0</v>
      </c>
      <c r="AC368">
        <v>0</v>
      </c>
      <c r="AD368">
        <v>974660</v>
      </c>
      <c r="AE368">
        <v>98.05</v>
      </c>
    </row>
    <row r="369" spans="1:31" x14ac:dyDescent="0.2">
      <c r="A369" t="s">
        <v>518</v>
      </c>
      <c r="B369" t="s">
        <v>519</v>
      </c>
      <c r="C369" t="s">
        <v>22</v>
      </c>
      <c r="D369" t="s">
        <v>520</v>
      </c>
      <c r="E369" t="s">
        <v>521</v>
      </c>
      <c r="F369" t="s">
        <v>522</v>
      </c>
      <c r="G369" t="s">
        <v>22</v>
      </c>
      <c r="H369" t="s">
        <v>22</v>
      </c>
      <c r="I369" t="s">
        <v>22</v>
      </c>
      <c r="J369" t="s">
        <v>523</v>
      </c>
      <c r="K369" t="s">
        <v>22</v>
      </c>
      <c r="L369" t="s">
        <v>524</v>
      </c>
      <c r="N369" t="s">
        <v>1307</v>
      </c>
      <c r="O369" t="s">
        <v>876</v>
      </c>
      <c r="P369" t="s">
        <v>22</v>
      </c>
      <c r="Q369" t="s">
        <v>527</v>
      </c>
      <c r="R369">
        <v>0</v>
      </c>
      <c r="S369">
        <v>0</v>
      </c>
      <c r="T369">
        <v>0</v>
      </c>
      <c r="U369">
        <v>20000000</v>
      </c>
      <c r="V369">
        <v>0</v>
      </c>
      <c r="W369">
        <v>0</v>
      </c>
      <c r="X369">
        <v>0</v>
      </c>
      <c r="Y369">
        <v>20000000</v>
      </c>
      <c r="Z369">
        <v>20000000</v>
      </c>
      <c r="AA369">
        <v>20000000</v>
      </c>
      <c r="AB369">
        <v>14040006.75</v>
      </c>
      <c r="AC369">
        <v>14040006.75</v>
      </c>
      <c r="AD369">
        <v>0</v>
      </c>
      <c r="AE369">
        <v>100</v>
      </c>
    </row>
    <row r="370" spans="1:31" x14ac:dyDescent="0.2">
      <c r="A370" t="s">
        <v>518</v>
      </c>
      <c r="B370" t="s">
        <v>877</v>
      </c>
      <c r="C370" t="s">
        <v>878</v>
      </c>
      <c r="D370" t="s">
        <v>1270</v>
      </c>
      <c r="E370" t="s">
        <v>1308</v>
      </c>
      <c r="F370" t="s">
        <v>1309</v>
      </c>
      <c r="G370" t="s">
        <v>1273</v>
      </c>
      <c r="H370" t="s">
        <v>1274</v>
      </c>
      <c r="I370" t="s">
        <v>1303</v>
      </c>
      <c r="J370" t="s">
        <v>1304</v>
      </c>
      <c r="K370" t="s">
        <v>22</v>
      </c>
      <c r="L370" t="s">
        <v>524</v>
      </c>
      <c r="N370" t="s">
        <v>1310</v>
      </c>
      <c r="O370" t="s">
        <v>1306</v>
      </c>
      <c r="P370" t="s">
        <v>238</v>
      </c>
      <c r="Q370" t="s">
        <v>805</v>
      </c>
      <c r="R370">
        <v>0</v>
      </c>
      <c r="S370">
        <v>0</v>
      </c>
      <c r="T370">
        <v>0</v>
      </c>
      <c r="U370">
        <v>20000000</v>
      </c>
      <c r="V370">
        <v>0</v>
      </c>
      <c r="W370">
        <v>0</v>
      </c>
      <c r="X370">
        <v>0</v>
      </c>
      <c r="Y370">
        <v>20000000</v>
      </c>
      <c r="Z370">
        <v>20000000</v>
      </c>
      <c r="AA370">
        <v>20000000</v>
      </c>
      <c r="AB370">
        <v>14040006.75</v>
      </c>
      <c r="AC370">
        <v>14040006.75</v>
      </c>
      <c r="AD370">
        <v>0</v>
      </c>
      <c r="AE370">
        <v>100</v>
      </c>
    </row>
    <row r="371" spans="1:31" x14ac:dyDescent="0.2">
      <c r="A371" t="s">
        <v>518</v>
      </c>
      <c r="B371" t="s">
        <v>519</v>
      </c>
      <c r="C371" t="s">
        <v>22</v>
      </c>
      <c r="D371" t="s">
        <v>520</v>
      </c>
      <c r="E371" t="s">
        <v>521</v>
      </c>
      <c r="F371" t="s">
        <v>522</v>
      </c>
      <c r="G371" t="s">
        <v>22</v>
      </c>
      <c r="H371" t="s">
        <v>22</v>
      </c>
      <c r="I371" t="s">
        <v>22</v>
      </c>
      <c r="J371" t="s">
        <v>523</v>
      </c>
      <c r="K371" t="s">
        <v>22</v>
      </c>
      <c r="L371" t="s">
        <v>524</v>
      </c>
      <c r="N371" t="s">
        <v>1311</v>
      </c>
      <c r="O371" t="s">
        <v>1312</v>
      </c>
      <c r="P371" t="s">
        <v>22</v>
      </c>
      <c r="Q371" t="s">
        <v>527</v>
      </c>
      <c r="R371">
        <v>2237570344</v>
      </c>
      <c r="S371">
        <v>1482301891</v>
      </c>
      <c r="T371">
        <v>75250034</v>
      </c>
      <c r="U371">
        <v>351300000</v>
      </c>
      <c r="V371">
        <v>90415000</v>
      </c>
      <c r="W371">
        <v>0</v>
      </c>
      <c r="X371">
        <v>0</v>
      </c>
      <c r="Y371">
        <v>3905507201</v>
      </c>
      <c r="Z371">
        <v>2278584048</v>
      </c>
      <c r="AA371">
        <v>2118114252.9100001</v>
      </c>
      <c r="AB371">
        <v>863673110</v>
      </c>
      <c r="AC371">
        <v>863673110</v>
      </c>
      <c r="AD371">
        <v>1626923153</v>
      </c>
      <c r="AE371">
        <v>58.34</v>
      </c>
    </row>
    <row r="372" spans="1:31" x14ac:dyDescent="0.2">
      <c r="A372" t="s">
        <v>518</v>
      </c>
      <c r="B372" t="s">
        <v>519</v>
      </c>
      <c r="C372" t="s">
        <v>22</v>
      </c>
      <c r="D372" t="s">
        <v>520</v>
      </c>
      <c r="E372" t="s">
        <v>521</v>
      </c>
      <c r="F372" t="s">
        <v>522</v>
      </c>
      <c r="G372" t="s">
        <v>22</v>
      </c>
      <c r="H372" t="s">
        <v>22</v>
      </c>
      <c r="I372" t="s">
        <v>22</v>
      </c>
      <c r="J372" t="s">
        <v>523</v>
      </c>
      <c r="K372" t="s">
        <v>22</v>
      </c>
      <c r="L372" t="s">
        <v>524</v>
      </c>
      <c r="N372" t="s">
        <v>1313</v>
      </c>
      <c r="O372" t="s">
        <v>1314</v>
      </c>
      <c r="P372" t="s">
        <v>22</v>
      </c>
      <c r="Q372" t="s">
        <v>527</v>
      </c>
      <c r="R372">
        <v>0</v>
      </c>
      <c r="S372">
        <v>0</v>
      </c>
      <c r="T372">
        <v>0</v>
      </c>
      <c r="U372">
        <v>40000000</v>
      </c>
      <c r="V372">
        <v>0</v>
      </c>
      <c r="W372">
        <v>0</v>
      </c>
      <c r="X372">
        <v>0</v>
      </c>
      <c r="Y372">
        <v>40000000</v>
      </c>
      <c r="Z372">
        <v>40000000</v>
      </c>
      <c r="AA372">
        <v>40000000</v>
      </c>
      <c r="AB372">
        <v>40000000</v>
      </c>
      <c r="AC372">
        <v>40000000</v>
      </c>
      <c r="AD372">
        <v>0</v>
      </c>
      <c r="AE372">
        <v>100</v>
      </c>
    </row>
    <row r="373" spans="1:31" x14ac:dyDescent="0.2">
      <c r="A373" t="s">
        <v>518</v>
      </c>
      <c r="B373" t="s">
        <v>1180</v>
      </c>
      <c r="C373" t="s">
        <v>1181</v>
      </c>
      <c r="D373" t="s">
        <v>1191</v>
      </c>
      <c r="E373" t="s">
        <v>1192</v>
      </c>
      <c r="F373" t="s">
        <v>1193</v>
      </c>
      <c r="G373" t="s">
        <v>1194</v>
      </c>
      <c r="H373" t="s">
        <v>1195</v>
      </c>
      <c r="I373" t="s">
        <v>1315</v>
      </c>
      <c r="J373" t="s">
        <v>1316</v>
      </c>
      <c r="K373" t="s">
        <v>22</v>
      </c>
      <c r="L373" t="s">
        <v>524</v>
      </c>
      <c r="N373" t="s">
        <v>1317</v>
      </c>
      <c r="O373" t="s">
        <v>1318</v>
      </c>
      <c r="P373" t="s">
        <v>238</v>
      </c>
      <c r="Q373" t="s">
        <v>805</v>
      </c>
      <c r="R373">
        <v>0</v>
      </c>
      <c r="S373">
        <v>0</v>
      </c>
      <c r="T373">
        <v>0</v>
      </c>
      <c r="U373">
        <v>40000000</v>
      </c>
      <c r="V373">
        <v>0</v>
      </c>
      <c r="W373">
        <v>0</v>
      </c>
      <c r="X373">
        <v>0</v>
      </c>
      <c r="Y373">
        <v>40000000</v>
      </c>
      <c r="Z373">
        <v>40000000</v>
      </c>
      <c r="AA373">
        <v>40000000</v>
      </c>
      <c r="AB373">
        <v>40000000</v>
      </c>
      <c r="AC373">
        <v>40000000</v>
      </c>
      <c r="AD373">
        <v>0</v>
      </c>
      <c r="AE373">
        <v>100</v>
      </c>
    </row>
    <row r="374" spans="1:31" x14ac:dyDescent="0.2">
      <c r="A374" t="s">
        <v>518</v>
      </c>
      <c r="B374" t="s">
        <v>519</v>
      </c>
      <c r="C374" t="s">
        <v>22</v>
      </c>
      <c r="D374" t="s">
        <v>520</v>
      </c>
      <c r="E374" t="s">
        <v>521</v>
      </c>
      <c r="F374" t="s">
        <v>522</v>
      </c>
      <c r="G374" t="s">
        <v>22</v>
      </c>
      <c r="H374" t="s">
        <v>22</v>
      </c>
      <c r="I374" t="s">
        <v>22</v>
      </c>
      <c r="J374" t="s">
        <v>523</v>
      </c>
      <c r="K374" t="s">
        <v>22</v>
      </c>
      <c r="L374" t="s">
        <v>524</v>
      </c>
      <c r="N374" t="s">
        <v>1319</v>
      </c>
      <c r="O374" t="s">
        <v>1320</v>
      </c>
      <c r="P374" t="s">
        <v>22</v>
      </c>
      <c r="Q374" t="s">
        <v>527</v>
      </c>
      <c r="R374">
        <v>0</v>
      </c>
      <c r="S374">
        <v>0</v>
      </c>
      <c r="T374">
        <v>0</v>
      </c>
      <c r="U374">
        <v>208300000</v>
      </c>
      <c r="V374">
        <v>0</v>
      </c>
      <c r="W374">
        <v>0</v>
      </c>
      <c r="X374">
        <v>0</v>
      </c>
      <c r="Y374">
        <v>208300000</v>
      </c>
      <c r="Z374">
        <v>208136597</v>
      </c>
      <c r="AA374">
        <v>98035098</v>
      </c>
      <c r="AB374">
        <v>60935098</v>
      </c>
      <c r="AC374">
        <v>60935098</v>
      </c>
      <c r="AD374">
        <v>163403</v>
      </c>
      <c r="AE374">
        <v>99.92</v>
      </c>
    </row>
    <row r="375" spans="1:31" x14ac:dyDescent="0.2">
      <c r="A375" t="s">
        <v>518</v>
      </c>
      <c r="B375" t="s">
        <v>1217</v>
      </c>
      <c r="C375" t="s">
        <v>1218</v>
      </c>
      <c r="D375" t="s">
        <v>1231</v>
      </c>
      <c r="E375" t="s">
        <v>1321</v>
      </c>
      <c r="F375" t="s">
        <v>1322</v>
      </c>
      <c r="G375" t="s">
        <v>1234</v>
      </c>
      <c r="H375" t="s">
        <v>1235</v>
      </c>
      <c r="I375" t="s">
        <v>1315</v>
      </c>
      <c r="J375" t="s">
        <v>1316</v>
      </c>
      <c r="K375" t="s">
        <v>22</v>
      </c>
      <c r="L375" t="s">
        <v>524</v>
      </c>
      <c r="N375" t="s">
        <v>1323</v>
      </c>
      <c r="O375" t="s">
        <v>1318</v>
      </c>
      <c r="P375" t="s">
        <v>238</v>
      </c>
      <c r="Q375" t="s">
        <v>805</v>
      </c>
      <c r="R375">
        <v>0</v>
      </c>
      <c r="S375">
        <v>0</v>
      </c>
      <c r="T375">
        <v>0</v>
      </c>
      <c r="U375">
        <v>100000000</v>
      </c>
      <c r="V375">
        <v>0</v>
      </c>
      <c r="W375">
        <v>0</v>
      </c>
      <c r="X375">
        <v>0</v>
      </c>
      <c r="Y375">
        <v>100000000</v>
      </c>
      <c r="Z375">
        <v>99836597</v>
      </c>
      <c r="AA375">
        <v>39735098</v>
      </c>
      <c r="AB375">
        <v>39735098</v>
      </c>
      <c r="AC375">
        <v>39735098</v>
      </c>
      <c r="AD375">
        <v>163403</v>
      </c>
      <c r="AE375">
        <v>99.84</v>
      </c>
    </row>
    <row r="376" spans="1:31" x14ac:dyDescent="0.2">
      <c r="A376" t="s">
        <v>518</v>
      </c>
      <c r="B376" t="s">
        <v>1217</v>
      </c>
      <c r="C376" t="s">
        <v>1218</v>
      </c>
      <c r="D376" t="s">
        <v>1231</v>
      </c>
      <c r="E376" t="s">
        <v>1321</v>
      </c>
      <c r="F376" t="s">
        <v>1322</v>
      </c>
      <c r="G376" t="s">
        <v>1234</v>
      </c>
      <c r="H376" t="s">
        <v>1235</v>
      </c>
      <c r="I376" t="s">
        <v>1315</v>
      </c>
      <c r="J376" t="s">
        <v>1316</v>
      </c>
      <c r="K376" t="s">
        <v>22</v>
      </c>
      <c r="L376" t="s">
        <v>524</v>
      </c>
      <c r="N376" t="s">
        <v>1323</v>
      </c>
      <c r="O376" t="s">
        <v>1318</v>
      </c>
      <c r="P376" t="s">
        <v>483</v>
      </c>
      <c r="Q376" t="s">
        <v>863</v>
      </c>
      <c r="R376">
        <v>0</v>
      </c>
      <c r="S376">
        <v>0</v>
      </c>
      <c r="T376">
        <v>0</v>
      </c>
      <c r="U376">
        <v>50000000</v>
      </c>
      <c r="V376">
        <v>0</v>
      </c>
      <c r="W376">
        <v>0</v>
      </c>
      <c r="X376">
        <v>0</v>
      </c>
      <c r="Y376">
        <v>50000000</v>
      </c>
      <c r="Z376">
        <v>50000000</v>
      </c>
      <c r="AA376">
        <v>0</v>
      </c>
      <c r="AB376">
        <v>0</v>
      </c>
      <c r="AC376">
        <v>0</v>
      </c>
      <c r="AD376">
        <v>0</v>
      </c>
      <c r="AE376">
        <v>100</v>
      </c>
    </row>
    <row r="377" spans="1:31" x14ac:dyDescent="0.2">
      <c r="A377" t="s">
        <v>518</v>
      </c>
      <c r="B377" t="s">
        <v>1217</v>
      </c>
      <c r="C377" t="s">
        <v>1218</v>
      </c>
      <c r="D377" t="s">
        <v>1219</v>
      </c>
      <c r="E377" t="s">
        <v>1324</v>
      </c>
      <c r="F377" t="s">
        <v>1325</v>
      </c>
      <c r="G377" t="s">
        <v>1222</v>
      </c>
      <c r="H377" t="s">
        <v>1223</v>
      </c>
      <c r="I377" t="s">
        <v>692</v>
      </c>
      <c r="J377" t="s">
        <v>693</v>
      </c>
      <c r="K377" t="s">
        <v>22</v>
      </c>
      <c r="L377" t="s">
        <v>524</v>
      </c>
      <c r="N377" t="s">
        <v>1326</v>
      </c>
      <c r="O377" t="s">
        <v>1327</v>
      </c>
      <c r="P377" t="s">
        <v>252</v>
      </c>
      <c r="Q377" t="s">
        <v>1228</v>
      </c>
      <c r="R377">
        <v>0</v>
      </c>
      <c r="S377">
        <v>0</v>
      </c>
      <c r="T377">
        <v>0</v>
      </c>
      <c r="U377">
        <v>58300000</v>
      </c>
      <c r="V377">
        <v>0</v>
      </c>
      <c r="W377">
        <v>0</v>
      </c>
      <c r="X377">
        <v>0</v>
      </c>
      <c r="Y377">
        <v>58300000</v>
      </c>
      <c r="Z377">
        <v>58300000</v>
      </c>
      <c r="AA377">
        <v>58300000</v>
      </c>
      <c r="AB377">
        <v>21200000</v>
      </c>
      <c r="AC377">
        <v>21200000</v>
      </c>
      <c r="AD377">
        <v>0</v>
      </c>
      <c r="AE377">
        <v>100</v>
      </c>
    </row>
    <row r="378" spans="1:31" x14ac:dyDescent="0.2">
      <c r="A378" t="s">
        <v>518</v>
      </c>
      <c r="B378" t="s">
        <v>519</v>
      </c>
      <c r="C378" t="s">
        <v>22</v>
      </c>
      <c r="D378" t="s">
        <v>520</v>
      </c>
      <c r="E378" t="s">
        <v>521</v>
      </c>
      <c r="F378" t="s">
        <v>522</v>
      </c>
      <c r="G378" t="s">
        <v>22</v>
      </c>
      <c r="H378" t="s">
        <v>22</v>
      </c>
      <c r="I378" t="s">
        <v>22</v>
      </c>
      <c r="J378" t="s">
        <v>523</v>
      </c>
      <c r="K378" t="s">
        <v>22</v>
      </c>
      <c r="L378" t="s">
        <v>524</v>
      </c>
      <c r="N378" t="s">
        <v>1328</v>
      </c>
      <c r="O378" t="s">
        <v>1329</v>
      </c>
      <c r="P378" t="s">
        <v>22</v>
      </c>
      <c r="Q378" t="s">
        <v>527</v>
      </c>
      <c r="R378">
        <v>35000000</v>
      </c>
      <c r="S378">
        <v>23190945</v>
      </c>
      <c r="T378">
        <v>22292216</v>
      </c>
      <c r="U378">
        <v>36400000</v>
      </c>
      <c r="V378">
        <v>0</v>
      </c>
      <c r="W378">
        <v>0</v>
      </c>
      <c r="X378">
        <v>0</v>
      </c>
      <c r="Y378">
        <v>72298729</v>
      </c>
      <c r="Z378">
        <v>48400000</v>
      </c>
      <c r="AA378">
        <v>48400000</v>
      </c>
      <c r="AB378">
        <v>15400000</v>
      </c>
      <c r="AC378">
        <v>15400000</v>
      </c>
      <c r="AD378">
        <v>23898729</v>
      </c>
      <c r="AE378">
        <v>66.94</v>
      </c>
    </row>
    <row r="379" spans="1:31" x14ac:dyDescent="0.2">
      <c r="A379" t="s">
        <v>518</v>
      </c>
      <c r="B379" t="s">
        <v>1245</v>
      </c>
      <c r="C379" t="s">
        <v>1246</v>
      </c>
      <c r="D379" t="s">
        <v>1247</v>
      </c>
      <c r="E379" t="s">
        <v>1248</v>
      </c>
      <c r="F379" t="s">
        <v>1249</v>
      </c>
      <c r="G379" t="s">
        <v>1250</v>
      </c>
      <c r="H379" t="s">
        <v>1251</v>
      </c>
      <c r="I379" t="s">
        <v>695</v>
      </c>
      <c r="J379" t="s">
        <v>696</v>
      </c>
      <c r="K379" t="s">
        <v>22</v>
      </c>
      <c r="L379" t="s">
        <v>524</v>
      </c>
      <c r="N379" t="s">
        <v>1330</v>
      </c>
      <c r="O379" t="s">
        <v>1331</v>
      </c>
      <c r="P379" t="s">
        <v>231</v>
      </c>
      <c r="Q379" t="s">
        <v>1261</v>
      </c>
      <c r="R379">
        <v>23000000</v>
      </c>
      <c r="S379">
        <v>0</v>
      </c>
      <c r="T379">
        <v>22292216</v>
      </c>
      <c r="U379">
        <v>0</v>
      </c>
      <c r="V379">
        <v>0</v>
      </c>
      <c r="W379">
        <v>0</v>
      </c>
      <c r="X379">
        <v>0</v>
      </c>
      <c r="Y379">
        <v>707784</v>
      </c>
      <c r="Z379">
        <v>0</v>
      </c>
      <c r="AA379">
        <v>0</v>
      </c>
      <c r="AB379">
        <v>0</v>
      </c>
      <c r="AC379">
        <v>0</v>
      </c>
      <c r="AD379">
        <v>707784</v>
      </c>
      <c r="AE379">
        <v>0</v>
      </c>
    </row>
    <row r="380" spans="1:31" x14ac:dyDescent="0.2">
      <c r="A380" t="s">
        <v>518</v>
      </c>
      <c r="B380" t="s">
        <v>1245</v>
      </c>
      <c r="C380" t="s">
        <v>1246</v>
      </c>
      <c r="D380" t="s">
        <v>1247</v>
      </c>
      <c r="E380" t="s">
        <v>1332</v>
      </c>
      <c r="F380" t="s">
        <v>1333</v>
      </c>
      <c r="G380" t="s">
        <v>1250</v>
      </c>
      <c r="H380" t="s">
        <v>1251</v>
      </c>
      <c r="I380" t="s">
        <v>695</v>
      </c>
      <c r="J380" t="s">
        <v>696</v>
      </c>
      <c r="K380" t="s">
        <v>22</v>
      </c>
      <c r="L380" t="s">
        <v>524</v>
      </c>
      <c r="N380" t="s">
        <v>1334</v>
      </c>
      <c r="O380" t="s">
        <v>1335</v>
      </c>
      <c r="P380" t="s">
        <v>231</v>
      </c>
      <c r="Q380" t="s">
        <v>1261</v>
      </c>
      <c r="R380">
        <v>12000000</v>
      </c>
      <c r="S380">
        <v>0</v>
      </c>
      <c r="T380">
        <v>0</v>
      </c>
      <c r="U380">
        <v>36400000</v>
      </c>
      <c r="V380">
        <v>0</v>
      </c>
      <c r="W380">
        <v>0</v>
      </c>
      <c r="X380">
        <v>0</v>
      </c>
      <c r="Y380">
        <v>48400000</v>
      </c>
      <c r="Z380">
        <v>48400000</v>
      </c>
      <c r="AA380">
        <v>48400000</v>
      </c>
      <c r="AB380">
        <v>15400000</v>
      </c>
      <c r="AC380">
        <v>15400000</v>
      </c>
      <c r="AD380">
        <v>0</v>
      </c>
      <c r="AE380">
        <v>100</v>
      </c>
    </row>
    <row r="381" spans="1:31" x14ac:dyDescent="0.2">
      <c r="A381" t="s">
        <v>518</v>
      </c>
      <c r="B381" t="s">
        <v>1245</v>
      </c>
      <c r="C381" t="s">
        <v>1246</v>
      </c>
      <c r="D381" t="s">
        <v>1247</v>
      </c>
      <c r="E381" t="s">
        <v>1248</v>
      </c>
      <c r="F381" t="s">
        <v>1249</v>
      </c>
      <c r="G381" t="s">
        <v>1250</v>
      </c>
      <c r="H381" t="s">
        <v>1251</v>
      </c>
      <c r="I381" t="s">
        <v>695</v>
      </c>
      <c r="J381" t="s">
        <v>696</v>
      </c>
      <c r="K381" t="s">
        <v>22</v>
      </c>
      <c r="L381" t="s">
        <v>524</v>
      </c>
      <c r="N381" t="s">
        <v>1336</v>
      </c>
      <c r="O381" t="s">
        <v>1331</v>
      </c>
      <c r="P381" t="s">
        <v>451</v>
      </c>
      <c r="Q381" t="s">
        <v>1268</v>
      </c>
      <c r="R381">
        <v>0</v>
      </c>
      <c r="S381">
        <v>6708930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6708930</v>
      </c>
      <c r="Z381">
        <v>0</v>
      </c>
      <c r="AA381">
        <v>0</v>
      </c>
      <c r="AB381">
        <v>0</v>
      </c>
      <c r="AC381">
        <v>0</v>
      </c>
      <c r="AD381">
        <v>6708930</v>
      </c>
      <c r="AE381">
        <v>0</v>
      </c>
    </row>
    <row r="382" spans="1:31" x14ac:dyDescent="0.2">
      <c r="A382" t="s">
        <v>518</v>
      </c>
      <c r="B382" t="s">
        <v>1245</v>
      </c>
      <c r="C382" t="s">
        <v>1246</v>
      </c>
      <c r="D382" t="s">
        <v>1247</v>
      </c>
      <c r="E382" t="s">
        <v>1248</v>
      </c>
      <c r="F382" t="s">
        <v>1249</v>
      </c>
      <c r="G382" t="s">
        <v>1250</v>
      </c>
      <c r="H382" t="s">
        <v>1251</v>
      </c>
      <c r="I382" t="s">
        <v>695</v>
      </c>
      <c r="J382" t="s">
        <v>696</v>
      </c>
      <c r="K382" t="s">
        <v>22</v>
      </c>
      <c r="L382" t="s">
        <v>524</v>
      </c>
      <c r="N382" t="s">
        <v>1337</v>
      </c>
      <c r="O382" t="s">
        <v>1331</v>
      </c>
      <c r="P382" t="s">
        <v>479</v>
      </c>
      <c r="Q382" t="s">
        <v>1265</v>
      </c>
      <c r="R382">
        <v>0</v>
      </c>
      <c r="S382">
        <v>16291070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16291070</v>
      </c>
      <c r="Z382">
        <v>0</v>
      </c>
      <c r="AA382">
        <v>0</v>
      </c>
      <c r="AB382">
        <v>0</v>
      </c>
      <c r="AC382">
        <v>0</v>
      </c>
      <c r="AD382">
        <v>16291070</v>
      </c>
      <c r="AE382">
        <v>0</v>
      </c>
    </row>
    <row r="383" spans="1:31" x14ac:dyDescent="0.2">
      <c r="A383" t="s">
        <v>518</v>
      </c>
      <c r="B383" t="s">
        <v>1245</v>
      </c>
      <c r="C383" t="s">
        <v>1246</v>
      </c>
      <c r="D383" t="s">
        <v>1247</v>
      </c>
      <c r="E383" t="s">
        <v>1332</v>
      </c>
      <c r="F383" t="s">
        <v>1333</v>
      </c>
      <c r="G383" t="s">
        <v>1250</v>
      </c>
      <c r="H383" t="s">
        <v>1251</v>
      </c>
      <c r="I383" t="s">
        <v>695</v>
      </c>
      <c r="J383" t="s">
        <v>696</v>
      </c>
      <c r="K383" t="s">
        <v>22</v>
      </c>
      <c r="L383" t="s">
        <v>524</v>
      </c>
      <c r="N383" t="s">
        <v>1338</v>
      </c>
      <c r="O383" t="s">
        <v>1335</v>
      </c>
      <c r="P383" t="s">
        <v>417</v>
      </c>
      <c r="Q383" t="s">
        <v>1339</v>
      </c>
      <c r="R383">
        <v>0</v>
      </c>
      <c r="S383">
        <v>190945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190945</v>
      </c>
      <c r="Z383">
        <v>0</v>
      </c>
      <c r="AA383">
        <v>0</v>
      </c>
      <c r="AB383">
        <v>0</v>
      </c>
      <c r="AC383">
        <v>0</v>
      </c>
      <c r="AD383">
        <v>190945</v>
      </c>
      <c r="AE383">
        <v>0</v>
      </c>
    </row>
    <row r="384" spans="1:31" x14ac:dyDescent="0.2">
      <c r="A384" t="s">
        <v>518</v>
      </c>
      <c r="B384" t="s">
        <v>519</v>
      </c>
      <c r="C384" t="s">
        <v>22</v>
      </c>
      <c r="D384" t="s">
        <v>520</v>
      </c>
      <c r="E384" t="s">
        <v>521</v>
      </c>
      <c r="F384" t="s">
        <v>522</v>
      </c>
      <c r="G384" t="s">
        <v>22</v>
      </c>
      <c r="H384" t="s">
        <v>22</v>
      </c>
      <c r="I384" t="s">
        <v>22</v>
      </c>
      <c r="J384" t="s">
        <v>523</v>
      </c>
      <c r="K384" t="s">
        <v>22</v>
      </c>
      <c r="L384" t="s">
        <v>524</v>
      </c>
      <c r="N384" t="s">
        <v>1340</v>
      </c>
      <c r="O384" t="s">
        <v>876</v>
      </c>
      <c r="P384" t="s">
        <v>22</v>
      </c>
      <c r="Q384" t="s">
        <v>527</v>
      </c>
      <c r="R384">
        <v>0</v>
      </c>
      <c r="S384">
        <v>0</v>
      </c>
      <c r="T384">
        <v>0</v>
      </c>
      <c r="U384">
        <v>46485000</v>
      </c>
      <c r="V384">
        <v>0</v>
      </c>
      <c r="W384">
        <v>0</v>
      </c>
      <c r="X384">
        <v>0</v>
      </c>
      <c r="Y384">
        <v>46485000</v>
      </c>
      <c r="Z384">
        <v>46485000</v>
      </c>
      <c r="AA384">
        <v>0</v>
      </c>
      <c r="AB384">
        <v>0</v>
      </c>
      <c r="AC384">
        <v>0</v>
      </c>
      <c r="AD384">
        <v>0</v>
      </c>
      <c r="AE384">
        <v>100</v>
      </c>
    </row>
    <row r="385" spans="1:31" x14ac:dyDescent="0.2">
      <c r="A385" t="s">
        <v>518</v>
      </c>
      <c r="B385" t="s">
        <v>877</v>
      </c>
      <c r="C385" t="s">
        <v>878</v>
      </c>
      <c r="D385" t="s">
        <v>1112</v>
      </c>
      <c r="E385" t="s">
        <v>1341</v>
      </c>
      <c r="F385" t="s">
        <v>1342</v>
      </c>
      <c r="G385" t="s">
        <v>1115</v>
      </c>
      <c r="H385" t="s">
        <v>1116</v>
      </c>
      <c r="I385" t="s">
        <v>1315</v>
      </c>
      <c r="J385" t="s">
        <v>1316</v>
      </c>
      <c r="K385" t="s">
        <v>22</v>
      </c>
      <c r="L385" t="s">
        <v>524</v>
      </c>
      <c r="N385" t="s">
        <v>1343</v>
      </c>
      <c r="O385" t="s">
        <v>1318</v>
      </c>
      <c r="P385" t="s">
        <v>238</v>
      </c>
      <c r="Q385" t="s">
        <v>805</v>
      </c>
      <c r="R385">
        <v>0</v>
      </c>
      <c r="S385">
        <v>0</v>
      </c>
      <c r="T385">
        <v>0</v>
      </c>
      <c r="U385">
        <v>46485000</v>
      </c>
      <c r="V385">
        <v>0</v>
      </c>
      <c r="W385">
        <v>0</v>
      </c>
      <c r="X385">
        <v>0</v>
      </c>
      <c r="Y385">
        <v>46485000</v>
      </c>
      <c r="Z385">
        <v>46485000</v>
      </c>
      <c r="AA385">
        <v>0</v>
      </c>
      <c r="AB385">
        <v>0</v>
      </c>
      <c r="AC385">
        <v>0</v>
      </c>
      <c r="AD385">
        <v>0</v>
      </c>
      <c r="AE385">
        <v>100</v>
      </c>
    </row>
    <row r="386" spans="1:31" x14ac:dyDescent="0.2">
      <c r="A386" t="s">
        <v>518</v>
      </c>
      <c r="B386" t="s">
        <v>519</v>
      </c>
      <c r="C386" t="s">
        <v>22</v>
      </c>
      <c r="D386" t="s">
        <v>520</v>
      </c>
      <c r="E386" t="s">
        <v>521</v>
      </c>
      <c r="F386" t="s">
        <v>522</v>
      </c>
      <c r="G386" t="s">
        <v>22</v>
      </c>
      <c r="H386" t="s">
        <v>22</v>
      </c>
      <c r="I386" t="s">
        <v>22</v>
      </c>
      <c r="J386" t="s">
        <v>523</v>
      </c>
      <c r="K386" t="s">
        <v>22</v>
      </c>
      <c r="L386" t="s">
        <v>524</v>
      </c>
      <c r="N386" t="s">
        <v>1344</v>
      </c>
      <c r="O386" t="s">
        <v>1345</v>
      </c>
      <c r="P386" t="s">
        <v>22</v>
      </c>
      <c r="Q386" t="s">
        <v>527</v>
      </c>
      <c r="R386">
        <v>2202570344</v>
      </c>
      <c r="S386">
        <v>1459110946</v>
      </c>
      <c r="T386">
        <v>52957818</v>
      </c>
      <c r="U386">
        <v>20115000</v>
      </c>
      <c r="V386">
        <v>90415000</v>
      </c>
      <c r="W386">
        <v>0</v>
      </c>
      <c r="X386">
        <v>0</v>
      </c>
      <c r="Y386">
        <v>3538423472</v>
      </c>
      <c r="Z386">
        <v>1935562451</v>
      </c>
      <c r="AA386">
        <v>1931679154.9100001</v>
      </c>
      <c r="AB386">
        <v>747338012</v>
      </c>
      <c r="AC386">
        <v>747338012</v>
      </c>
      <c r="AD386">
        <v>1602861021</v>
      </c>
      <c r="AE386">
        <v>54.7</v>
      </c>
    </row>
    <row r="387" spans="1:31" x14ac:dyDescent="0.2">
      <c r="A387" t="s">
        <v>518</v>
      </c>
      <c r="B387" t="s">
        <v>519</v>
      </c>
      <c r="C387" t="s">
        <v>22</v>
      </c>
      <c r="D387" t="s">
        <v>520</v>
      </c>
      <c r="E387" t="s">
        <v>521</v>
      </c>
      <c r="F387" t="s">
        <v>522</v>
      </c>
      <c r="G387" t="s">
        <v>22</v>
      </c>
      <c r="H387" t="s">
        <v>22</v>
      </c>
      <c r="I387" t="s">
        <v>22</v>
      </c>
      <c r="J387" t="s">
        <v>523</v>
      </c>
      <c r="K387" t="s">
        <v>22</v>
      </c>
      <c r="L387" t="s">
        <v>524</v>
      </c>
      <c r="N387" t="s">
        <v>1346</v>
      </c>
      <c r="O387" t="s">
        <v>1347</v>
      </c>
      <c r="P387" t="s">
        <v>22</v>
      </c>
      <c r="Q387" t="s">
        <v>527</v>
      </c>
      <c r="R387">
        <v>0</v>
      </c>
      <c r="S387">
        <v>12255460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12255460</v>
      </c>
      <c r="Z387">
        <v>0</v>
      </c>
      <c r="AA387">
        <v>0</v>
      </c>
      <c r="AB387">
        <v>0</v>
      </c>
      <c r="AC387">
        <v>0</v>
      </c>
      <c r="AD387">
        <v>12255460</v>
      </c>
      <c r="AE387">
        <v>0</v>
      </c>
    </row>
    <row r="388" spans="1:31" x14ac:dyDescent="0.2">
      <c r="A388" t="s">
        <v>518</v>
      </c>
      <c r="B388" t="s">
        <v>1348</v>
      </c>
      <c r="C388" t="s">
        <v>1349</v>
      </c>
      <c r="D388" t="s">
        <v>1350</v>
      </c>
      <c r="E388" t="s">
        <v>1351</v>
      </c>
      <c r="F388" t="s">
        <v>1352</v>
      </c>
      <c r="G388" t="s">
        <v>1353</v>
      </c>
      <c r="H388" t="s">
        <v>1354</v>
      </c>
      <c r="I388" t="s">
        <v>703</v>
      </c>
      <c r="J388" t="s">
        <v>704</v>
      </c>
      <c r="K388" t="s">
        <v>22</v>
      </c>
      <c r="L388" t="s">
        <v>524</v>
      </c>
      <c r="N388" t="s">
        <v>1355</v>
      </c>
      <c r="O388" t="s">
        <v>1356</v>
      </c>
      <c r="P388" t="s">
        <v>119</v>
      </c>
      <c r="Q388" t="s">
        <v>1357</v>
      </c>
      <c r="R388">
        <v>0</v>
      </c>
      <c r="S388">
        <v>12255460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12255460</v>
      </c>
      <c r="Z388">
        <v>0</v>
      </c>
      <c r="AA388">
        <v>0</v>
      </c>
      <c r="AB388">
        <v>0</v>
      </c>
      <c r="AC388">
        <v>0</v>
      </c>
      <c r="AD388">
        <v>12255460</v>
      </c>
      <c r="AE388">
        <v>0</v>
      </c>
    </row>
    <row r="389" spans="1:31" x14ac:dyDescent="0.2">
      <c r="A389" t="s">
        <v>518</v>
      </c>
      <c r="B389" t="s">
        <v>519</v>
      </c>
      <c r="C389" t="s">
        <v>22</v>
      </c>
      <c r="D389" t="s">
        <v>520</v>
      </c>
      <c r="E389" t="s">
        <v>521</v>
      </c>
      <c r="F389" t="s">
        <v>522</v>
      </c>
      <c r="G389" t="s">
        <v>22</v>
      </c>
      <c r="H389" t="s">
        <v>22</v>
      </c>
      <c r="I389" t="s">
        <v>22</v>
      </c>
      <c r="J389" t="s">
        <v>523</v>
      </c>
      <c r="K389" t="s">
        <v>22</v>
      </c>
      <c r="L389" t="s">
        <v>524</v>
      </c>
      <c r="N389" t="s">
        <v>1358</v>
      </c>
      <c r="O389" t="s">
        <v>865</v>
      </c>
      <c r="P389" t="s">
        <v>22</v>
      </c>
      <c r="Q389" t="s">
        <v>527</v>
      </c>
      <c r="R389">
        <v>80000000</v>
      </c>
      <c r="S389">
        <v>20037110</v>
      </c>
      <c r="T389">
        <v>0</v>
      </c>
      <c r="U389">
        <v>10000000</v>
      </c>
      <c r="V389">
        <v>0</v>
      </c>
      <c r="W389">
        <v>0</v>
      </c>
      <c r="X389">
        <v>0</v>
      </c>
      <c r="Y389">
        <v>110037110</v>
      </c>
      <c r="Z389">
        <v>39189600</v>
      </c>
      <c r="AA389">
        <v>39189600</v>
      </c>
      <c r="AB389">
        <v>8645600</v>
      </c>
      <c r="AC389">
        <v>8645600</v>
      </c>
      <c r="AD389">
        <v>70847510</v>
      </c>
      <c r="AE389">
        <v>35.61</v>
      </c>
    </row>
    <row r="390" spans="1:31" x14ac:dyDescent="0.2">
      <c r="A390" t="s">
        <v>518</v>
      </c>
      <c r="B390" t="s">
        <v>866</v>
      </c>
      <c r="C390" t="s">
        <v>867</v>
      </c>
      <c r="D390" t="s">
        <v>868</v>
      </c>
      <c r="E390" t="s">
        <v>869</v>
      </c>
      <c r="F390" t="s">
        <v>870</v>
      </c>
      <c r="G390" t="s">
        <v>871</v>
      </c>
      <c r="H390" t="s">
        <v>872</v>
      </c>
      <c r="I390" t="s">
        <v>1359</v>
      </c>
      <c r="J390" t="s">
        <v>1360</v>
      </c>
      <c r="K390" t="s">
        <v>22</v>
      </c>
      <c r="L390" t="s">
        <v>524</v>
      </c>
      <c r="N390" t="s">
        <v>1361</v>
      </c>
      <c r="O390" t="s">
        <v>1362</v>
      </c>
      <c r="P390" t="s">
        <v>238</v>
      </c>
      <c r="Q390" t="s">
        <v>805</v>
      </c>
      <c r="R390">
        <v>30000000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30000000</v>
      </c>
      <c r="Z390">
        <v>29189600</v>
      </c>
      <c r="AA390">
        <v>29189600</v>
      </c>
      <c r="AB390">
        <v>8645600</v>
      </c>
      <c r="AC390">
        <v>8645600</v>
      </c>
      <c r="AD390">
        <v>810400</v>
      </c>
      <c r="AE390">
        <v>97.3</v>
      </c>
    </row>
    <row r="391" spans="1:31" x14ac:dyDescent="0.2">
      <c r="A391" t="s">
        <v>518</v>
      </c>
      <c r="B391" t="s">
        <v>866</v>
      </c>
      <c r="C391" t="s">
        <v>867</v>
      </c>
      <c r="D391" t="s">
        <v>1363</v>
      </c>
      <c r="E391" t="s">
        <v>1364</v>
      </c>
      <c r="F391" t="s">
        <v>1365</v>
      </c>
      <c r="G391" t="s">
        <v>1366</v>
      </c>
      <c r="H391" t="s">
        <v>1367</v>
      </c>
      <c r="I391" t="s">
        <v>1359</v>
      </c>
      <c r="J391" t="s">
        <v>1360</v>
      </c>
      <c r="K391" t="s">
        <v>22</v>
      </c>
      <c r="L391" t="s">
        <v>524</v>
      </c>
      <c r="N391" t="s">
        <v>1368</v>
      </c>
      <c r="O391" t="s">
        <v>1369</v>
      </c>
      <c r="P391" t="s">
        <v>238</v>
      </c>
      <c r="Q391" t="s">
        <v>805</v>
      </c>
      <c r="R391">
        <v>50000000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50000000</v>
      </c>
      <c r="Z391">
        <v>0</v>
      </c>
      <c r="AA391">
        <v>0</v>
      </c>
      <c r="AB391">
        <v>0</v>
      </c>
      <c r="AC391">
        <v>0</v>
      </c>
      <c r="AD391">
        <v>50000000</v>
      </c>
      <c r="AE391">
        <v>0</v>
      </c>
    </row>
    <row r="392" spans="1:31" x14ac:dyDescent="0.2">
      <c r="A392" t="s">
        <v>518</v>
      </c>
      <c r="B392" t="s">
        <v>866</v>
      </c>
      <c r="C392" t="s">
        <v>867</v>
      </c>
      <c r="D392" t="s">
        <v>868</v>
      </c>
      <c r="E392" t="s">
        <v>1370</v>
      </c>
      <c r="F392" t="s">
        <v>1371</v>
      </c>
      <c r="G392" t="s">
        <v>871</v>
      </c>
      <c r="H392" t="s">
        <v>872</v>
      </c>
      <c r="I392" t="s">
        <v>1359</v>
      </c>
      <c r="J392" t="s">
        <v>1360</v>
      </c>
      <c r="K392" t="s">
        <v>22</v>
      </c>
      <c r="L392" t="s">
        <v>524</v>
      </c>
      <c r="N392" t="s">
        <v>1372</v>
      </c>
      <c r="O392" t="s">
        <v>1373</v>
      </c>
      <c r="P392" t="s">
        <v>238</v>
      </c>
      <c r="Q392" t="s">
        <v>805</v>
      </c>
      <c r="R392">
        <v>0</v>
      </c>
      <c r="S392">
        <v>0</v>
      </c>
      <c r="T392">
        <v>0</v>
      </c>
      <c r="U392">
        <v>10000000</v>
      </c>
      <c r="V392">
        <v>0</v>
      </c>
      <c r="W392">
        <v>0</v>
      </c>
      <c r="X392">
        <v>0</v>
      </c>
      <c r="Y392">
        <v>10000000</v>
      </c>
      <c r="Z392">
        <v>10000000</v>
      </c>
      <c r="AA392">
        <v>10000000</v>
      </c>
      <c r="AB392">
        <v>0</v>
      </c>
      <c r="AC392">
        <v>0</v>
      </c>
      <c r="AD392">
        <v>0</v>
      </c>
      <c r="AE392">
        <v>100</v>
      </c>
    </row>
    <row r="393" spans="1:31" x14ac:dyDescent="0.2">
      <c r="A393" t="s">
        <v>518</v>
      </c>
      <c r="B393" t="s">
        <v>866</v>
      </c>
      <c r="C393" t="s">
        <v>867</v>
      </c>
      <c r="D393" t="s">
        <v>868</v>
      </c>
      <c r="E393" t="s">
        <v>869</v>
      </c>
      <c r="F393" t="s">
        <v>870</v>
      </c>
      <c r="G393" t="s">
        <v>871</v>
      </c>
      <c r="H393" t="s">
        <v>872</v>
      </c>
      <c r="I393" t="s">
        <v>1359</v>
      </c>
      <c r="J393" t="s">
        <v>1360</v>
      </c>
      <c r="K393" t="s">
        <v>22</v>
      </c>
      <c r="L393" t="s">
        <v>524</v>
      </c>
      <c r="N393" t="s">
        <v>1374</v>
      </c>
      <c r="O393" t="s">
        <v>1362</v>
      </c>
      <c r="P393" t="s">
        <v>487</v>
      </c>
      <c r="Q393" t="s">
        <v>1375</v>
      </c>
      <c r="R393">
        <v>0</v>
      </c>
      <c r="S393">
        <v>32037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32037</v>
      </c>
      <c r="Z393">
        <v>0</v>
      </c>
      <c r="AA393">
        <v>0</v>
      </c>
      <c r="AB393">
        <v>0</v>
      </c>
      <c r="AC393">
        <v>0</v>
      </c>
      <c r="AD393">
        <v>32037</v>
      </c>
      <c r="AE393">
        <v>0</v>
      </c>
    </row>
    <row r="394" spans="1:31" x14ac:dyDescent="0.2">
      <c r="A394" t="s">
        <v>518</v>
      </c>
      <c r="B394" t="s">
        <v>866</v>
      </c>
      <c r="C394" t="s">
        <v>867</v>
      </c>
      <c r="D394" t="s">
        <v>868</v>
      </c>
      <c r="E394" t="s">
        <v>869</v>
      </c>
      <c r="F394" t="s">
        <v>870</v>
      </c>
      <c r="G394" t="s">
        <v>871</v>
      </c>
      <c r="H394" t="s">
        <v>872</v>
      </c>
      <c r="I394" t="s">
        <v>1359</v>
      </c>
      <c r="J394" t="s">
        <v>1360</v>
      </c>
      <c r="K394" t="s">
        <v>22</v>
      </c>
      <c r="L394" t="s">
        <v>524</v>
      </c>
      <c r="N394" t="s">
        <v>1376</v>
      </c>
      <c r="O394" t="s">
        <v>1362</v>
      </c>
      <c r="P394" t="s">
        <v>407</v>
      </c>
      <c r="Q394" t="s">
        <v>1377</v>
      </c>
      <c r="R394">
        <v>0</v>
      </c>
      <c r="S394">
        <v>5073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5073</v>
      </c>
      <c r="Z394">
        <v>0</v>
      </c>
      <c r="AA394">
        <v>0</v>
      </c>
      <c r="AB394">
        <v>0</v>
      </c>
      <c r="AC394">
        <v>0</v>
      </c>
      <c r="AD394">
        <v>5073</v>
      </c>
      <c r="AE394">
        <v>0</v>
      </c>
    </row>
    <row r="395" spans="1:31" x14ac:dyDescent="0.2">
      <c r="A395" t="s">
        <v>518</v>
      </c>
      <c r="B395" t="s">
        <v>866</v>
      </c>
      <c r="C395" t="s">
        <v>867</v>
      </c>
      <c r="D395" t="s">
        <v>1363</v>
      </c>
      <c r="E395" t="s">
        <v>1364</v>
      </c>
      <c r="F395" t="s">
        <v>1365</v>
      </c>
      <c r="G395" t="s">
        <v>1366</v>
      </c>
      <c r="H395" t="s">
        <v>1367</v>
      </c>
      <c r="I395" t="s">
        <v>1359</v>
      </c>
      <c r="J395" t="s">
        <v>1360</v>
      </c>
      <c r="K395" t="s">
        <v>22</v>
      </c>
      <c r="L395" t="s">
        <v>524</v>
      </c>
      <c r="N395" t="s">
        <v>1378</v>
      </c>
      <c r="O395" t="s">
        <v>1369</v>
      </c>
      <c r="P395" t="s">
        <v>483</v>
      </c>
      <c r="Q395" t="s">
        <v>863</v>
      </c>
      <c r="R395">
        <v>0</v>
      </c>
      <c r="S395">
        <v>20000000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20000000</v>
      </c>
      <c r="Z395">
        <v>0</v>
      </c>
      <c r="AA395">
        <v>0</v>
      </c>
      <c r="AB395">
        <v>0</v>
      </c>
      <c r="AC395">
        <v>0</v>
      </c>
      <c r="AD395">
        <v>20000000</v>
      </c>
      <c r="AE395">
        <v>0</v>
      </c>
    </row>
    <row r="396" spans="1:31" x14ac:dyDescent="0.2">
      <c r="A396" t="s">
        <v>518</v>
      </c>
      <c r="B396" t="s">
        <v>519</v>
      </c>
      <c r="C396" t="s">
        <v>22</v>
      </c>
      <c r="D396" t="s">
        <v>520</v>
      </c>
      <c r="E396" t="s">
        <v>521</v>
      </c>
      <c r="F396" t="s">
        <v>522</v>
      </c>
      <c r="G396" t="s">
        <v>22</v>
      </c>
      <c r="H396" t="s">
        <v>22</v>
      </c>
      <c r="I396" t="s">
        <v>22</v>
      </c>
      <c r="J396" t="s">
        <v>523</v>
      </c>
      <c r="K396" t="s">
        <v>22</v>
      </c>
      <c r="L396" t="s">
        <v>524</v>
      </c>
      <c r="N396" t="s">
        <v>1379</v>
      </c>
      <c r="O396" t="s">
        <v>1380</v>
      </c>
      <c r="P396" t="s">
        <v>22</v>
      </c>
      <c r="Q396" t="s">
        <v>527</v>
      </c>
      <c r="R396">
        <v>39745508</v>
      </c>
      <c r="S396">
        <v>618954316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658699824</v>
      </c>
      <c r="Z396">
        <v>658699824</v>
      </c>
      <c r="AA396">
        <v>658699824</v>
      </c>
      <c r="AB396">
        <v>0</v>
      </c>
      <c r="AC396">
        <v>0</v>
      </c>
      <c r="AD396">
        <v>0</v>
      </c>
      <c r="AE396">
        <v>100</v>
      </c>
    </row>
    <row r="397" spans="1:31" x14ac:dyDescent="0.2">
      <c r="A397" t="s">
        <v>518</v>
      </c>
      <c r="B397" t="s">
        <v>1381</v>
      </c>
      <c r="C397" t="s">
        <v>1382</v>
      </c>
      <c r="D397" t="s">
        <v>1383</v>
      </c>
      <c r="E397" t="s">
        <v>1384</v>
      </c>
      <c r="F397" t="s">
        <v>1385</v>
      </c>
      <c r="G397" t="s">
        <v>1386</v>
      </c>
      <c r="H397" t="s">
        <v>1387</v>
      </c>
      <c r="I397" t="s">
        <v>1388</v>
      </c>
      <c r="J397" t="s">
        <v>1389</v>
      </c>
      <c r="K397" t="s">
        <v>22</v>
      </c>
      <c r="L397" t="s">
        <v>524</v>
      </c>
      <c r="N397" t="s">
        <v>1390</v>
      </c>
      <c r="O397" t="s">
        <v>1391</v>
      </c>
      <c r="P397" t="s">
        <v>80</v>
      </c>
      <c r="Q397" t="s">
        <v>1392</v>
      </c>
      <c r="R397">
        <v>39745508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39745508</v>
      </c>
      <c r="Z397">
        <v>39745508</v>
      </c>
      <c r="AA397">
        <v>39745508</v>
      </c>
      <c r="AB397">
        <v>0</v>
      </c>
      <c r="AC397">
        <v>0</v>
      </c>
      <c r="AD397">
        <v>0</v>
      </c>
      <c r="AE397">
        <v>100</v>
      </c>
    </row>
    <row r="398" spans="1:31" x14ac:dyDescent="0.2">
      <c r="A398" t="s">
        <v>518</v>
      </c>
      <c r="B398" t="s">
        <v>1381</v>
      </c>
      <c r="C398" t="s">
        <v>1382</v>
      </c>
      <c r="D398" t="s">
        <v>1383</v>
      </c>
      <c r="E398" t="s">
        <v>1384</v>
      </c>
      <c r="F398" t="s">
        <v>1385</v>
      </c>
      <c r="G398" t="s">
        <v>1386</v>
      </c>
      <c r="H398" t="s">
        <v>1387</v>
      </c>
      <c r="I398" t="s">
        <v>1393</v>
      </c>
      <c r="J398" t="s">
        <v>1394</v>
      </c>
      <c r="K398" t="s">
        <v>22</v>
      </c>
      <c r="L398" t="s">
        <v>524</v>
      </c>
      <c r="N398" t="s">
        <v>1395</v>
      </c>
      <c r="O398" t="s">
        <v>1391</v>
      </c>
      <c r="P398" t="s">
        <v>449</v>
      </c>
      <c r="Q398" t="s">
        <v>1396</v>
      </c>
      <c r="R398">
        <v>0</v>
      </c>
      <c r="S398">
        <v>618954316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618954316</v>
      </c>
      <c r="Z398">
        <v>618954316</v>
      </c>
      <c r="AA398">
        <v>618954316</v>
      </c>
      <c r="AB398">
        <v>0</v>
      </c>
      <c r="AC398">
        <v>0</v>
      </c>
      <c r="AD398">
        <v>0</v>
      </c>
      <c r="AE398">
        <v>100</v>
      </c>
    </row>
    <row r="399" spans="1:31" x14ac:dyDescent="0.2">
      <c r="A399" t="s">
        <v>518</v>
      </c>
      <c r="B399" t="s">
        <v>519</v>
      </c>
      <c r="C399" t="s">
        <v>22</v>
      </c>
      <c r="D399" t="s">
        <v>520</v>
      </c>
      <c r="E399" t="s">
        <v>521</v>
      </c>
      <c r="F399" t="s">
        <v>522</v>
      </c>
      <c r="G399" t="s">
        <v>22</v>
      </c>
      <c r="H399" t="s">
        <v>22</v>
      </c>
      <c r="I399" t="s">
        <v>22</v>
      </c>
      <c r="J399" t="s">
        <v>523</v>
      </c>
      <c r="K399" t="s">
        <v>22</v>
      </c>
      <c r="L399" t="s">
        <v>524</v>
      </c>
      <c r="N399" t="s">
        <v>1397</v>
      </c>
      <c r="O399" t="s">
        <v>1166</v>
      </c>
      <c r="P399" t="s">
        <v>22</v>
      </c>
      <c r="Q399" t="s">
        <v>527</v>
      </c>
      <c r="R399">
        <v>530653125</v>
      </c>
      <c r="S399">
        <v>70000000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600653125</v>
      </c>
      <c r="Z399">
        <v>320670507</v>
      </c>
      <c r="AA399">
        <v>320669625.91000003</v>
      </c>
      <c r="AB399">
        <v>250670507</v>
      </c>
      <c r="AC399">
        <v>250670507</v>
      </c>
      <c r="AD399">
        <v>279982618</v>
      </c>
      <c r="AE399">
        <v>53.39</v>
      </c>
    </row>
    <row r="400" spans="1:31" x14ac:dyDescent="0.2">
      <c r="A400" t="s">
        <v>518</v>
      </c>
      <c r="B400" t="s">
        <v>1147</v>
      </c>
      <c r="C400" t="s">
        <v>1148</v>
      </c>
      <c r="D400" t="s">
        <v>1149</v>
      </c>
      <c r="E400" t="s">
        <v>1398</v>
      </c>
      <c r="F400" t="s">
        <v>1399</v>
      </c>
      <c r="G400" t="s">
        <v>1152</v>
      </c>
      <c r="H400" t="s">
        <v>1153</v>
      </c>
      <c r="I400" t="s">
        <v>1295</v>
      </c>
      <c r="J400" t="s">
        <v>1296</v>
      </c>
      <c r="K400" t="s">
        <v>22</v>
      </c>
      <c r="L400" t="s">
        <v>524</v>
      </c>
      <c r="N400" t="s">
        <v>1400</v>
      </c>
      <c r="O400" t="s">
        <v>1401</v>
      </c>
      <c r="P400" t="s">
        <v>211</v>
      </c>
      <c r="Q400" t="s">
        <v>1402</v>
      </c>
      <c r="R400">
        <v>450553125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450553125</v>
      </c>
      <c r="Z400">
        <v>218684835</v>
      </c>
      <c r="AA400">
        <v>218684835</v>
      </c>
      <c r="AB400">
        <v>218684835</v>
      </c>
      <c r="AC400">
        <v>218684835</v>
      </c>
      <c r="AD400">
        <v>231868290</v>
      </c>
      <c r="AE400">
        <v>48.54</v>
      </c>
    </row>
    <row r="401" spans="1:31" x14ac:dyDescent="0.2">
      <c r="A401" t="s">
        <v>518</v>
      </c>
      <c r="B401" t="s">
        <v>1147</v>
      </c>
      <c r="C401" t="s">
        <v>1148</v>
      </c>
      <c r="D401" t="s">
        <v>1149</v>
      </c>
      <c r="E401" t="s">
        <v>1398</v>
      </c>
      <c r="F401" t="s">
        <v>1399</v>
      </c>
      <c r="G401" t="s">
        <v>1152</v>
      </c>
      <c r="H401" t="s">
        <v>1153</v>
      </c>
      <c r="I401" t="s">
        <v>1295</v>
      </c>
      <c r="J401" t="s">
        <v>1296</v>
      </c>
      <c r="K401" t="s">
        <v>22</v>
      </c>
      <c r="L401" t="s">
        <v>524</v>
      </c>
      <c r="N401" t="s">
        <v>1400</v>
      </c>
      <c r="O401" t="s">
        <v>1403</v>
      </c>
      <c r="P401" t="s">
        <v>207</v>
      </c>
      <c r="Q401" t="s">
        <v>1290</v>
      </c>
      <c r="R401">
        <v>80000000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80000000</v>
      </c>
      <c r="Z401">
        <v>31985672</v>
      </c>
      <c r="AA401">
        <v>31985672</v>
      </c>
      <c r="AB401">
        <v>31985672</v>
      </c>
      <c r="AC401">
        <v>31985672</v>
      </c>
      <c r="AD401">
        <v>48014328</v>
      </c>
      <c r="AE401">
        <v>39.979999999999997</v>
      </c>
    </row>
    <row r="402" spans="1:31" x14ac:dyDescent="0.2">
      <c r="A402" t="s">
        <v>518</v>
      </c>
      <c r="B402" t="s">
        <v>1147</v>
      </c>
      <c r="C402" t="s">
        <v>1148</v>
      </c>
      <c r="D402" t="s">
        <v>1149</v>
      </c>
      <c r="E402" t="s">
        <v>1398</v>
      </c>
      <c r="F402" t="s">
        <v>1399</v>
      </c>
      <c r="G402" t="s">
        <v>1152</v>
      </c>
      <c r="H402" t="s">
        <v>1153</v>
      </c>
      <c r="I402" t="s">
        <v>1295</v>
      </c>
      <c r="J402" t="s">
        <v>1296</v>
      </c>
      <c r="K402" t="s">
        <v>22</v>
      </c>
      <c r="L402" t="s">
        <v>524</v>
      </c>
      <c r="N402" t="s">
        <v>1404</v>
      </c>
      <c r="O402" t="s">
        <v>1403</v>
      </c>
      <c r="P402" t="s">
        <v>317</v>
      </c>
      <c r="Q402" t="s">
        <v>1405</v>
      </c>
      <c r="R402">
        <v>100000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100000</v>
      </c>
      <c r="Z402">
        <v>0</v>
      </c>
      <c r="AA402">
        <v>0</v>
      </c>
      <c r="AB402">
        <v>0</v>
      </c>
      <c r="AC402">
        <v>0</v>
      </c>
      <c r="AD402">
        <v>100000</v>
      </c>
      <c r="AE402">
        <v>0</v>
      </c>
    </row>
    <row r="403" spans="1:31" x14ac:dyDescent="0.2">
      <c r="A403" t="s">
        <v>518</v>
      </c>
      <c r="B403" t="s">
        <v>1147</v>
      </c>
      <c r="C403" t="s">
        <v>1148</v>
      </c>
      <c r="D403" t="s">
        <v>1149</v>
      </c>
      <c r="E403" t="s">
        <v>1406</v>
      </c>
      <c r="F403" t="s">
        <v>1407</v>
      </c>
      <c r="G403" t="s">
        <v>1152</v>
      </c>
      <c r="H403" t="s">
        <v>1153</v>
      </c>
      <c r="I403" t="s">
        <v>1295</v>
      </c>
      <c r="J403" t="s">
        <v>1296</v>
      </c>
      <c r="K403" t="s">
        <v>22</v>
      </c>
      <c r="L403" t="s">
        <v>524</v>
      </c>
      <c r="N403" t="s">
        <v>1408</v>
      </c>
      <c r="O403" t="s">
        <v>1409</v>
      </c>
      <c r="P403" t="s">
        <v>483</v>
      </c>
      <c r="Q403" t="s">
        <v>863</v>
      </c>
      <c r="R403">
        <v>0</v>
      </c>
      <c r="S403">
        <v>70000000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70000000</v>
      </c>
      <c r="Z403">
        <v>70000000</v>
      </c>
      <c r="AA403">
        <v>69999118.909999996</v>
      </c>
      <c r="AB403">
        <v>0</v>
      </c>
      <c r="AC403">
        <v>0</v>
      </c>
      <c r="AD403">
        <v>0</v>
      </c>
      <c r="AE403">
        <v>100</v>
      </c>
    </row>
    <row r="404" spans="1:31" x14ac:dyDescent="0.2">
      <c r="A404" t="s">
        <v>518</v>
      </c>
      <c r="B404" t="s">
        <v>519</v>
      </c>
      <c r="C404" t="s">
        <v>22</v>
      </c>
      <c r="D404" t="s">
        <v>520</v>
      </c>
      <c r="E404" t="s">
        <v>521</v>
      </c>
      <c r="F404" t="s">
        <v>522</v>
      </c>
      <c r="G404" t="s">
        <v>22</v>
      </c>
      <c r="H404" t="s">
        <v>22</v>
      </c>
      <c r="I404" t="s">
        <v>22</v>
      </c>
      <c r="J404" t="s">
        <v>523</v>
      </c>
      <c r="K404" t="s">
        <v>22</v>
      </c>
      <c r="L404" t="s">
        <v>524</v>
      </c>
      <c r="N404" t="s">
        <v>1410</v>
      </c>
      <c r="O404" t="s">
        <v>1411</v>
      </c>
      <c r="P404" t="s">
        <v>22</v>
      </c>
      <c r="Q404" t="s">
        <v>527</v>
      </c>
      <c r="R404">
        <v>545213029</v>
      </c>
      <c r="S404">
        <v>123787449</v>
      </c>
      <c r="T404">
        <v>44640861</v>
      </c>
      <c r="U404">
        <v>10115000</v>
      </c>
      <c r="V404">
        <v>10115000</v>
      </c>
      <c r="W404">
        <v>0</v>
      </c>
      <c r="X404">
        <v>0</v>
      </c>
      <c r="Y404">
        <v>624359617</v>
      </c>
      <c r="Z404">
        <v>171658415</v>
      </c>
      <c r="AA404">
        <v>169916000</v>
      </c>
      <c r="AB404">
        <v>85295000</v>
      </c>
      <c r="AC404">
        <v>85295000</v>
      </c>
      <c r="AD404">
        <v>452701202</v>
      </c>
      <c r="AE404">
        <v>27.49</v>
      </c>
    </row>
    <row r="405" spans="1:31" x14ac:dyDescent="0.2">
      <c r="A405" t="s">
        <v>518</v>
      </c>
      <c r="B405" t="s">
        <v>1412</v>
      </c>
      <c r="C405" t="s">
        <v>1413</v>
      </c>
      <c r="D405" t="s">
        <v>1414</v>
      </c>
      <c r="E405" t="s">
        <v>1415</v>
      </c>
      <c r="F405" t="s">
        <v>1416</v>
      </c>
      <c r="G405" t="s">
        <v>1417</v>
      </c>
      <c r="H405" t="s">
        <v>1418</v>
      </c>
      <c r="I405" t="s">
        <v>1419</v>
      </c>
      <c r="J405" t="s">
        <v>1420</v>
      </c>
      <c r="K405" t="s">
        <v>22</v>
      </c>
      <c r="L405" t="s">
        <v>524</v>
      </c>
      <c r="N405" t="s">
        <v>1421</v>
      </c>
      <c r="O405" t="s">
        <v>1422</v>
      </c>
      <c r="P405" t="s">
        <v>242</v>
      </c>
      <c r="Q405" t="s">
        <v>541</v>
      </c>
      <c r="R405">
        <v>11160401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11160401</v>
      </c>
      <c r="Z405">
        <v>11160401</v>
      </c>
      <c r="AA405">
        <v>11160401</v>
      </c>
      <c r="AB405">
        <v>7696000</v>
      </c>
      <c r="AC405">
        <v>7696000</v>
      </c>
      <c r="AD405">
        <v>0</v>
      </c>
      <c r="AE405">
        <v>100</v>
      </c>
    </row>
    <row r="406" spans="1:31" x14ac:dyDescent="0.2">
      <c r="A406" t="s">
        <v>518</v>
      </c>
      <c r="B406" t="s">
        <v>1412</v>
      </c>
      <c r="C406" t="s">
        <v>1413</v>
      </c>
      <c r="D406" t="s">
        <v>1414</v>
      </c>
      <c r="E406" t="s">
        <v>1415</v>
      </c>
      <c r="F406" t="s">
        <v>1416</v>
      </c>
      <c r="G406" t="s">
        <v>1417</v>
      </c>
      <c r="H406" t="s">
        <v>1418</v>
      </c>
      <c r="I406" t="s">
        <v>1419</v>
      </c>
      <c r="J406" t="s">
        <v>1420</v>
      </c>
      <c r="K406" t="s">
        <v>22</v>
      </c>
      <c r="L406" t="s">
        <v>524</v>
      </c>
      <c r="N406" t="s">
        <v>1423</v>
      </c>
      <c r="O406" t="s">
        <v>1424</v>
      </c>
      <c r="P406" t="s">
        <v>234</v>
      </c>
      <c r="Q406" t="s">
        <v>1425</v>
      </c>
      <c r="R406">
        <v>32839599</v>
      </c>
      <c r="S406">
        <v>0</v>
      </c>
      <c r="T406">
        <v>0</v>
      </c>
      <c r="U406">
        <v>10115000</v>
      </c>
      <c r="V406">
        <v>0</v>
      </c>
      <c r="W406">
        <v>0</v>
      </c>
      <c r="X406">
        <v>0</v>
      </c>
      <c r="Y406">
        <v>42954599</v>
      </c>
      <c r="Z406">
        <v>42954599</v>
      </c>
      <c r="AA406">
        <v>42954599</v>
      </c>
      <c r="AB406">
        <v>10125000</v>
      </c>
      <c r="AC406">
        <v>10125000</v>
      </c>
      <c r="AD406">
        <v>0</v>
      </c>
      <c r="AE406">
        <v>100</v>
      </c>
    </row>
    <row r="407" spans="1:31" x14ac:dyDescent="0.2">
      <c r="A407" t="s">
        <v>518</v>
      </c>
      <c r="B407" t="s">
        <v>1412</v>
      </c>
      <c r="C407" t="s">
        <v>1413</v>
      </c>
      <c r="D407" t="s">
        <v>1414</v>
      </c>
      <c r="E407" t="s">
        <v>1426</v>
      </c>
      <c r="F407" t="s">
        <v>1427</v>
      </c>
      <c r="G407" t="s">
        <v>1417</v>
      </c>
      <c r="H407" t="s">
        <v>1418</v>
      </c>
      <c r="I407" t="s">
        <v>1428</v>
      </c>
      <c r="J407" t="s">
        <v>1429</v>
      </c>
      <c r="K407" t="s">
        <v>22</v>
      </c>
      <c r="L407" t="s">
        <v>524</v>
      </c>
      <c r="N407" t="s">
        <v>1430</v>
      </c>
      <c r="O407" t="s">
        <v>1431</v>
      </c>
      <c r="P407" t="s">
        <v>234</v>
      </c>
      <c r="Q407" t="s">
        <v>1425</v>
      </c>
      <c r="R407">
        <v>54000000</v>
      </c>
      <c r="S407">
        <v>0</v>
      </c>
      <c r="T407">
        <v>8673761</v>
      </c>
      <c r="U407">
        <v>0</v>
      </c>
      <c r="V407">
        <v>0</v>
      </c>
      <c r="W407">
        <v>0</v>
      </c>
      <c r="X407">
        <v>0</v>
      </c>
      <c r="Y407">
        <v>45326239</v>
      </c>
      <c r="Z407">
        <v>33705000</v>
      </c>
      <c r="AA407">
        <v>33705000</v>
      </c>
      <c r="AB407">
        <v>24717000</v>
      </c>
      <c r="AC407">
        <v>24717000</v>
      </c>
      <c r="AD407">
        <v>11621239</v>
      </c>
      <c r="AE407">
        <v>74.36</v>
      </c>
    </row>
    <row r="408" spans="1:31" x14ac:dyDescent="0.2">
      <c r="A408" t="s">
        <v>518</v>
      </c>
      <c r="B408" t="s">
        <v>1412</v>
      </c>
      <c r="C408" t="s">
        <v>1413</v>
      </c>
      <c r="D408" t="s">
        <v>1414</v>
      </c>
      <c r="E408" t="s">
        <v>1432</v>
      </c>
      <c r="F408" t="s">
        <v>1433</v>
      </c>
      <c r="G408" t="s">
        <v>1417</v>
      </c>
      <c r="H408" t="s">
        <v>1418</v>
      </c>
      <c r="I408" t="s">
        <v>1434</v>
      </c>
      <c r="J408" t="s">
        <v>1435</v>
      </c>
      <c r="K408" t="s">
        <v>22</v>
      </c>
      <c r="L408" t="s">
        <v>524</v>
      </c>
      <c r="N408" t="s">
        <v>1436</v>
      </c>
      <c r="O408" t="s">
        <v>1437</v>
      </c>
      <c r="P408" t="s">
        <v>234</v>
      </c>
      <c r="Q408" t="s">
        <v>1425</v>
      </c>
      <c r="R408">
        <v>46082100</v>
      </c>
      <c r="S408">
        <v>0</v>
      </c>
      <c r="T408">
        <v>35967100</v>
      </c>
      <c r="U408">
        <v>0</v>
      </c>
      <c r="V408">
        <v>10115000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</row>
    <row r="409" spans="1:31" x14ac:dyDescent="0.2">
      <c r="A409" t="s">
        <v>518</v>
      </c>
      <c r="B409" t="s">
        <v>1412</v>
      </c>
      <c r="C409" t="s">
        <v>1413</v>
      </c>
      <c r="D409" t="s">
        <v>1414</v>
      </c>
      <c r="E409" t="s">
        <v>1432</v>
      </c>
      <c r="F409" t="s">
        <v>1433</v>
      </c>
      <c r="G409" t="s">
        <v>1417</v>
      </c>
      <c r="H409" t="s">
        <v>1418</v>
      </c>
      <c r="I409" t="s">
        <v>1434</v>
      </c>
      <c r="J409" t="s">
        <v>1435</v>
      </c>
      <c r="K409" t="s">
        <v>22</v>
      </c>
      <c r="L409" t="s">
        <v>524</v>
      </c>
      <c r="N409" t="s">
        <v>1436</v>
      </c>
      <c r="O409" t="s">
        <v>1437</v>
      </c>
      <c r="P409" t="s">
        <v>270</v>
      </c>
      <c r="Q409" t="s">
        <v>1438</v>
      </c>
      <c r="R409">
        <v>0</v>
      </c>
      <c r="S409">
        <v>11506000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11506000</v>
      </c>
      <c r="Z409">
        <v>0</v>
      </c>
      <c r="AA409">
        <v>0</v>
      </c>
      <c r="AB409">
        <v>0</v>
      </c>
      <c r="AC409">
        <v>0</v>
      </c>
      <c r="AD409">
        <v>11506000</v>
      </c>
      <c r="AE409">
        <v>0</v>
      </c>
    </row>
    <row r="410" spans="1:31" x14ac:dyDescent="0.2">
      <c r="A410" t="s">
        <v>518</v>
      </c>
      <c r="B410" t="s">
        <v>1412</v>
      </c>
      <c r="C410" t="s">
        <v>1413</v>
      </c>
      <c r="D410" t="s">
        <v>1414</v>
      </c>
      <c r="E410" t="s">
        <v>1432</v>
      </c>
      <c r="F410" t="s">
        <v>1433</v>
      </c>
      <c r="G410" t="s">
        <v>1417</v>
      </c>
      <c r="H410" t="s">
        <v>1418</v>
      </c>
      <c r="I410" t="s">
        <v>1434</v>
      </c>
      <c r="J410" t="s">
        <v>1435</v>
      </c>
      <c r="K410" t="s">
        <v>22</v>
      </c>
      <c r="L410" t="s">
        <v>524</v>
      </c>
      <c r="N410" t="s">
        <v>1439</v>
      </c>
      <c r="O410" t="s">
        <v>1437</v>
      </c>
      <c r="P410" t="s">
        <v>98</v>
      </c>
      <c r="Q410" t="s">
        <v>764</v>
      </c>
      <c r="R410">
        <v>40930929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40930929</v>
      </c>
      <c r="Z410">
        <v>24200000</v>
      </c>
      <c r="AA410">
        <v>24200000</v>
      </c>
      <c r="AB410">
        <v>8800000</v>
      </c>
      <c r="AC410">
        <v>8800000</v>
      </c>
      <c r="AD410">
        <v>16730929</v>
      </c>
      <c r="AE410">
        <v>59.12</v>
      </c>
    </row>
    <row r="411" spans="1:31" x14ac:dyDescent="0.2">
      <c r="A411" t="s">
        <v>518</v>
      </c>
      <c r="B411" t="s">
        <v>1412</v>
      </c>
      <c r="C411" t="s">
        <v>1413</v>
      </c>
      <c r="D411" t="s">
        <v>1414</v>
      </c>
      <c r="E411" t="s">
        <v>1432</v>
      </c>
      <c r="F411" t="s">
        <v>1433</v>
      </c>
      <c r="G411" t="s">
        <v>1417</v>
      </c>
      <c r="H411" t="s">
        <v>1418</v>
      </c>
      <c r="I411" t="s">
        <v>1434</v>
      </c>
      <c r="J411" t="s">
        <v>1435</v>
      </c>
      <c r="K411" t="s">
        <v>22</v>
      </c>
      <c r="L411" t="s">
        <v>524</v>
      </c>
      <c r="N411" t="s">
        <v>1440</v>
      </c>
      <c r="O411" t="s">
        <v>1437</v>
      </c>
      <c r="P411" t="s">
        <v>238</v>
      </c>
      <c r="Q411" t="s">
        <v>805</v>
      </c>
      <c r="R411">
        <v>360000000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360000000</v>
      </c>
      <c r="Z411">
        <v>36525000</v>
      </c>
      <c r="AA411">
        <v>36525000</v>
      </c>
      <c r="AB411">
        <v>33957000</v>
      </c>
      <c r="AC411">
        <v>33957000</v>
      </c>
      <c r="AD411">
        <v>323475000</v>
      </c>
      <c r="AE411">
        <v>10.15</v>
      </c>
    </row>
    <row r="412" spans="1:31" x14ac:dyDescent="0.2">
      <c r="A412" t="s">
        <v>518</v>
      </c>
      <c r="B412" t="s">
        <v>1412</v>
      </c>
      <c r="C412" t="s">
        <v>1413</v>
      </c>
      <c r="D412" t="s">
        <v>1414</v>
      </c>
      <c r="E412" t="s">
        <v>1432</v>
      </c>
      <c r="F412" t="s">
        <v>1433</v>
      </c>
      <c r="G412" t="s">
        <v>1417</v>
      </c>
      <c r="H412" t="s">
        <v>1418</v>
      </c>
      <c r="I412" t="s">
        <v>1434</v>
      </c>
      <c r="J412" t="s">
        <v>1435</v>
      </c>
      <c r="K412" t="s">
        <v>22</v>
      </c>
      <c r="L412" t="s">
        <v>524</v>
      </c>
      <c r="N412" t="s">
        <v>1441</v>
      </c>
      <c r="O412" t="s">
        <v>1437</v>
      </c>
      <c r="P412" t="s">
        <v>346</v>
      </c>
      <c r="Q412" t="s">
        <v>1442</v>
      </c>
      <c r="R412">
        <v>100000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100000</v>
      </c>
      <c r="Z412">
        <v>0</v>
      </c>
      <c r="AA412">
        <v>0</v>
      </c>
      <c r="AB412">
        <v>0</v>
      </c>
      <c r="AC412">
        <v>0</v>
      </c>
      <c r="AD412">
        <v>100000</v>
      </c>
      <c r="AE412">
        <v>0</v>
      </c>
    </row>
    <row r="413" spans="1:31" x14ac:dyDescent="0.2">
      <c r="A413" t="s">
        <v>518</v>
      </c>
      <c r="B413" t="s">
        <v>1412</v>
      </c>
      <c r="C413" t="s">
        <v>1413</v>
      </c>
      <c r="D413" t="s">
        <v>1414</v>
      </c>
      <c r="E413" t="s">
        <v>1432</v>
      </c>
      <c r="F413" t="s">
        <v>1433</v>
      </c>
      <c r="G413" t="s">
        <v>1417</v>
      </c>
      <c r="H413" t="s">
        <v>1418</v>
      </c>
      <c r="I413" t="s">
        <v>1434</v>
      </c>
      <c r="J413" t="s">
        <v>1435</v>
      </c>
      <c r="K413" t="s">
        <v>22</v>
      </c>
      <c r="L413" t="s">
        <v>524</v>
      </c>
      <c r="N413" t="s">
        <v>1443</v>
      </c>
      <c r="O413" t="s">
        <v>1437</v>
      </c>
      <c r="P413" t="s">
        <v>329</v>
      </c>
      <c r="Q413" t="s">
        <v>1444</v>
      </c>
      <c r="R413">
        <v>100000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100000</v>
      </c>
      <c r="Z413">
        <v>0</v>
      </c>
      <c r="AA413">
        <v>0</v>
      </c>
      <c r="AB413">
        <v>0</v>
      </c>
      <c r="AC413">
        <v>0</v>
      </c>
      <c r="AD413">
        <v>100000</v>
      </c>
      <c r="AE413">
        <v>0</v>
      </c>
    </row>
    <row r="414" spans="1:31" x14ac:dyDescent="0.2">
      <c r="A414" t="s">
        <v>518</v>
      </c>
      <c r="B414" t="s">
        <v>1412</v>
      </c>
      <c r="C414" t="s">
        <v>1413</v>
      </c>
      <c r="D414" t="s">
        <v>1414</v>
      </c>
      <c r="E414" t="s">
        <v>1415</v>
      </c>
      <c r="F414" t="s">
        <v>1416</v>
      </c>
      <c r="G414" t="s">
        <v>1417</v>
      </c>
      <c r="H414" t="s">
        <v>1418</v>
      </c>
      <c r="I414" t="s">
        <v>1419</v>
      </c>
      <c r="J414" t="s">
        <v>1420</v>
      </c>
      <c r="K414" t="s">
        <v>22</v>
      </c>
      <c r="L414" t="s">
        <v>524</v>
      </c>
      <c r="N414" t="s">
        <v>1445</v>
      </c>
      <c r="O414" t="s">
        <v>1446</v>
      </c>
      <c r="P414" t="s">
        <v>459</v>
      </c>
      <c r="Q414" t="s">
        <v>766</v>
      </c>
      <c r="R414">
        <v>0</v>
      </c>
      <c r="S414">
        <v>1878659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1878659</v>
      </c>
      <c r="Z414">
        <v>0</v>
      </c>
      <c r="AA414">
        <v>0</v>
      </c>
      <c r="AB414">
        <v>0</v>
      </c>
      <c r="AC414">
        <v>0</v>
      </c>
      <c r="AD414">
        <v>1878659</v>
      </c>
      <c r="AE414">
        <v>0</v>
      </c>
    </row>
    <row r="415" spans="1:31" x14ac:dyDescent="0.2">
      <c r="A415" t="s">
        <v>518</v>
      </c>
      <c r="B415" t="s">
        <v>1412</v>
      </c>
      <c r="C415" t="s">
        <v>1413</v>
      </c>
      <c r="D415" t="s">
        <v>1414</v>
      </c>
      <c r="E415" t="s">
        <v>1426</v>
      </c>
      <c r="F415" t="s">
        <v>1427</v>
      </c>
      <c r="G415" t="s">
        <v>1417</v>
      </c>
      <c r="H415" t="s">
        <v>1418</v>
      </c>
      <c r="I415" t="s">
        <v>1428</v>
      </c>
      <c r="J415" t="s">
        <v>1429</v>
      </c>
      <c r="K415" t="s">
        <v>22</v>
      </c>
      <c r="L415" t="s">
        <v>524</v>
      </c>
      <c r="N415" t="s">
        <v>1447</v>
      </c>
      <c r="O415" t="s">
        <v>1431</v>
      </c>
      <c r="P415" t="s">
        <v>481</v>
      </c>
      <c r="Q415" t="s">
        <v>1448</v>
      </c>
      <c r="R415">
        <v>0</v>
      </c>
      <c r="S415">
        <v>8673761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8673761</v>
      </c>
      <c r="Z415">
        <v>0</v>
      </c>
      <c r="AA415">
        <v>0</v>
      </c>
      <c r="AB415">
        <v>0</v>
      </c>
      <c r="AC415">
        <v>0</v>
      </c>
      <c r="AD415">
        <v>8673761</v>
      </c>
      <c r="AE415">
        <v>0</v>
      </c>
    </row>
    <row r="416" spans="1:31" x14ac:dyDescent="0.2">
      <c r="A416" t="s">
        <v>518</v>
      </c>
      <c r="B416" t="s">
        <v>1412</v>
      </c>
      <c r="C416" t="s">
        <v>1413</v>
      </c>
      <c r="D416" t="s">
        <v>1414</v>
      </c>
      <c r="E416" t="s">
        <v>1432</v>
      </c>
      <c r="F416" t="s">
        <v>1433</v>
      </c>
      <c r="G416" t="s">
        <v>1417</v>
      </c>
      <c r="H416" t="s">
        <v>1418</v>
      </c>
      <c r="I416" t="s">
        <v>1434</v>
      </c>
      <c r="J416" t="s">
        <v>1435</v>
      </c>
      <c r="K416" t="s">
        <v>22</v>
      </c>
      <c r="L416" t="s">
        <v>524</v>
      </c>
      <c r="N416" t="s">
        <v>1449</v>
      </c>
      <c r="O416" t="s">
        <v>1437</v>
      </c>
      <c r="P416" t="s">
        <v>459</v>
      </c>
      <c r="Q416" t="s">
        <v>766</v>
      </c>
      <c r="R416">
        <v>0</v>
      </c>
      <c r="S416">
        <v>31895293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31895293</v>
      </c>
      <c r="Z416">
        <v>23113415</v>
      </c>
      <c r="AA416">
        <v>21371000</v>
      </c>
      <c r="AB416">
        <v>0</v>
      </c>
      <c r="AC416">
        <v>0</v>
      </c>
      <c r="AD416">
        <v>8781878</v>
      </c>
      <c r="AE416">
        <v>72.47</v>
      </c>
    </row>
    <row r="417" spans="1:31" x14ac:dyDescent="0.2">
      <c r="A417" t="s">
        <v>518</v>
      </c>
      <c r="B417" t="s">
        <v>1412</v>
      </c>
      <c r="C417" t="s">
        <v>1413</v>
      </c>
      <c r="D417" t="s">
        <v>1414</v>
      </c>
      <c r="E417" t="s">
        <v>1432</v>
      </c>
      <c r="F417" t="s">
        <v>1433</v>
      </c>
      <c r="G417" t="s">
        <v>1417</v>
      </c>
      <c r="H417" t="s">
        <v>1418</v>
      </c>
      <c r="I417" t="s">
        <v>1434</v>
      </c>
      <c r="J417" t="s">
        <v>1435</v>
      </c>
      <c r="K417" t="s">
        <v>22</v>
      </c>
      <c r="L417" t="s">
        <v>524</v>
      </c>
      <c r="N417" t="s">
        <v>1450</v>
      </c>
      <c r="O417" t="s">
        <v>1437</v>
      </c>
      <c r="P417" t="s">
        <v>481</v>
      </c>
      <c r="Q417" t="s">
        <v>1448</v>
      </c>
      <c r="R417">
        <v>0</v>
      </c>
      <c r="S417">
        <v>19833736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19833736</v>
      </c>
      <c r="Z417">
        <v>0</v>
      </c>
      <c r="AA417">
        <v>0</v>
      </c>
      <c r="AB417">
        <v>0</v>
      </c>
      <c r="AC417">
        <v>0</v>
      </c>
      <c r="AD417">
        <v>19833736</v>
      </c>
      <c r="AE417">
        <v>0</v>
      </c>
    </row>
    <row r="418" spans="1:31" x14ac:dyDescent="0.2">
      <c r="A418" t="s">
        <v>518</v>
      </c>
      <c r="B418" t="s">
        <v>1412</v>
      </c>
      <c r="C418" t="s">
        <v>1413</v>
      </c>
      <c r="D418" t="s">
        <v>1414</v>
      </c>
      <c r="E418" t="s">
        <v>1432</v>
      </c>
      <c r="F418" t="s">
        <v>1433</v>
      </c>
      <c r="G418" t="s">
        <v>1417</v>
      </c>
      <c r="H418" t="s">
        <v>1418</v>
      </c>
      <c r="I418" t="s">
        <v>1434</v>
      </c>
      <c r="J418" t="s">
        <v>1435</v>
      </c>
      <c r="K418" t="s">
        <v>22</v>
      </c>
      <c r="L418" t="s">
        <v>524</v>
      </c>
      <c r="N418" t="s">
        <v>1451</v>
      </c>
      <c r="O418" t="s">
        <v>1437</v>
      </c>
      <c r="P418" t="s">
        <v>483</v>
      </c>
      <c r="Q418" t="s">
        <v>863</v>
      </c>
      <c r="R418">
        <v>0</v>
      </c>
      <c r="S418">
        <v>50000000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50000000</v>
      </c>
      <c r="Z418">
        <v>0</v>
      </c>
      <c r="AA418">
        <v>0</v>
      </c>
      <c r="AB418">
        <v>0</v>
      </c>
      <c r="AC418">
        <v>0</v>
      </c>
      <c r="AD418">
        <v>50000000</v>
      </c>
      <c r="AE418">
        <v>0</v>
      </c>
    </row>
    <row r="419" spans="1:31" x14ac:dyDescent="0.2">
      <c r="A419" t="s">
        <v>518</v>
      </c>
      <c r="B419" t="s">
        <v>519</v>
      </c>
      <c r="C419" t="s">
        <v>22</v>
      </c>
      <c r="D419" t="s">
        <v>520</v>
      </c>
      <c r="E419" t="s">
        <v>521</v>
      </c>
      <c r="F419" t="s">
        <v>522</v>
      </c>
      <c r="G419" t="s">
        <v>22</v>
      </c>
      <c r="H419" t="s">
        <v>22</v>
      </c>
      <c r="I419" t="s">
        <v>22</v>
      </c>
      <c r="J419" t="s">
        <v>523</v>
      </c>
      <c r="K419" t="s">
        <v>22</v>
      </c>
      <c r="L419" t="s">
        <v>524</v>
      </c>
      <c r="N419" t="s">
        <v>1452</v>
      </c>
      <c r="O419" t="s">
        <v>1453</v>
      </c>
      <c r="P419" t="s">
        <v>22</v>
      </c>
      <c r="Q419" t="s">
        <v>527</v>
      </c>
      <c r="R419">
        <v>71000000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71000000</v>
      </c>
      <c r="Z419">
        <v>69693000</v>
      </c>
      <c r="AA419">
        <v>69693000</v>
      </c>
      <c r="AB419">
        <v>29469000</v>
      </c>
      <c r="AC419">
        <v>29469000</v>
      </c>
      <c r="AD419">
        <v>1307000</v>
      </c>
      <c r="AE419">
        <v>98.16</v>
      </c>
    </row>
    <row r="420" spans="1:31" x14ac:dyDescent="0.2">
      <c r="A420" t="s">
        <v>518</v>
      </c>
      <c r="B420" t="s">
        <v>1454</v>
      </c>
      <c r="C420" t="s">
        <v>1455</v>
      </c>
      <c r="D420" t="s">
        <v>1456</v>
      </c>
      <c r="E420" t="s">
        <v>1457</v>
      </c>
      <c r="F420" t="s">
        <v>1458</v>
      </c>
      <c r="G420" t="s">
        <v>1459</v>
      </c>
      <c r="H420" t="s">
        <v>1460</v>
      </c>
      <c r="I420" t="s">
        <v>1461</v>
      </c>
      <c r="J420" t="s">
        <v>1462</v>
      </c>
      <c r="K420" t="s">
        <v>22</v>
      </c>
      <c r="L420" t="s">
        <v>524</v>
      </c>
      <c r="N420" t="s">
        <v>1463</v>
      </c>
      <c r="O420" t="s">
        <v>1464</v>
      </c>
      <c r="P420" t="s">
        <v>238</v>
      </c>
      <c r="Q420" t="s">
        <v>805</v>
      </c>
      <c r="R420">
        <v>71000000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71000000</v>
      </c>
      <c r="Z420">
        <v>69693000</v>
      </c>
      <c r="AA420">
        <v>69693000</v>
      </c>
      <c r="AB420">
        <v>29469000</v>
      </c>
      <c r="AC420">
        <v>29469000</v>
      </c>
      <c r="AD420">
        <v>1307000</v>
      </c>
      <c r="AE420">
        <v>98.16</v>
      </c>
    </row>
    <row r="421" spans="1:31" x14ac:dyDescent="0.2">
      <c r="A421" t="s">
        <v>518</v>
      </c>
      <c r="B421" t="s">
        <v>519</v>
      </c>
      <c r="C421" t="s">
        <v>22</v>
      </c>
      <c r="D421" t="s">
        <v>520</v>
      </c>
      <c r="E421" t="s">
        <v>521</v>
      </c>
      <c r="F421" t="s">
        <v>522</v>
      </c>
      <c r="G421" t="s">
        <v>22</v>
      </c>
      <c r="H421" t="s">
        <v>22</v>
      </c>
      <c r="I421" t="s">
        <v>22</v>
      </c>
      <c r="J421" t="s">
        <v>523</v>
      </c>
      <c r="K421" t="s">
        <v>22</v>
      </c>
      <c r="L421" t="s">
        <v>524</v>
      </c>
      <c r="N421" t="s">
        <v>1465</v>
      </c>
      <c r="O421" t="s">
        <v>1466</v>
      </c>
      <c r="P421" t="s">
        <v>22</v>
      </c>
      <c r="Q421" t="s">
        <v>527</v>
      </c>
      <c r="R421">
        <v>245699272</v>
      </c>
      <c r="S421">
        <v>87921287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333620559</v>
      </c>
      <c r="Z421">
        <v>128774311</v>
      </c>
      <c r="AA421">
        <v>126634311</v>
      </c>
      <c r="AB421">
        <v>82255311</v>
      </c>
      <c r="AC421">
        <v>82255311</v>
      </c>
      <c r="AD421">
        <v>204846248</v>
      </c>
      <c r="AE421">
        <v>38.6</v>
      </c>
    </row>
    <row r="422" spans="1:31" x14ac:dyDescent="0.2">
      <c r="A422" t="s">
        <v>518</v>
      </c>
      <c r="B422" t="s">
        <v>1467</v>
      </c>
      <c r="C422" t="s">
        <v>1468</v>
      </c>
      <c r="D422" t="s">
        <v>1469</v>
      </c>
      <c r="E422" t="s">
        <v>1470</v>
      </c>
      <c r="F422" t="s">
        <v>1471</v>
      </c>
      <c r="G422" t="s">
        <v>1472</v>
      </c>
      <c r="H422" t="s">
        <v>1473</v>
      </c>
      <c r="I422" t="s">
        <v>703</v>
      </c>
      <c r="J422" t="s">
        <v>704</v>
      </c>
      <c r="K422" t="s">
        <v>22</v>
      </c>
      <c r="L422" t="s">
        <v>524</v>
      </c>
      <c r="N422" t="s">
        <v>1474</v>
      </c>
      <c r="O422" t="s">
        <v>1475</v>
      </c>
      <c r="P422" t="s">
        <v>238</v>
      </c>
      <c r="Q422" t="s">
        <v>805</v>
      </c>
      <c r="R422">
        <v>31000000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31000000</v>
      </c>
      <c r="Z422">
        <v>30388000</v>
      </c>
      <c r="AA422">
        <v>30388000</v>
      </c>
      <c r="AB422">
        <v>12412000</v>
      </c>
      <c r="AC422">
        <v>12412000</v>
      </c>
      <c r="AD422">
        <v>612000</v>
      </c>
      <c r="AE422">
        <v>98.03</v>
      </c>
    </row>
    <row r="423" spans="1:31" x14ac:dyDescent="0.2">
      <c r="A423" t="s">
        <v>518</v>
      </c>
      <c r="B423" t="s">
        <v>1467</v>
      </c>
      <c r="C423" t="s">
        <v>1468</v>
      </c>
      <c r="D423" t="s">
        <v>1469</v>
      </c>
      <c r="E423" t="s">
        <v>1476</v>
      </c>
      <c r="F423" t="s">
        <v>1477</v>
      </c>
      <c r="G423" t="s">
        <v>1472</v>
      </c>
      <c r="H423" t="s">
        <v>1473</v>
      </c>
      <c r="I423" t="s">
        <v>703</v>
      </c>
      <c r="J423" t="s">
        <v>704</v>
      </c>
      <c r="K423" t="s">
        <v>22</v>
      </c>
      <c r="L423" t="s">
        <v>524</v>
      </c>
      <c r="N423" t="s">
        <v>1478</v>
      </c>
      <c r="O423" t="s">
        <v>1479</v>
      </c>
      <c r="P423" t="s">
        <v>263</v>
      </c>
      <c r="Q423" t="s">
        <v>1480</v>
      </c>
      <c r="R423">
        <v>2091973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2091973</v>
      </c>
      <c r="Z423">
        <v>300000</v>
      </c>
      <c r="AA423">
        <v>300000</v>
      </c>
      <c r="AB423">
        <v>300000</v>
      </c>
      <c r="AC423">
        <v>300000</v>
      </c>
      <c r="AD423">
        <v>1791973</v>
      </c>
      <c r="AE423">
        <v>14.34</v>
      </c>
    </row>
    <row r="424" spans="1:31" x14ac:dyDescent="0.2">
      <c r="A424" t="s">
        <v>518</v>
      </c>
      <c r="B424" t="s">
        <v>1467</v>
      </c>
      <c r="C424" t="s">
        <v>1468</v>
      </c>
      <c r="D424" t="s">
        <v>1481</v>
      </c>
      <c r="E424" t="s">
        <v>1482</v>
      </c>
      <c r="F424" t="s">
        <v>1483</v>
      </c>
      <c r="G424" t="s">
        <v>1484</v>
      </c>
      <c r="H424" t="s">
        <v>1485</v>
      </c>
      <c r="I424" t="s">
        <v>703</v>
      </c>
      <c r="J424" t="s">
        <v>704</v>
      </c>
      <c r="K424" t="s">
        <v>22</v>
      </c>
      <c r="L424" t="s">
        <v>524</v>
      </c>
      <c r="N424" t="s">
        <v>1486</v>
      </c>
      <c r="O424" t="s">
        <v>1487</v>
      </c>
      <c r="P424" t="s">
        <v>263</v>
      </c>
      <c r="Q424" t="s">
        <v>1480</v>
      </c>
      <c r="R424">
        <v>20000000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20000000</v>
      </c>
      <c r="Z424">
        <v>0</v>
      </c>
      <c r="AA424">
        <v>0</v>
      </c>
      <c r="AB424">
        <v>0</v>
      </c>
      <c r="AC424">
        <v>0</v>
      </c>
      <c r="AD424">
        <v>20000000</v>
      </c>
      <c r="AE424">
        <v>0</v>
      </c>
    </row>
    <row r="425" spans="1:31" x14ac:dyDescent="0.2">
      <c r="A425" t="s">
        <v>518</v>
      </c>
      <c r="B425" t="s">
        <v>1467</v>
      </c>
      <c r="C425" t="s">
        <v>1468</v>
      </c>
      <c r="D425" t="s">
        <v>1481</v>
      </c>
      <c r="E425" t="s">
        <v>1482</v>
      </c>
      <c r="F425" t="s">
        <v>1483</v>
      </c>
      <c r="G425" t="s">
        <v>1484</v>
      </c>
      <c r="H425" t="s">
        <v>1485</v>
      </c>
      <c r="I425" t="s">
        <v>703</v>
      </c>
      <c r="J425" t="s">
        <v>704</v>
      </c>
      <c r="K425" t="s">
        <v>22</v>
      </c>
      <c r="L425" t="s">
        <v>524</v>
      </c>
      <c r="N425" t="s">
        <v>1488</v>
      </c>
      <c r="O425" t="s">
        <v>1487</v>
      </c>
      <c r="P425" t="s">
        <v>369</v>
      </c>
      <c r="Q425" t="s">
        <v>1489</v>
      </c>
      <c r="R425">
        <v>100000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100000</v>
      </c>
      <c r="Z425">
        <v>0</v>
      </c>
      <c r="AA425">
        <v>0</v>
      </c>
      <c r="AB425">
        <v>0</v>
      </c>
      <c r="AC425">
        <v>0</v>
      </c>
      <c r="AD425">
        <v>100000</v>
      </c>
      <c r="AE425">
        <v>0</v>
      </c>
    </row>
    <row r="426" spans="1:31" x14ac:dyDescent="0.2">
      <c r="A426" t="s">
        <v>518</v>
      </c>
      <c r="B426" t="s">
        <v>1467</v>
      </c>
      <c r="C426" t="s">
        <v>1468</v>
      </c>
      <c r="D426" t="s">
        <v>1490</v>
      </c>
      <c r="E426" t="s">
        <v>1491</v>
      </c>
      <c r="F426" t="s">
        <v>1492</v>
      </c>
      <c r="G426" t="s">
        <v>1493</v>
      </c>
      <c r="H426" t="s">
        <v>1494</v>
      </c>
      <c r="I426" t="s">
        <v>703</v>
      </c>
      <c r="J426" t="s">
        <v>704</v>
      </c>
      <c r="K426" t="s">
        <v>22</v>
      </c>
      <c r="L426" t="s">
        <v>524</v>
      </c>
      <c r="N426" t="s">
        <v>1495</v>
      </c>
      <c r="O426" t="s">
        <v>1496</v>
      </c>
      <c r="P426" t="s">
        <v>238</v>
      </c>
      <c r="Q426" t="s">
        <v>805</v>
      </c>
      <c r="R426">
        <v>27000000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27000000</v>
      </c>
      <c r="Z426">
        <v>27000000</v>
      </c>
      <c r="AA426">
        <v>27000000</v>
      </c>
      <c r="AB426">
        <v>11250000</v>
      </c>
      <c r="AC426">
        <v>11250000</v>
      </c>
      <c r="AD426">
        <v>0</v>
      </c>
      <c r="AE426">
        <v>100</v>
      </c>
    </row>
    <row r="427" spans="1:31" x14ac:dyDescent="0.2">
      <c r="A427" t="s">
        <v>518</v>
      </c>
      <c r="B427" t="s">
        <v>1467</v>
      </c>
      <c r="C427" t="s">
        <v>1468</v>
      </c>
      <c r="D427" t="s">
        <v>1497</v>
      </c>
      <c r="E427" t="s">
        <v>1498</v>
      </c>
      <c r="F427" t="s">
        <v>1499</v>
      </c>
      <c r="G427" t="s">
        <v>1500</v>
      </c>
      <c r="H427" t="s">
        <v>1501</v>
      </c>
      <c r="I427" t="s">
        <v>703</v>
      </c>
      <c r="J427" t="s">
        <v>704</v>
      </c>
      <c r="K427" t="s">
        <v>22</v>
      </c>
      <c r="L427" t="s">
        <v>524</v>
      </c>
      <c r="N427" t="s">
        <v>1502</v>
      </c>
      <c r="O427" t="s">
        <v>1503</v>
      </c>
      <c r="P427" t="s">
        <v>238</v>
      </c>
      <c r="Q427" t="s">
        <v>805</v>
      </c>
      <c r="R427">
        <v>25000000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25000000</v>
      </c>
      <c r="Z427">
        <v>11952000</v>
      </c>
      <c r="AA427">
        <v>11952000</v>
      </c>
      <c r="AB427">
        <v>9392000</v>
      </c>
      <c r="AC427">
        <v>9392000</v>
      </c>
      <c r="AD427">
        <v>13048000</v>
      </c>
      <c r="AE427">
        <v>47.81</v>
      </c>
    </row>
    <row r="428" spans="1:31" x14ac:dyDescent="0.2">
      <c r="A428" t="s">
        <v>518</v>
      </c>
      <c r="B428" t="s">
        <v>1467</v>
      </c>
      <c r="C428" t="s">
        <v>1468</v>
      </c>
      <c r="D428" t="s">
        <v>1497</v>
      </c>
      <c r="E428" t="s">
        <v>1504</v>
      </c>
      <c r="F428" t="s">
        <v>1505</v>
      </c>
      <c r="G428" t="s">
        <v>1500</v>
      </c>
      <c r="H428" t="s">
        <v>1501</v>
      </c>
      <c r="I428" t="s">
        <v>703</v>
      </c>
      <c r="J428" t="s">
        <v>704</v>
      </c>
      <c r="K428" t="s">
        <v>22</v>
      </c>
      <c r="L428" t="s">
        <v>524</v>
      </c>
      <c r="N428" t="s">
        <v>1506</v>
      </c>
      <c r="O428" t="s">
        <v>1507</v>
      </c>
      <c r="P428" t="s">
        <v>94</v>
      </c>
      <c r="Q428" t="s">
        <v>822</v>
      </c>
      <c r="R428">
        <v>140407299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140407299</v>
      </c>
      <c r="Z428">
        <v>48901311</v>
      </c>
      <c r="AA428">
        <v>48901311</v>
      </c>
      <c r="AB428">
        <v>48901311</v>
      </c>
      <c r="AC428">
        <v>48901311</v>
      </c>
      <c r="AD428">
        <v>91505988</v>
      </c>
      <c r="AE428">
        <v>34.83</v>
      </c>
    </row>
    <row r="429" spans="1:31" x14ac:dyDescent="0.2">
      <c r="A429" t="s">
        <v>518</v>
      </c>
      <c r="B429" t="s">
        <v>1467</v>
      </c>
      <c r="C429" t="s">
        <v>1468</v>
      </c>
      <c r="D429" t="s">
        <v>1497</v>
      </c>
      <c r="E429" t="s">
        <v>1504</v>
      </c>
      <c r="F429" t="s">
        <v>1505</v>
      </c>
      <c r="G429" t="s">
        <v>1500</v>
      </c>
      <c r="H429" t="s">
        <v>1501</v>
      </c>
      <c r="I429" t="s">
        <v>703</v>
      </c>
      <c r="J429" t="s">
        <v>704</v>
      </c>
      <c r="K429" t="s">
        <v>22</v>
      </c>
      <c r="L429" t="s">
        <v>524</v>
      </c>
      <c r="N429" t="s">
        <v>1506</v>
      </c>
      <c r="O429" t="s">
        <v>1507</v>
      </c>
      <c r="P429" t="s">
        <v>440</v>
      </c>
      <c r="Q429" t="s">
        <v>823</v>
      </c>
      <c r="R429">
        <v>0</v>
      </c>
      <c r="S429">
        <v>31777362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31777362</v>
      </c>
      <c r="Z429">
        <v>0</v>
      </c>
      <c r="AA429">
        <v>0</v>
      </c>
      <c r="AB429">
        <v>0</v>
      </c>
      <c r="AC429">
        <v>0</v>
      </c>
      <c r="AD429">
        <v>31777362</v>
      </c>
      <c r="AE429">
        <v>0</v>
      </c>
    </row>
    <row r="430" spans="1:31" x14ac:dyDescent="0.2">
      <c r="A430" t="s">
        <v>518</v>
      </c>
      <c r="B430" t="s">
        <v>1467</v>
      </c>
      <c r="C430" t="s">
        <v>1468</v>
      </c>
      <c r="D430" t="s">
        <v>1497</v>
      </c>
      <c r="E430" t="s">
        <v>1504</v>
      </c>
      <c r="F430" t="s">
        <v>1505</v>
      </c>
      <c r="G430" t="s">
        <v>1500</v>
      </c>
      <c r="H430" t="s">
        <v>1501</v>
      </c>
      <c r="I430" t="s">
        <v>703</v>
      </c>
      <c r="J430" t="s">
        <v>704</v>
      </c>
      <c r="K430" t="s">
        <v>22</v>
      </c>
      <c r="L430" t="s">
        <v>524</v>
      </c>
      <c r="N430" t="s">
        <v>1508</v>
      </c>
      <c r="O430" t="s">
        <v>1507</v>
      </c>
      <c r="P430" t="s">
        <v>342</v>
      </c>
      <c r="Q430" t="s">
        <v>1509</v>
      </c>
      <c r="R430">
        <v>100000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100000</v>
      </c>
      <c r="Z430">
        <v>0</v>
      </c>
      <c r="AA430">
        <v>0</v>
      </c>
      <c r="AB430">
        <v>0</v>
      </c>
      <c r="AC430">
        <v>0</v>
      </c>
      <c r="AD430">
        <v>100000</v>
      </c>
      <c r="AE430">
        <v>0</v>
      </c>
    </row>
    <row r="431" spans="1:31" x14ac:dyDescent="0.2">
      <c r="A431" t="s">
        <v>518</v>
      </c>
      <c r="B431" t="s">
        <v>1467</v>
      </c>
      <c r="C431" t="s">
        <v>1468</v>
      </c>
      <c r="D431" t="s">
        <v>1481</v>
      </c>
      <c r="E431" t="s">
        <v>1482</v>
      </c>
      <c r="F431" t="s">
        <v>1483</v>
      </c>
      <c r="G431" t="s">
        <v>1484</v>
      </c>
      <c r="H431" t="s">
        <v>1485</v>
      </c>
      <c r="I431" t="s">
        <v>703</v>
      </c>
      <c r="J431" t="s">
        <v>704</v>
      </c>
      <c r="K431" t="s">
        <v>22</v>
      </c>
      <c r="L431" t="s">
        <v>524</v>
      </c>
      <c r="N431" t="s">
        <v>1510</v>
      </c>
      <c r="O431" t="s">
        <v>1487</v>
      </c>
      <c r="P431" t="s">
        <v>453</v>
      </c>
      <c r="Q431" t="s">
        <v>1511</v>
      </c>
      <c r="R431">
        <v>0</v>
      </c>
      <c r="S431">
        <v>28049842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28049842</v>
      </c>
      <c r="Z431">
        <v>10233000</v>
      </c>
      <c r="AA431">
        <v>8093000</v>
      </c>
      <c r="AB431">
        <v>0</v>
      </c>
      <c r="AC431">
        <v>0</v>
      </c>
      <c r="AD431">
        <v>17816842</v>
      </c>
      <c r="AE431">
        <v>36.479999999999997</v>
      </c>
    </row>
    <row r="432" spans="1:31" x14ac:dyDescent="0.2">
      <c r="A432" t="s">
        <v>518</v>
      </c>
      <c r="B432" t="s">
        <v>1467</v>
      </c>
      <c r="C432" t="s">
        <v>1468</v>
      </c>
      <c r="D432" t="s">
        <v>1481</v>
      </c>
      <c r="E432" t="s">
        <v>1482</v>
      </c>
      <c r="F432" t="s">
        <v>1483</v>
      </c>
      <c r="G432" t="s">
        <v>1484</v>
      </c>
      <c r="H432" t="s">
        <v>1485</v>
      </c>
      <c r="I432" t="s">
        <v>703</v>
      </c>
      <c r="J432" t="s">
        <v>704</v>
      </c>
      <c r="K432" t="s">
        <v>22</v>
      </c>
      <c r="L432" t="s">
        <v>524</v>
      </c>
      <c r="N432" t="s">
        <v>1512</v>
      </c>
      <c r="O432" t="s">
        <v>1487</v>
      </c>
      <c r="P432" t="s">
        <v>410</v>
      </c>
      <c r="Q432" t="s">
        <v>409</v>
      </c>
      <c r="R432">
        <v>0</v>
      </c>
      <c r="S432">
        <v>44241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44241</v>
      </c>
      <c r="Z432">
        <v>0</v>
      </c>
      <c r="AA432">
        <v>0</v>
      </c>
      <c r="AB432">
        <v>0</v>
      </c>
      <c r="AC432">
        <v>0</v>
      </c>
      <c r="AD432">
        <v>44241</v>
      </c>
      <c r="AE432">
        <v>0</v>
      </c>
    </row>
    <row r="433" spans="1:31" x14ac:dyDescent="0.2">
      <c r="A433" t="s">
        <v>518</v>
      </c>
      <c r="B433" t="s">
        <v>1467</v>
      </c>
      <c r="C433" t="s">
        <v>1468</v>
      </c>
      <c r="D433" t="s">
        <v>1469</v>
      </c>
      <c r="E433" t="s">
        <v>1476</v>
      </c>
      <c r="F433" t="s">
        <v>1477</v>
      </c>
      <c r="G433" t="s">
        <v>1472</v>
      </c>
      <c r="H433" t="s">
        <v>1473</v>
      </c>
      <c r="I433" t="s">
        <v>703</v>
      </c>
      <c r="J433" t="s">
        <v>704</v>
      </c>
      <c r="K433" t="s">
        <v>22</v>
      </c>
      <c r="L433" t="s">
        <v>524</v>
      </c>
      <c r="N433" t="s">
        <v>1513</v>
      </c>
      <c r="O433" t="s">
        <v>1479</v>
      </c>
      <c r="P433" t="s">
        <v>453</v>
      </c>
      <c r="Q433" t="s">
        <v>1511</v>
      </c>
      <c r="R433">
        <v>0</v>
      </c>
      <c r="S433">
        <v>28049842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28049842</v>
      </c>
      <c r="Z433">
        <v>0</v>
      </c>
      <c r="AA433">
        <v>0</v>
      </c>
      <c r="AB433">
        <v>0</v>
      </c>
      <c r="AC433">
        <v>0</v>
      </c>
      <c r="AD433">
        <v>28049842</v>
      </c>
      <c r="AE433">
        <v>0</v>
      </c>
    </row>
    <row r="434" spans="1:31" x14ac:dyDescent="0.2">
      <c r="A434" t="s">
        <v>518</v>
      </c>
      <c r="B434" t="s">
        <v>519</v>
      </c>
      <c r="C434" t="s">
        <v>22</v>
      </c>
      <c r="D434" t="s">
        <v>520</v>
      </c>
      <c r="E434" t="s">
        <v>521</v>
      </c>
      <c r="F434" t="s">
        <v>522</v>
      </c>
      <c r="G434" t="s">
        <v>22</v>
      </c>
      <c r="H434" t="s">
        <v>22</v>
      </c>
      <c r="I434" t="s">
        <v>22</v>
      </c>
      <c r="J434" t="s">
        <v>523</v>
      </c>
      <c r="K434" t="s">
        <v>22</v>
      </c>
      <c r="L434" t="s">
        <v>524</v>
      </c>
      <c r="N434" t="s">
        <v>1514</v>
      </c>
      <c r="O434" t="s">
        <v>1244</v>
      </c>
      <c r="P434" t="s">
        <v>22</v>
      </c>
      <c r="Q434" t="s">
        <v>527</v>
      </c>
      <c r="R434">
        <v>105100000</v>
      </c>
      <c r="S434">
        <v>33859033</v>
      </c>
      <c r="T434">
        <v>0</v>
      </c>
      <c r="U434">
        <v>0</v>
      </c>
      <c r="V434">
        <v>36400000</v>
      </c>
      <c r="W434">
        <v>0</v>
      </c>
      <c r="X434">
        <v>0</v>
      </c>
      <c r="Y434">
        <v>102559033</v>
      </c>
      <c r="Z434">
        <v>56029000</v>
      </c>
      <c r="AA434">
        <v>56029000</v>
      </c>
      <c r="AB434">
        <v>32203000</v>
      </c>
      <c r="AC434">
        <v>32203000</v>
      </c>
      <c r="AD434">
        <v>46530033</v>
      </c>
      <c r="AE434">
        <v>54.63</v>
      </c>
    </row>
    <row r="435" spans="1:31" x14ac:dyDescent="0.2">
      <c r="A435" t="s">
        <v>518</v>
      </c>
      <c r="B435" t="s">
        <v>1245</v>
      </c>
      <c r="C435" t="s">
        <v>1246</v>
      </c>
      <c r="D435" t="s">
        <v>1247</v>
      </c>
      <c r="E435" t="s">
        <v>1515</v>
      </c>
      <c r="F435" t="s">
        <v>1516</v>
      </c>
      <c r="G435" t="s">
        <v>1250</v>
      </c>
      <c r="H435" t="s">
        <v>1251</v>
      </c>
      <c r="I435" t="s">
        <v>1517</v>
      </c>
      <c r="J435" t="s">
        <v>1518</v>
      </c>
      <c r="K435" t="s">
        <v>22</v>
      </c>
      <c r="L435" t="s">
        <v>524</v>
      </c>
      <c r="N435" t="s">
        <v>1519</v>
      </c>
      <c r="O435" t="s">
        <v>1520</v>
      </c>
      <c r="P435" t="s">
        <v>231</v>
      </c>
      <c r="Q435" t="s">
        <v>1261</v>
      </c>
      <c r="R435">
        <v>105000000</v>
      </c>
      <c r="S435">
        <v>0</v>
      </c>
      <c r="T435">
        <v>0</v>
      </c>
      <c r="U435">
        <v>0</v>
      </c>
      <c r="V435">
        <v>36400000</v>
      </c>
      <c r="W435">
        <v>0</v>
      </c>
      <c r="X435">
        <v>0</v>
      </c>
      <c r="Y435">
        <v>68600000</v>
      </c>
      <c r="Z435">
        <v>56029000</v>
      </c>
      <c r="AA435">
        <v>56029000</v>
      </c>
      <c r="AB435">
        <v>32203000</v>
      </c>
      <c r="AC435">
        <v>32203000</v>
      </c>
      <c r="AD435">
        <v>12571000</v>
      </c>
      <c r="AE435">
        <v>81.67</v>
      </c>
    </row>
    <row r="436" spans="1:31" x14ac:dyDescent="0.2">
      <c r="A436" t="s">
        <v>518</v>
      </c>
      <c r="B436" t="s">
        <v>1245</v>
      </c>
      <c r="C436" t="s">
        <v>1246</v>
      </c>
      <c r="D436" t="s">
        <v>1247</v>
      </c>
      <c r="E436" t="s">
        <v>1515</v>
      </c>
      <c r="F436" t="s">
        <v>1516</v>
      </c>
      <c r="G436" t="s">
        <v>1250</v>
      </c>
      <c r="H436" t="s">
        <v>1251</v>
      </c>
      <c r="I436" t="s">
        <v>1517</v>
      </c>
      <c r="J436" t="s">
        <v>1518</v>
      </c>
      <c r="K436" t="s">
        <v>22</v>
      </c>
      <c r="L436" t="s">
        <v>524</v>
      </c>
      <c r="N436" t="s">
        <v>1521</v>
      </c>
      <c r="O436" t="s">
        <v>1520</v>
      </c>
      <c r="P436" t="s">
        <v>326</v>
      </c>
      <c r="Q436" t="s">
        <v>1522</v>
      </c>
      <c r="R436">
        <v>100000</v>
      </c>
      <c r="S436">
        <v>33859033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33959033</v>
      </c>
      <c r="Z436">
        <v>0</v>
      </c>
      <c r="AA436">
        <v>0</v>
      </c>
      <c r="AB436">
        <v>0</v>
      </c>
      <c r="AC436">
        <v>0</v>
      </c>
      <c r="AD436">
        <v>33959033</v>
      </c>
      <c r="AE436">
        <v>0</v>
      </c>
    </row>
    <row r="437" spans="1:31" x14ac:dyDescent="0.2">
      <c r="A437" t="s">
        <v>518</v>
      </c>
      <c r="B437" t="s">
        <v>519</v>
      </c>
      <c r="C437" t="s">
        <v>22</v>
      </c>
      <c r="D437" t="s">
        <v>520</v>
      </c>
      <c r="E437" t="s">
        <v>521</v>
      </c>
      <c r="F437" t="s">
        <v>522</v>
      </c>
      <c r="G437" t="s">
        <v>22</v>
      </c>
      <c r="H437" t="s">
        <v>22</v>
      </c>
      <c r="I437" t="s">
        <v>22</v>
      </c>
      <c r="J437" t="s">
        <v>523</v>
      </c>
      <c r="K437" t="s">
        <v>22</v>
      </c>
      <c r="L437" t="s">
        <v>524</v>
      </c>
      <c r="N437" t="s">
        <v>1523</v>
      </c>
      <c r="O437" t="s">
        <v>876</v>
      </c>
      <c r="P437" t="s">
        <v>22</v>
      </c>
      <c r="Q437" t="s">
        <v>527</v>
      </c>
      <c r="R437">
        <v>585159410</v>
      </c>
      <c r="S437">
        <v>492296291</v>
      </c>
      <c r="T437">
        <v>8316957</v>
      </c>
      <c r="U437">
        <v>0</v>
      </c>
      <c r="V437">
        <v>43900000</v>
      </c>
      <c r="W437">
        <v>0</v>
      </c>
      <c r="X437">
        <v>0</v>
      </c>
      <c r="Y437">
        <v>1025238744</v>
      </c>
      <c r="Z437">
        <v>490847794</v>
      </c>
      <c r="AA437">
        <v>490847794</v>
      </c>
      <c r="AB437">
        <v>258799594</v>
      </c>
      <c r="AC437">
        <v>258799594</v>
      </c>
      <c r="AD437">
        <v>534390950</v>
      </c>
      <c r="AE437">
        <v>47.88</v>
      </c>
    </row>
    <row r="438" spans="1:31" x14ac:dyDescent="0.2">
      <c r="A438" t="s">
        <v>518</v>
      </c>
      <c r="B438" t="s">
        <v>877</v>
      </c>
      <c r="C438" t="s">
        <v>878</v>
      </c>
      <c r="D438" t="s">
        <v>879</v>
      </c>
      <c r="E438" t="s">
        <v>1524</v>
      </c>
      <c r="F438" t="s">
        <v>1525</v>
      </c>
      <c r="G438" t="s">
        <v>882</v>
      </c>
      <c r="H438" t="s">
        <v>883</v>
      </c>
      <c r="I438" t="s">
        <v>1526</v>
      </c>
      <c r="J438" t="s">
        <v>1527</v>
      </c>
      <c r="K438" t="s">
        <v>22</v>
      </c>
      <c r="L438" t="s">
        <v>524</v>
      </c>
      <c r="N438" t="s">
        <v>1528</v>
      </c>
      <c r="O438" t="s">
        <v>1529</v>
      </c>
      <c r="P438" t="s">
        <v>114</v>
      </c>
      <c r="Q438" t="s">
        <v>112</v>
      </c>
      <c r="R438">
        <v>58996857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58996857</v>
      </c>
      <c r="Z438">
        <v>0</v>
      </c>
      <c r="AA438">
        <v>0</v>
      </c>
      <c r="AB438">
        <v>0</v>
      </c>
      <c r="AC438">
        <v>0</v>
      </c>
      <c r="AD438">
        <v>58996857</v>
      </c>
      <c r="AE438">
        <v>0</v>
      </c>
    </row>
    <row r="439" spans="1:31" x14ac:dyDescent="0.2">
      <c r="A439" t="s">
        <v>518</v>
      </c>
      <c r="B439" t="s">
        <v>877</v>
      </c>
      <c r="C439" t="s">
        <v>878</v>
      </c>
      <c r="D439" t="s">
        <v>879</v>
      </c>
      <c r="E439" t="s">
        <v>1524</v>
      </c>
      <c r="F439" t="s">
        <v>1525</v>
      </c>
      <c r="G439" t="s">
        <v>882</v>
      </c>
      <c r="H439" t="s">
        <v>883</v>
      </c>
      <c r="I439" t="s">
        <v>1526</v>
      </c>
      <c r="J439" t="s">
        <v>1527</v>
      </c>
      <c r="K439" t="s">
        <v>22</v>
      </c>
      <c r="L439" t="s">
        <v>524</v>
      </c>
      <c r="N439" t="s">
        <v>1530</v>
      </c>
      <c r="O439" t="s">
        <v>1529</v>
      </c>
      <c r="P439" t="s">
        <v>354</v>
      </c>
      <c r="Q439" t="s">
        <v>1531</v>
      </c>
      <c r="R439">
        <v>100000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100000</v>
      </c>
      <c r="Z439">
        <v>0</v>
      </c>
      <c r="AA439">
        <v>0</v>
      </c>
      <c r="AB439">
        <v>0</v>
      </c>
      <c r="AC439">
        <v>0</v>
      </c>
      <c r="AD439">
        <v>100000</v>
      </c>
      <c r="AE439">
        <v>0</v>
      </c>
    </row>
    <row r="440" spans="1:31" x14ac:dyDescent="0.2">
      <c r="A440" t="s">
        <v>518</v>
      </c>
      <c r="B440" t="s">
        <v>877</v>
      </c>
      <c r="C440" t="s">
        <v>878</v>
      </c>
      <c r="D440" t="s">
        <v>879</v>
      </c>
      <c r="E440" t="s">
        <v>1524</v>
      </c>
      <c r="F440" t="s">
        <v>1525</v>
      </c>
      <c r="G440" t="s">
        <v>882</v>
      </c>
      <c r="H440" t="s">
        <v>883</v>
      </c>
      <c r="I440" t="s">
        <v>1526</v>
      </c>
      <c r="J440" t="s">
        <v>1527</v>
      </c>
      <c r="K440" t="s">
        <v>22</v>
      </c>
      <c r="L440" t="s">
        <v>524</v>
      </c>
      <c r="N440" t="s">
        <v>1532</v>
      </c>
      <c r="O440" t="s">
        <v>1533</v>
      </c>
      <c r="P440" t="s">
        <v>144</v>
      </c>
      <c r="Q440" t="s">
        <v>732</v>
      </c>
      <c r="R440">
        <v>900000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900000</v>
      </c>
      <c r="Z440">
        <v>0</v>
      </c>
      <c r="AA440">
        <v>0</v>
      </c>
      <c r="AB440">
        <v>0</v>
      </c>
      <c r="AC440">
        <v>0</v>
      </c>
      <c r="AD440">
        <v>900000</v>
      </c>
      <c r="AE440">
        <v>0</v>
      </c>
    </row>
    <row r="441" spans="1:31" x14ac:dyDescent="0.2">
      <c r="A441" t="s">
        <v>518</v>
      </c>
      <c r="B441" t="s">
        <v>877</v>
      </c>
      <c r="C441" t="s">
        <v>878</v>
      </c>
      <c r="D441" t="s">
        <v>879</v>
      </c>
      <c r="E441" t="s">
        <v>1534</v>
      </c>
      <c r="F441" t="s">
        <v>1535</v>
      </c>
      <c r="G441" t="s">
        <v>882</v>
      </c>
      <c r="H441" t="s">
        <v>883</v>
      </c>
      <c r="I441" t="s">
        <v>703</v>
      </c>
      <c r="J441" t="s">
        <v>704</v>
      </c>
      <c r="K441" t="s">
        <v>22</v>
      </c>
      <c r="L441" t="s">
        <v>524</v>
      </c>
      <c r="N441" t="s">
        <v>1536</v>
      </c>
      <c r="O441" t="s">
        <v>1537</v>
      </c>
      <c r="P441" t="s">
        <v>242</v>
      </c>
      <c r="Q441" t="s">
        <v>541</v>
      </c>
      <c r="R441">
        <v>10000000</v>
      </c>
      <c r="S441">
        <v>0</v>
      </c>
      <c r="T441">
        <v>6900000</v>
      </c>
      <c r="U441">
        <v>0</v>
      </c>
      <c r="V441">
        <v>0</v>
      </c>
      <c r="W441">
        <v>0</v>
      </c>
      <c r="X441">
        <v>0</v>
      </c>
      <c r="Y441">
        <v>3100000</v>
      </c>
      <c r="Z441">
        <v>3100000</v>
      </c>
      <c r="AA441">
        <v>3100000</v>
      </c>
      <c r="AB441">
        <v>3100000</v>
      </c>
      <c r="AC441">
        <v>3100000</v>
      </c>
      <c r="AD441">
        <v>0</v>
      </c>
      <c r="AE441">
        <v>100</v>
      </c>
    </row>
    <row r="442" spans="1:31" x14ac:dyDescent="0.2">
      <c r="A442" t="s">
        <v>518</v>
      </c>
      <c r="B442" t="s">
        <v>877</v>
      </c>
      <c r="C442" t="s">
        <v>878</v>
      </c>
      <c r="D442" t="s">
        <v>1538</v>
      </c>
      <c r="E442" t="s">
        <v>1539</v>
      </c>
      <c r="F442" t="s">
        <v>1540</v>
      </c>
      <c r="G442" t="s">
        <v>1541</v>
      </c>
      <c r="H442" t="s">
        <v>1542</v>
      </c>
      <c r="I442" t="s">
        <v>703</v>
      </c>
      <c r="J442" t="s">
        <v>704</v>
      </c>
      <c r="K442" t="s">
        <v>22</v>
      </c>
      <c r="L442" t="s">
        <v>524</v>
      </c>
      <c r="N442" t="s">
        <v>1543</v>
      </c>
      <c r="O442" t="s">
        <v>1544</v>
      </c>
      <c r="P442" t="s">
        <v>238</v>
      </c>
      <c r="Q442" t="s">
        <v>805</v>
      </c>
      <c r="R442">
        <v>50000000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50000000</v>
      </c>
      <c r="Z442">
        <v>25930666</v>
      </c>
      <c r="AA442">
        <v>25930666</v>
      </c>
      <c r="AB442">
        <v>21162666</v>
      </c>
      <c r="AC442">
        <v>21162666</v>
      </c>
      <c r="AD442">
        <v>24069334</v>
      </c>
      <c r="AE442">
        <v>51.86</v>
      </c>
    </row>
    <row r="443" spans="1:31" x14ac:dyDescent="0.2">
      <c r="A443" t="s">
        <v>518</v>
      </c>
      <c r="B443" t="s">
        <v>877</v>
      </c>
      <c r="C443" t="s">
        <v>878</v>
      </c>
      <c r="D443" t="s">
        <v>1270</v>
      </c>
      <c r="E443" t="s">
        <v>1545</v>
      </c>
      <c r="F443" t="s">
        <v>1540</v>
      </c>
      <c r="G443" t="s">
        <v>1273</v>
      </c>
      <c r="H443" t="s">
        <v>1274</v>
      </c>
      <c r="I443" t="s">
        <v>703</v>
      </c>
      <c r="J443" t="s">
        <v>704</v>
      </c>
      <c r="K443" t="s">
        <v>22</v>
      </c>
      <c r="L443" t="s">
        <v>524</v>
      </c>
      <c r="N443" t="s">
        <v>1546</v>
      </c>
      <c r="O443" t="s">
        <v>1547</v>
      </c>
      <c r="P443" t="s">
        <v>238</v>
      </c>
      <c r="Q443" t="s">
        <v>805</v>
      </c>
      <c r="R443">
        <v>80000000</v>
      </c>
      <c r="S443">
        <v>0</v>
      </c>
      <c r="T443">
        <v>0</v>
      </c>
      <c r="U443">
        <v>0</v>
      </c>
      <c r="V443">
        <v>20000000</v>
      </c>
      <c r="W443">
        <v>0</v>
      </c>
      <c r="X443">
        <v>0</v>
      </c>
      <c r="Y443">
        <v>60000000</v>
      </c>
      <c r="Z443">
        <v>51597332</v>
      </c>
      <c r="AA443">
        <v>51597332</v>
      </c>
      <c r="AB443">
        <v>42429332</v>
      </c>
      <c r="AC443">
        <v>42429332</v>
      </c>
      <c r="AD443">
        <v>8402668</v>
      </c>
      <c r="AE443">
        <v>86</v>
      </c>
    </row>
    <row r="444" spans="1:31" x14ac:dyDescent="0.2">
      <c r="A444" t="s">
        <v>518</v>
      </c>
      <c r="B444" t="s">
        <v>877</v>
      </c>
      <c r="C444" t="s">
        <v>878</v>
      </c>
      <c r="D444" t="s">
        <v>1112</v>
      </c>
      <c r="E444" t="s">
        <v>1548</v>
      </c>
      <c r="F444" t="s">
        <v>1540</v>
      </c>
      <c r="G444" t="s">
        <v>1115</v>
      </c>
      <c r="H444" t="s">
        <v>1116</v>
      </c>
      <c r="I444" t="s">
        <v>703</v>
      </c>
      <c r="J444" t="s">
        <v>704</v>
      </c>
      <c r="K444" t="s">
        <v>22</v>
      </c>
      <c r="L444" t="s">
        <v>524</v>
      </c>
      <c r="N444" t="s">
        <v>1549</v>
      </c>
      <c r="O444" t="s">
        <v>1550</v>
      </c>
      <c r="P444" t="s">
        <v>242</v>
      </c>
      <c r="Q444" t="s">
        <v>541</v>
      </c>
      <c r="R444">
        <v>349062553</v>
      </c>
      <c r="S444">
        <v>0</v>
      </c>
      <c r="T444">
        <v>1416957</v>
      </c>
      <c r="U444">
        <v>0</v>
      </c>
      <c r="V444">
        <v>0</v>
      </c>
      <c r="W444">
        <v>0</v>
      </c>
      <c r="X444">
        <v>0</v>
      </c>
      <c r="Y444">
        <v>347645596</v>
      </c>
      <c r="Z444">
        <v>347645596</v>
      </c>
      <c r="AA444">
        <v>347645596</v>
      </c>
      <c r="AB444">
        <v>181207596</v>
      </c>
      <c r="AC444">
        <v>181207596</v>
      </c>
      <c r="AD444">
        <v>0</v>
      </c>
      <c r="AE444">
        <v>100</v>
      </c>
    </row>
    <row r="445" spans="1:31" x14ac:dyDescent="0.2">
      <c r="A445" t="s">
        <v>518</v>
      </c>
      <c r="B445" t="s">
        <v>877</v>
      </c>
      <c r="C445" t="s">
        <v>878</v>
      </c>
      <c r="D445" t="s">
        <v>1112</v>
      </c>
      <c r="E445" t="s">
        <v>1548</v>
      </c>
      <c r="F445" t="s">
        <v>1540</v>
      </c>
      <c r="G445" t="s">
        <v>1115</v>
      </c>
      <c r="H445" t="s">
        <v>1116</v>
      </c>
      <c r="I445" t="s">
        <v>703</v>
      </c>
      <c r="J445" t="s">
        <v>704</v>
      </c>
      <c r="K445" t="s">
        <v>22</v>
      </c>
      <c r="L445" t="s">
        <v>524</v>
      </c>
      <c r="N445" t="s">
        <v>1551</v>
      </c>
      <c r="O445" t="s">
        <v>1550</v>
      </c>
      <c r="P445" t="s">
        <v>314</v>
      </c>
      <c r="Q445" t="s">
        <v>1552</v>
      </c>
      <c r="R445">
        <v>100000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100000</v>
      </c>
      <c r="Z445">
        <v>0</v>
      </c>
      <c r="AA445">
        <v>0</v>
      </c>
      <c r="AB445">
        <v>0</v>
      </c>
      <c r="AC445">
        <v>0</v>
      </c>
      <c r="AD445">
        <v>100000</v>
      </c>
      <c r="AE445">
        <v>0</v>
      </c>
    </row>
    <row r="446" spans="1:31" x14ac:dyDescent="0.2">
      <c r="A446" t="s">
        <v>518</v>
      </c>
      <c r="B446" t="s">
        <v>877</v>
      </c>
      <c r="C446" t="s">
        <v>878</v>
      </c>
      <c r="D446" t="s">
        <v>1112</v>
      </c>
      <c r="E446" t="s">
        <v>1553</v>
      </c>
      <c r="F446" t="s">
        <v>1554</v>
      </c>
      <c r="G446" t="s">
        <v>1115</v>
      </c>
      <c r="H446" t="s">
        <v>1116</v>
      </c>
      <c r="I446" t="s">
        <v>703</v>
      </c>
      <c r="J446" t="s">
        <v>704</v>
      </c>
      <c r="K446" t="s">
        <v>22</v>
      </c>
      <c r="L446" t="s">
        <v>524</v>
      </c>
      <c r="N446" t="s">
        <v>1555</v>
      </c>
      <c r="O446" t="s">
        <v>1556</v>
      </c>
      <c r="P446" t="s">
        <v>242</v>
      </c>
      <c r="Q446" t="s">
        <v>541</v>
      </c>
      <c r="R446">
        <v>24000000</v>
      </c>
      <c r="S446">
        <v>0</v>
      </c>
      <c r="T446">
        <v>0</v>
      </c>
      <c r="U446">
        <v>0</v>
      </c>
      <c r="V446">
        <v>11900000</v>
      </c>
      <c r="W446">
        <v>0</v>
      </c>
      <c r="X446">
        <v>0</v>
      </c>
      <c r="Y446">
        <v>12100000</v>
      </c>
      <c r="Z446">
        <v>12100000</v>
      </c>
      <c r="AA446">
        <v>12100000</v>
      </c>
      <c r="AB446">
        <v>9900000</v>
      </c>
      <c r="AC446">
        <v>9900000</v>
      </c>
      <c r="AD446">
        <v>0</v>
      </c>
      <c r="AE446">
        <v>100</v>
      </c>
    </row>
    <row r="447" spans="1:31" x14ac:dyDescent="0.2">
      <c r="A447" t="s">
        <v>518</v>
      </c>
      <c r="B447" t="s">
        <v>877</v>
      </c>
      <c r="C447" t="s">
        <v>878</v>
      </c>
      <c r="D447" t="s">
        <v>879</v>
      </c>
      <c r="E447" t="s">
        <v>1524</v>
      </c>
      <c r="F447" t="s">
        <v>1525</v>
      </c>
      <c r="G447" t="s">
        <v>882</v>
      </c>
      <c r="H447" t="s">
        <v>883</v>
      </c>
      <c r="I447" t="s">
        <v>1526</v>
      </c>
      <c r="J447" t="s">
        <v>1527</v>
      </c>
      <c r="K447" t="s">
        <v>22</v>
      </c>
      <c r="L447" t="s">
        <v>524</v>
      </c>
      <c r="N447" t="s">
        <v>1557</v>
      </c>
      <c r="O447" t="s">
        <v>1529</v>
      </c>
      <c r="P447" t="s">
        <v>489</v>
      </c>
      <c r="Q447" t="s">
        <v>1558</v>
      </c>
      <c r="R447">
        <v>0</v>
      </c>
      <c r="S447">
        <v>271982093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271982093</v>
      </c>
      <c r="Z447">
        <v>49000000</v>
      </c>
      <c r="AA447">
        <v>49000000</v>
      </c>
      <c r="AB447">
        <v>0</v>
      </c>
      <c r="AC447">
        <v>0</v>
      </c>
      <c r="AD447">
        <v>222982093</v>
      </c>
      <c r="AE447">
        <v>18.02</v>
      </c>
    </row>
    <row r="448" spans="1:31" x14ac:dyDescent="0.2">
      <c r="A448" t="s">
        <v>518</v>
      </c>
      <c r="B448" t="s">
        <v>877</v>
      </c>
      <c r="C448" t="s">
        <v>878</v>
      </c>
      <c r="D448" t="s">
        <v>1112</v>
      </c>
      <c r="E448" t="s">
        <v>1113</v>
      </c>
      <c r="F448" t="s">
        <v>1114</v>
      </c>
      <c r="G448" t="s">
        <v>1115</v>
      </c>
      <c r="H448" t="s">
        <v>1116</v>
      </c>
      <c r="I448" t="s">
        <v>703</v>
      </c>
      <c r="J448" t="s">
        <v>704</v>
      </c>
      <c r="K448" t="s">
        <v>22</v>
      </c>
      <c r="L448" t="s">
        <v>524</v>
      </c>
      <c r="N448" t="s">
        <v>1557</v>
      </c>
      <c r="O448" t="s">
        <v>1556</v>
      </c>
      <c r="P448" t="s">
        <v>242</v>
      </c>
      <c r="Q448" t="s">
        <v>541</v>
      </c>
      <c r="R448">
        <v>12000000</v>
      </c>
      <c r="S448">
        <v>0</v>
      </c>
      <c r="T448">
        <v>0</v>
      </c>
      <c r="U448">
        <v>0</v>
      </c>
      <c r="V448">
        <v>12000000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</row>
    <row r="449" spans="1:31" x14ac:dyDescent="0.2">
      <c r="A449" t="s">
        <v>518</v>
      </c>
      <c r="B449" t="s">
        <v>877</v>
      </c>
      <c r="C449" t="s">
        <v>878</v>
      </c>
      <c r="D449" t="s">
        <v>879</v>
      </c>
      <c r="E449" t="s">
        <v>1524</v>
      </c>
      <c r="F449" t="s">
        <v>1525</v>
      </c>
      <c r="G449" t="s">
        <v>882</v>
      </c>
      <c r="H449" t="s">
        <v>883</v>
      </c>
      <c r="I449" t="s">
        <v>1526</v>
      </c>
      <c r="J449" t="s">
        <v>1527</v>
      </c>
      <c r="K449" t="s">
        <v>22</v>
      </c>
      <c r="L449" t="s">
        <v>524</v>
      </c>
      <c r="N449" t="s">
        <v>1559</v>
      </c>
      <c r="O449" t="s">
        <v>1533</v>
      </c>
      <c r="P449" t="s">
        <v>457</v>
      </c>
      <c r="Q449" t="s">
        <v>733</v>
      </c>
      <c r="R449">
        <v>0</v>
      </c>
      <c r="S449">
        <v>1607177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1607177</v>
      </c>
      <c r="Z449">
        <v>0</v>
      </c>
      <c r="AA449">
        <v>0</v>
      </c>
      <c r="AB449">
        <v>0</v>
      </c>
      <c r="AC449">
        <v>0</v>
      </c>
      <c r="AD449">
        <v>1607177</v>
      </c>
      <c r="AE449">
        <v>0</v>
      </c>
    </row>
    <row r="450" spans="1:31" x14ac:dyDescent="0.2">
      <c r="A450" t="s">
        <v>518</v>
      </c>
      <c r="B450" t="s">
        <v>877</v>
      </c>
      <c r="C450" t="s">
        <v>878</v>
      </c>
      <c r="D450" t="s">
        <v>1270</v>
      </c>
      <c r="E450" t="s">
        <v>1545</v>
      </c>
      <c r="F450" t="s">
        <v>1540</v>
      </c>
      <c r="G450" t="s">
        <v>1273</v>
      </c>
      <c r="H450" t="s">
        <v>1274</v>
      </c>
      <c r="I450" t="s">
        <v>703</v>
      </c>
      <c r="J450" t="s">
        <v>704</v>
      </c>
      <c r="K450" t="s">
        <v>22</v>
      </c>
      <c r="L450" t="s">
        <v>524</v>
      </c>
      <c r="N450" t="s">
        <v>1560</v>
      </c>
      <c r="O450" t="s">
        <v>1547</v>
      </c>
      <c r="P450" t="s">
        <v>465</v>
      </c>
      <c r="Q450" t="s">
        <v>1561</v>
      </c>
      <c r="R450">
        <v>0</v>
      </c>
      <c r="S450">
        <v>229972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229972</v>
      </c>
      <c r="Z450">
        <v>0</v>
      </c>
      <c r="AA450">
        <v>0</v>
      </c>
      <c r="AB450">
        <v>0</v>
      </c>
      <c r="AC450">
        <v>0</v>
      </c>
      <c r="AD450">
        <v>229972</v>
      </c>
      <c r="AE450">
        <v>0</v>
      </c>
    </row>
    <row r="451" spans="1:31" x14ac:dyDescent="0.2">
      <c r="A451" t="s">
        <v>518</v>
      </c>
      <c r="B451" t="s">
        <v>877</v>
      </c>
      <c r="C451" t="s">
        <v>878</v>
      </c>
      <c r="D451" t="s">
        <v>1112</v>
      </c>
      <c r="E451" t="s">
        <v>1548</v>
      </c>
      <c r="F451" t="s">
        <v>1540</v>
      </c>
      <c r="G451" t="s">
        <v>1115</v>
      </c>
      <c r="H451" t="s">
        <v>1116</v>
      </c>
      <c r="I451" t="s">
        <v>703</v>
      </c>
      <c r="J451" t="s">
        <v>704</v>
      </c>
      <c r="K451" t="s">
        <v>22</v>
      </c>
      <c r="L451" t="s">
        <v>524</v>
      </c>
      <c r="N451" t="s">
        <v>1562</v>
      </c>
      <c r="O451" t="s">
        <v>1550</v>
      </c>
      <c r="P451" t="s">
        <v>395</v>
      </c>
      <c r="Q451" t="s">
        <v>393</v>
      </c>
      <c r="R451">
        <v>0</v>
      </c>
      <c r="S451">
        <v>964878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964878</v>
      </c>
      <c r="Z451">
        <v>0</v>
      </c>
      <c r="AA451">
        <v>0</v>
      </c>
      <c r="AB451">
        <v>0</v>
      </c>
      <c r="AC451">
        <v>0</v>
      </c>
      <c r="AD451">
        <v>964878</v>
      </c>
      <c r="AE451">
        <v>0</v>
      </c>
    </row>
    <row r="452" spans="1:31" x14ac:dyDescent="0.2">
      <c r="A452" t="s">
        <v>518</v>
      </c>
      <c r="B452" t="s">
        <v>877</v>
      </c>
      <c r="C452" t="s">
        <v>878</v>
      </c>
      <c r="D452" t="s">
        <v>1112</v>
      </c>
      <c r="E452" t="s">
        <v>1548</v>
      </c>
      <c r="F452" t="s">
        <v>1540</v>
      </c>
      <c r="G452" t="s">
        <v>1115</v>
      </c>
      <c r="H452" t="s">
        <v>1116</v>
      </c>
      <c r="I452" t="s">
        <v>703</v>
      </c>
      <c r="J452" t="s">
        <v>704</v>
      </c>
      <c r="K452" t="s">
        <v>22</v>
      </c>
      <c r="L452" t="s">
        <v>524</v>
      </c>
      <c r="N452" t="s">
        <v>1563</v>
      </c>
      <c r="O452" t="s">
        <v>1550</v>
      </c>
      <c r="P452" t="s">
        <v>443</v>
      </c>
      <c r="Q452" t="s">
        <v>1138</v>
      </c>
      <c r="R452">
        <v>0</v>
      </c>
      <c r="S452">
        <v>61861312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61861312</v>
      </c>
      <c r="Z452">
        <v>0</v>
      </c>
      <c r="AA452">
        <v>0</v>
      </c>
      <c r="AB452">
        <v>0</v>
      </c>
      <c r="AC452">
        <v>0</v>
      </c>
      <c r="AD452">
        <v>61861312</v>
      </c>
      <c r="AE452">
        <v>0</v>
      </c>
    </row>
    <row r="453" spans="1:31" x14ac:dyDescent="0.2">
      <c r="A453" t="s">
        <v>518</v>
      </c>
      <c r="B453" t="s">
        <v>877</v>
      </c>
      <c r="C453" t="s">
        <v>878</v>
      </c>
      <c r="D453" t="s">
        <v>1112</v>
      </c>
      <c r="E453" t="s">
        <v>1548</v>
      </c>
      <c r="F453" t="s">
        <v>1540</v>
      </c>
      <c r="G453" t="s">
        <v>1115</v>
      </c>
      <c r="H453" t="s">
        <v>1116</v>
      </c>
      <c r="I453" t="s">
        <v>703</v>
      </c>
      <c r="J453" t="s">
        <v>704</v>
      </c>
      <c r="K453" t="s">
        <v>22</v>
      </c>
      <c r="L453" t="s">
        <v>524</v>
      </c>
      <c r="N453" t="s">
        <v>1564</v>
      </c>
      <c r="O453" t="s">
        <v>1550</v>
      </c>
      <c r="P453" t="s">
        <v>477</v>
      </c>
      <c r="Q453" t="s">
        <v>902</v>
      </c>
      <c r="R453">
        <v>0</v>
      </c>
      <c r="S453">
        <v>148750859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148750859</v>
      </c>
      <c r="Z453">
        <v>0</v>
      </c>
      <c r="AA453">
        <v>0</v>
      </c>
      <c r="AB453">
        <v>0</v>
      </c>
      <c r="AC453">
        <v>0</v>
      </c>
      <c r="AD453">
        <v>148750859</v>
      </c>
      <c r="AE453">
        <v>0</v>
      </c>
    </row>
    <row r="454" spans="1:31" x14ac:dyDescent="0.2">
      <c r="A454" t="s">
        <v>518</v>
      </c>
      <c r="B454" t="s">
        <v>877</v>
      </c>
      <c r="C454" t="s">
        <v>878</v>
      </c>
      <c r="D454" t="s">
        <v>879</v>
      </c>
      <c r="E454" t="s">
        <v>1534</v>
      </c>
      <c r="F454" t="s">
        <v>1535</v>
      </c>
      <c r="G454" t="s">
        <v>882</v>
      </c>
      <c r="H454" t="s">
        <v>883</v>
      </c>
      <c r="I454" t="s">
        <v>703</v>
      </c>
      <c r="J454" t="s">
        <v>704</v>
      </c>
      <c r="K454" t="s">
        <v>22</v>
      </c>
      <c r="L454" t="s">
        <v>524</v>
      </c>
      <c r="N454" t="s">
        <v>1565</v>
      </c>
      <c r="O454" t="s">
        <v>1537</v>
      </c>
      <c r="P454" t="s">
        <v>443</v>
      </c>
      <c r="Q454" t="s">
        <v>1138</v>
      </c>
      <c r="R454">
        <v>0</v>
      </c>
      <c r="S454">
        <v>6900000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6900000</v>
      </c>
      <c r="Z454">
        <v>1474200</v>
      </c>
      <c r="AA454">
        <v>1474200</v>
      </c>
      <c r="AB454">
        <v>1000000</v>
      </c>
      <c r="AC454">
        <v>1000000</v>
      </c>
      <c r="AD454">
        <v>5425800</v>
      </c>
      <c r="AE454">
        <v>21.37</v>
      </c>
    </row>
    <row r="455" spans="1:31" x14ac:dyDescent="0.2">
      <c r="A455" t="s">
        <v>518</v>
      </c>
      <c r="B455" t="s">
        <v>519</v>
      </c>
      <c r="C455" t="s">
        <v>22</v>
      </c>
      <c r="D455" t="s">
        <v>520</v>
      </c>
      <c r="E455" t="s">
        <v>521</v>
      </c>
      <c r="F455" t="s">
        <v>522</v>
      </c>
      <c r="G455" t="s">
        <v>22</v>
      </c>
      <c r="H455" t="s">
        <v>22</v>
      </c>
      <c r="I455" t="s">
        <v>22</v>
      </c>
      <c r="J455" t="s">
        <v>523</v>
      </c>
      <c r="K455" t="s">
        <v>22</v>
      </c>
      <c r="L455" t="s">
        <v>524</v>
      </c>
      <c r="N455" t="s">
        <v>1566</v>
      </c>
      <c r="O455" t="s">
        <v>1567</v>
      </c>
      <c r="P455" t="s">
        <v>22</v>
      </c>
      <c r="Q455" t="s">
        <v>527</v>
      </c>
      <c r="R455">
        <v>331116373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331116373</v>
      </c>
      <c r="Z455">
        <v>165421432.56999999</v>
      </c>
      <c r="AA455">
        <v>165421432.56999999</v>
      </c>
      <c r="AB455">
        <v>165421432.56999999</v>
      </c>
      <c r="AC455">
        <v>165421432.56999999</v>
      </c>
      <c r="AD455">
        <v>165694940.43000001</v>
      </c>
      <c r="AE455">
        <v>49.96</v>
      </c>
    </row>
    <row r="456" spans="1:31" x14ac:dyDescent="0.2">
      <c r="A456" t="s">
        <v>518</v>
      </c>
      <c r="B456" t="s">
        <v>519</v>
      </c>
      <c r="C456" t="s">
        <v>22</v>
      </c>
      <c r="D456" t="s">
        <v>520</v>
      </c>
      <c r="E456" t="s">
        <v>521</v>
      </c>
      <c r="F456" t="s">
        <v>522</v>
      </c>
      <c r="G456" t="s">
        <v>22</v>
      </c>
      <c r="H456" t="s">
        <v>22</v>
      </c>
      <c r="I456" t="s">
        <v>22</v>
      </c>
      <c r="J456" t="s">
        <v>523</v>
      </c>
      <c r="K456" t="s">
        <v>22</v>
      </c>
      <c r="L456" t="s">
        <v>524</v>
      </c>
      <c r="N456" t="s">
        <v>1568</v>
      </c>
      <c r="O456" t="s">
        <v>1569</v>
      </c>
      <c r="P456" t="s">
        <v>22</v>
      </c>
      <c r="Q456" t="s">
        <v>527</v>
      </c>
      <c r="R456">
        <v>331116373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331116373</v>
      </c>
      <c r="Z456">
        <v>165421432.56999999</v>
      </c>
      <c r="AA456">
        <v>165421432.56999999</v>
      </c>
      <c r="AB456">
        <v>165421432.56999999</v>
      </c>
      <c r="AC456">
        <v>165421432.56999999</v>
      </c>
      <c r="AD456">
        <v>165694940.43000001</v>
      </c>
      <c r="AE456">
        <v>49.96</v>
      </c>
    </row>
    <row r="457" spans="1:31" x14ac:dyDescent="0.2">
      <c r="A457" t="s">
        <v>518</v>
      </c>
      <c r="B457" t="s">
        <v>519</v>
      </c>
      <c r="C457" t="s">
        <v>22</v>
      </c>
      <c r="D457" t="s">
        <v>520</v>
      </c>
      <c r="E457" t="s">
        <v>521</v>
      </c>
      <c r="F457" t="s">
        <v>522</v>
      </c>
      <c r="G457" t="s">
        <v>22</v>
      </c>
      <c r="H457" t="s">
        <v>22</v>
      </c>
      <c r="I457" t="s">
        <v>22</v>
      </c>
      <c r="J457" t="s">
        <v>523</v>
      </c>
      <c r="K457" t="s">
        <v>22</v>
      </c>
      <c r="L457" t="s">
        <v>524</v>
      </c>
      <c r="N457" t="s">
        <v>1570</v>
      </c>
      <c r="O457" t="s">
        <v>1571</v>
      </c>
      <c r="P457" t="s">
        <v>22</v>
      </c>
      <c r="Q457" t="s">
        <v>527</v>
      </c>
      <c r="R457">
        <v>331116373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331116373</v>
      </c>
      <c r="Z457">
        <v>165421432.56999999</v>
      </c>
      <c r="AA457">
        <v>165421432.56999999</v>
      </c>
      <c r="AB457">
        <v>165421432.56999999</v>
      </c>
      <c r="AC457">
        <v>165421432.56999999</v>
      </c>
      <c r="AD457">
        <v>165694940.43000001</v>
      </c>
      <c r="AE457">
        <v>49.96</v>
      </c>
    </row>
    <row r="458" spans="1:31" x14ac:dyDescent="0.2">
      <c r="A458" t="s">
        <v>518</v>
      </c>
      <c r="B458" t="s">
        <v>519</v>
      </c>
      <c r="C458" t="s">
        <v>22</v>
      </c>
      <c r="D458" t="s">
        <v>520</v>
      </c>
      <c r="E458" t="s">
        <v>521</v>
      </c>
      <c r="F458" t="s">
        <v>522</v>
      </c>
      <c r="G458" t="s">
        <v>22</v>
      </c>
      <c r="H458" t="s">
        <v>22</v>
      </c>
      <c r="I458" t="s">
        <v>22</v>
      </c>
      <c r="J458" t="s">
        <v>523</v>
      </c>
      <c r="K458" t="s">
        <v>22</v>
      </c>
      <c r="L458" t="s">
        <v>524</v>
      </c>
      <c r="N458" t="s">
        <v>1572</v>
      </c>
      <c r="O458" t="s">
        <v>1573</v>
      </c>
      <c r="P458" t="s">
        <v>22</v>
      </c>
      <c r="Q458" t="s">
        <v>527</v>
      </c>
      <c r="R458">
        <v>331116373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331116373</v>
      </c>
      <c r="Z458">
        <v>165421432.56999999</v>
      </c>
      <c r="AA458">
        <v>165421432.56999999</v>
      </c>
      <c r="AB458">
        <v>165421432.56999999</v>
      </c>
      <c r="AC458">
        <v>165421432.56999999</v>
      </c>
      <c r="AD458">
        <v>165694940.43000001</v>
      </c>
      <c r="AE458">
        <v>49.96</v>
      </c>
    </row>
    <row r="459" spans="1:31" x14ac:dyDescent="0.2">
      <c r="A459" t="s">
        <v>518</v>
      </c>
      <c r="B459" t="s">
        <v>519</v>
      </c>
      <c r="C459" t="s">
        <v>22</v>
      </c>
      <c r="D459" t="s">
        <v>520</v>
      </c>
      <c r="E459" t="s">
        <v>521</v>
      </c>
      <c r="F459" t="s">
        <v>522</v>
      </c>
      <c r="G459" t="s">
        <v>22</v>
      </c>
      <c r="H459" t="s">
        <v>22</v>
      </c>
      <c r="I459" t="s">
        <v>22</v>
      </c>
      <c r="J459" t="s">
        <v>523</v>
      </c>
      <c r="K459" t="s">
        <v>22</v>
      </c>
      <c r="L459" t="s">
        <v>524</v>
      </c>
      <c r="N459" t="s">
        <v>1574</v>
      </c>
      <c r="O459" t="s">
        <v>1575</v>
      </c>
      <c r="P459" t="s">
        <v>22</v>
      </c>
      <c r="Q459" t="s">
        <v>527</v>
      </c>
      <c r="R459">
        <v>177394675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177394675</v>
      </c>
      <c r="Z459">
        <v>88762075.319999993</v>
      </c>
      <c r="AA459">
        <v>88762075.319999993</v>
      </c>
      <c r="AB459">
        <v>88762075.319999993</v>
      </c>
      <c r="AC459">
        <v>88762075.319999993</v>
      </c>
      <c r="AD459">
        <v>88632599.680000007</v>
      </c>
      <c r="AE459">
        <v>50.04</v>
      </c>
    </row>
    <row r="460" spans="1:31" x14ac:dyDescent="0.2">
      <c r="A460" t="s">
        <v>518</v>
      </c>
      <c r="B460" t="s">
        <v>1217</v>
      </c>
      <c r="C460" t="s">
        <v>1218</v>
      </c>
      <c r="D460" t="s">
        <v>1219</v>
      </c>
      <c r="E460" t="s">
        <v>1576</v>
      </c>
      <c r="F460" t="s">
        <v>1577</v>
      </c>
      <c r="G460" t="s">
        <v>1222</v>
      </c>
      <c r="H460" t="s">
        <v>1223</v>
      </c>
      <c r="I460" t="s">
        <v>22</v>
      </c>
      <c r="J460" t="s">
        <v>523</v>
      </c>
      <c r="K460" t="s">
        <v>22</v>
      </c>
      <c r="L460" t="s">
        <v>524</v>
      </c>
      <c r="N460" t="s">
        <v>1578</v>
      </c>
      <c r="O460" t="s">
        <v>1579</v>
      </c>
      <c r="P460" t="s">
        <v>252</v>
      </c>
      <c r="Q460" t="s">
        <v>1228</v>
      </c>
      <c r="R460">
        <v>177394675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177394675</v>
      </c>
      <c r="Z460">
        <v>88762075.319999993</v>
      </c>
      <c r="AA460">
        <v>88762075.319999993</v>
      </c>
      <c r="AB460">
        <v>88762075.319999993</v>
      </c>
      <c r="AC460">
        <v>88762075.319999993</v>
      </c>
      <c r="AD460">
        <v>88632599.680000007</v>
      </c>
      <c r="AE460">
        <v>50.04</v>
      </c>
    </row>
    <row r="461" spans="1:31" x14ac:dyDescent="0.2">
      <c r="A461" t="s">
        <v>518</v>
      </c>
      <c r="B461" t="s">
        <v>519</v>
      </c>
      <c r="C461" t="s">
        <v>22</v>
      </c>
      <c r="D461" t="s">
        <v>520</v>
      </c>
      <c r="E461" t="s">
        <v>521</v>
      </c>
      <c r="F461" t="s">
        <v>522</v>
      </c>
      <c r="G461" t="s">
        <v>22</v>
      </c>
      <c r="H461" t="s">
        <v>22</v>
      </c>
      <c r="I461" t="s">
        <v>22</v>
      </c>
      <c r="J461" t="s">
        <v>523</v>
      </c>
      <c r="K461" t="s">
        <v>22</v>
      </c>
      <c r="L461" t="s">
        <v>524</v>
      </c>
      <c r="N461" t="s">
        <v>1580</v>
      </c>
      <c r="O461" t="s">
        <v>1581</v>
      </c>
      <c r="P461" t="s">
        <v>22</v>
      </c>
      <c r="Q461" t="s">
        <v>527</v>
      </c>
      <c r="R461">
        <v>78292899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78292899</v>
      </c>
      <c r="Z461">
        <v>39141246.710000001</v>
      </c>
      <c r="AA461">
        <v>39141246.710000001</v>
      </c>
      <c r="AB461">
        <v>39141246.710000001</v>
      </c>
      <c r="AC461">
        <v>39141246.710000001</v>
      </c>
      <c r="AD461">
        <v>39151652.289999999</v>
      </c>
      <c r="AE461">
        <v>49.99</v>
      </c>
    </row>
    <row r="462" spans="1:31" x14ac:dyDescent="0.2">
      <c r="A462" t="s">
        <v>518</v>
      </c>
      <c r="B462" t="s">
        <v>1217</v>
      </c>
      <c r="C462" t="s">
        <v>1218</v>
      </c>
      <c r="D462" t="s">
        <v>1219</v>
      </c>
      <c r="E462" t="s">
        <v>1576</v>
      </c>
      <c r="F462" t="s">
        <v>1577</v>
      </c>
      <c r="G462" t="s">
        <v>1222</v>
      </c>
      <c r="H462" t="s">
        <v>1223</v>
      </c>
      <c r="I462" t="s">
        <v>22</v>
      </c>
      <c r="J462" t="s">
        <v>523</v>
      </c>
      <c r="K462" t="s">
        <v>22</v>
      </c>
      <c r="L462" t="s">
        <v>524</v>
      </c>
      <c r="N462" t="s">
        <v>1582</v>
      </c>
      <c r="O462" t="s">
        <v>1583</v>
      </c>
      <c r="P462" t="s">
        <v>252</v>
      </c>
      <c r="Q462" t="s">
        <v>1228</v>
      </c>
      <c r="R462">
        <v>78292899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78292899</v>
      </c>
      <c r="Z462">
        <v>39141246.710000001</v>
      </c>
      <c r="AA462">
        <v>39141246.710000001</v>
      </c>
      <c r="AB462">
        <v>39141246.710000001</v>
      </c>
      <c r="AC462">
        <v>39141246.710000001</v>
      </c>
      <c r="AD462">
        <v>39151652.289999999</v>
      </c>
      <c r="AE462">
        <v>49.99</v>
      </c>
    </row>
    <row r="463" spans="1:31" x14ac:dyDescent="0.2">
      <c r="A463" t="s">
        <v>518</v>
      </c>
      <c r="B463" t="s">
        <v>519</v>
      </c>
      <c r="C463" t="s">
        <v>22</v>
      </c>
      <c r="D463" t="s">
        <v>520</v>
      </c>
      <c r="E463" t="s">
        <v>521</v>
      </c>
      <c r="F463" t="s">
        <v>522</v>
      </c>
      <c r="G463" t="s">
        <v>22</v>
      </c>
      <c r="H463" t="s">
        <v>22</v>
      </c>
      <c r="I463" t="s">
        <v>22</v>
      </c>
      <c r="J463" t="s">
        <v>523</v>
      </c>
      <c r="K463" t="s">
        <v>22</v>
      </c>
      <c r="L463" t="s">
        <v>524</v>
      </c>
      <c r="N463" t="s">
        <v>1584</v>
      </c>
      <c r="O463" t="s">
        <v>1585</v>
      </c>
      <c r="P463" t="s">
        <v>22</v>
      </c>
      <c r="Q463" t="s">
        <v>527</v>
      </c>
      <c r="R463">
        <v>75428799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75428799</v>
      </c>
      <c r="Z463">
        <v>37518110.539999999</v>
      </c>
      <c r="AA463">
        <v>37518110.539999999</v>
      </c>
      <c r="AB463">
        <v>37518110.539999999</v>
      </c>
      <c r="AC463">
        <v>37518110.539999999</v>
      </c>
      <c r="AD463">
        <v>37910688.460000001</v>
      </c>
      <c r="AE463">
        <v>49.74</v>
      </c>
    </row>
    <row r="464" spans="1:31" x14ac:dyDescent="0.2">
      <c r="A464" t="s">
        <v>518</v>
      </c>
      <c r="B464" t="s">
        <v>1217</v>
      </c>
      <c r="C464" t="s">
        <v>1218</v>
      </c>
      <c r="D464" t="s">
        <v>1219</v>
      </c>
      <c r="E464" t="s">
        <v>1576</v>
      </c>
      <c r="F464" t="s">
        <v>1577</v>
      </c>
      <c r="G464" t="s">
        <v>1222</v>
      </c>
      <c r="H464" t="s">
        <v>1223</v>
      </c>
      <c r="I464" t="s">
        <v>22</v>
      </c>
      <c r="J464" t="s">
        <v>523</v>
      </c>
      <c r="K464" t="s">
        <v>22</v>
      </c>
      <c r="L464" t="s">
        <v>524</v>
      </c>
      <c r="N464" t="s">
        <v>1586</v>
      </c>
      <c r="O464" t="s">
        <v>1587</v>
      </c>
      <c r="P464" t="s">
        <v>252</v>
      </c>
      <c r="Q464" t="s">
        <v>1228</v>
      </c>
      <c r="R464">
        <v>75428799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75428799</v>
      </c>
      <c r="Z464">
        <v>37518110.539999999</v>
      </c>
      <c r="AA464">
        <v>37518110.539999999</v>
      </c>
      <c r="AB464">
        <v>37518110.539999999</v>
      </c>
      <c r="AC464">
        <v>37518110.539999999</v>
      </c>
      <c r="AD464">
        <v>37910688.460000001</v>
      </c>
      <c r="AE464">
        <v>49.74</v>
      </c>
    </row>
    <row r="465" spans="1:31" x14ac:dyDescent="0.2">
      <c r="A465" t="s">
        <v>518</v>
      </c>
      <c r="B465" t="s">
        <v>519</v>
      </c>
      <c r="C465" t="s">
        <v>22</v>
      </c>
      <c r="D465" t="s">
        <v>520</v>
      </c>
      <c r="E465" t="s">
        <v>521</v>
      </c>
      <c r="F465" t="s">
        <v>522</v>
      </c>
      <c r="G465" t="s">
        <v>22</v>
      </c>
      <c r="H465" t="s">
        <v>22</v>
      </c>
      <c r="I465" t="s">
        <v>22</v>
      </c>
      <c r="J465" t="s">
        <v>523</v>
      </c>
      <c r="K465" t="s">
        <v>22</v>
      </c>
      <c r="L465" t="s">
        <v>524</v>
      </c>
      <c r="N465" t="s">
        <v>1588</v>
      </c>
      <c r="O465" t="s">
        <v>1589</v>
      </c>
      <c r="P465" t="s">
        <v>22</v>
      </c>
      <c r="Q465" t="s">
        <v>527</v>
      </c>
      <c r="R465">
        <v>263728235</v>
      </c>
      <c r="S465">
        <v>0</v>
      </c>
      <c r="T465">
        <v>0</v>
      </c>
      <c r="U465">
        <v>27816980</v>
      </c>
      <c r="V465">
        <v>0</v>
      </c>
      <c r="W465">
        <v>0</v>
      </c>
      <c r="X465">
        <v>0</v>
      </c>
      <c r="Y465">
        <v>291545215</v>
      </c>
      <c r="Z465">
        <v>291545215</v>
      </c>
      <c r="AA465">
        <v>291545215</v>
      </c>
      <c r="AB465">
        <v>291545215</v>
      </c>
      <c r="AC465">
        <v>291545215</v>
      </c>
      <c r="AD465">
        <v>0</v>
      </c>
      <c r="AE465">
        <v>100</v>
      </c>
    </row>
    <row r="466" spans="1:31" x14ac:dyDescent="0.2">
      <c r="A466" t="s">
        <v>518</v>
      </c>
      <c r="B466" t="s">
        <v>519</v>
      </c>
      <c r="C466" t="s">
        <v>22</v>
      </c>
      <c r="D466" t="s">
        <v>520</v>
      </c>
      <c r="E466" t="s">
        <v>521</v>
      </c>
      <c r="F466" t="s">
        <v>522</v>
      </c>
      <c r="G466" t="s">
        <v>22</v>
      </c>
      <c r="H466" t="s">
        <v>22</v>
      </c>
      <c r="I466" t="s">
        <v>22</v>
      </c>
      <c r="J466" t="s">
        <v>523</v>
      </c>
      <c r="K466" t="s">
        <v>22</v>
      </c>
      <c r="L466" t="s">
        <v>524</v>
      </c>
      <c r="N466" t="s">
        <v>1590</v>
      </c>
      <c r="O466" t="s">
        <v>1591</v>
      </c>
      <c r="P466" t="s">
        <v>22</v>
      </c>
      <c r="Q466" t="s">
        <v>527</v>
      </c>
      <c r="R466">
        <v>263728235</v>
      </c>
      <c r="S466">
        <v>0</v>
      </c>
      <c r="T466">
        <v>0</v>
      </c>
      <c r="U466">
        <v>27816980</v>
      </c>
      <c r="V466">
        <v>0</v>
      </c>
      <c r="W466">
        <v>0</v>
      </c>
      <c r="X466">
        <v>0</v>
      </c>
      <c r="Y466">
        <v>291545215</v>
      </c>
      <c r="Z466">
        <v>291545215</v>
      </c>
      <c r="AA466">
        <v>291545215</v>
      </c>
      <c r="AB466">
        <v>291545215</v>
      </c>
      <c r="AC466">
        <v>291545215</v>
      </c>
      <c r="AD466">
        <v>0</v>
      </c>
      <c r="AE466">
        <v>100</v>
      </c>
    </row>
    <row r="467" spans="1:31" x14ac:dyDescent="0.2">
      <c r="A467" t="s">
        <v>518</v>
      </c>
      <c r="B467" t="s">
        <v>519</v>
      </c>
      <c r="C467" t="s">
        <v>22</v>
      </c>
      <c r="D467" t="s">
        <v>520</v>
      </c>
      <c r="E467" t="s">
        <v>521</v>
      </c>
      <c r="F467" t="s">
        <v>522</v>
      </c>
      <c r="G467" t="s">
        <v>22</v>
      </c>
      <c r="H467" t="s">
        <v>22</v>
      </c>
      <c r="I467" t="s">
        <v>22</v>
      </c>
      <c r="J467" t="s">
        <v>523</v>
      </c>
      <c r="K467" t="s">
        <v>22</v>
      </c>
      <c r="L467" t="s">
        <v>524</v>
      </c>
      <c r="N467" t="s">
        <v>1592</v>
      </c>
      <c r="O467" t="s">
        <v>1591</v>
      </c>
      <c r="P467" t="s">
        <v>22</v>
      </c>
      <c r="Q467" t="s">
        <v>527</v>
      </c>
      <c r="R467">
        <v>263728235</v>
      </c>
      <c r="S467">
        <v>0</v>
      </c>
      <c r="T467">
        <v>0</v>
      </c>
      <c r="U467">
        <v>27816980</v>
      </c>
      <c r="V467">
        <v>0</v>
      </c>
      <c r="W467">
        <v>0</v>
      </c>
      <c r="X467">
        <v>0</v>
      </c>
      <c r="Y467">
        <v>291545215</v>
      </c>
      <c r="Z467">
        <v>291545215</v>
      </c>
      <c r="AA467">
        <v>291545215</v>
      </c>
      <c r="AB467">
        <v>291545215</v>
      </c>
      <c r="AC467">
        <v>291545215</v>
      </c>
      <c r="AD467">
        <v>0</v>
      </c>
      <c r="AE467">
        <v>100</v>
      </c>
    </row>
    <row r="468" spans="1:31" x14ac:dyDescent="0.2">
      <c r="A468" t="s">
        <v>518</v>
      </c>
      <c r="B468" t="s">
        <v>1217</v>
      </c>
      <c r="C468" t="s">
        <v>1218</v>
      </c>
      <c r="D468" t="s">
        <v>1219</v>
      </c>
      <c r="E468" t="s">
        <v>1220</v>
      </c>
      <c r="F468" t="s">
        <v>1221</v>
      </c>
      <c r="G468" t="s">
        <v>1222</v>
      </c>
      <c r="H468" t="s">
        <v>1223</v>
      </c>
      <c r="I468" t="s">
        <v>22</v>
      </c>
      <c r="J468" t="s">
        <v>523</v>
      </c>
      <c r="K468" t="s">
        <v>22</v>
      </c>
      <c r="L468" t="s">
        <v>524</v>
      </c>
      <c r="N468" t="s">
        <v>1593</v>
      </c>
      <c r="O468" t="s">
        <v>1594</v>
      </c>
      <c r="P468" t="s">
        <v>252</v>
      </c>
      <c r="Q468" t="s">
        <v>1228</v>
      </c>
      <c r="R468">
        <v>263728235</v>
      </c>
      <c r="S468">
        <v>0</v>
      </c>
      <c r="T468">
        <v>0</v>
      </c>
      <c r="U468">
        <v>27816980</v>
      </c>
      <c r="V468">
        <v>0</v>
      </c>
      <c r="W468">
        <v>0</v>
      </c>
      <c r="X468">
        <v>0</v>
      </c>
      <c r="Y468">
        <v>291545215</v>
      </c>
      <c r="Z468">
        <v>291545215</v>
      </c>
      <c r="AA468">
        <v>291545215</v>
      </c>
      <c r="AB468">
        <v>291545215</v>
      </c>
      <c r="AC468">
        <v>291545215</v>
      </c>
      <c r="AD468">
        <v>0</v>
      </c>
      <c r="AE468">
        <v>100</v>
      </c>
    </row>
    <row r="469" spans="1:31" x14ac:dyDescent="0.2">
      <c r="A469" t="s">
        <v>1595</v>
      </c>
      <c r="B469" t="s">
        <v>519</v>
      </c>
      <c r="C469" t="s">
        <v>22</v>
      </c>
      <c r="D469" t="s">
        <v>520</v>
      </c>
      <c r="E469" t="s">
        <v>521</v>
      </c>
      <c r="F469" t="s">
        <v>522</v>
      </c>
      <c r="G469" t="s">
        <v>22</v>
      </c>
      <c r="H469" t="s">
        <v>22</v>
      </c>
      <c r="I469" t="s">
        <v>22</v>
      </c>
      <c r="J469" t="s">
        <v>523</v>
      </c>
      <c r="K469" t="s">
        <v>22</v>
      </c>
      <c r="L469" t="s">
        <v>524</v>
      </c>
      <c r="N469" t="s">
        <v>525</v>
      </c>
      <c r="O469" t="s">
        <v>526</v>
      </c>
      <c r="P469" t="s">
        <v>22</v>
      </c>
      <c r="Q469" t="s">
        <v>527</v>
      </c>
      <c r="R469">
        <v>13791481336</v>
      </c>
      <c r="S469">
        <v>52976753</v>
      </c>
      <c r="T469">
        <v>23000000</v>
      </c>
      <c r="U469">
        <v>1400100</v>
      </c>
      <c r="V469">
        <v>1400100</v>
      </c>
      <c r="W469">
        <v>0</v>
      </c>
      <c r="X469">
        <v>0</v>
      </c>
      <c r="Y469">
        <v>13821458089</v>
      </c>
      <c r="Z469">
        <v>13437640034</v>
      </c>
      <c r="AA469">
        <v>6555084976.9799995</v>
      </c>
      <c r="AB469">
        <v>6510936178.7799997</v>
      </c>
      <c r="AC469">
        <v>6510936178.7799997</v>
      </c>
      <c r="AD469">
        <v>383818055</v>
      </c>
      <c r="AE469">
        <v>97.22</v>
      </c>
    </row>
    <row r="470" spans="1:31" x14ac:dyDescent="0.2">
      <c r="A470" t="s">
        <v>1595</v>
      </c>
      <c r="B470" t="s">
        <v>519</v>
      </c>
      <c r="C470" t="s">
        <v>22</v>
      </c>
      <c r="D470" t="s">
        <v>520</v>
      </c>
      <c r="E470" t="s">
        <v>521</v>
      </c>
      <c r="F470" t="s">
        <v>522</v>
      </c>
      <c r="G470" t="s">
        <v>22</v>
      </c>
      <c r="H470" t="s">
        <v>22</v>
      </c>
      <c r="I470" t="s">
        <v>22</v>
      </c>
      <c r="J470" t="s">
        <v>523</v>
      </c>
      <c r="K470" t="s">
        <v>22</v>
      </c>
      <c r="L470" t="s">
        <v>524</v>
      </c>
      <c r="N470" t="s">
        <v>839</v>
      </c>
      <c r="O470" t="s">
        <v>840</v>
      </c>
      <c r="P470" t="s">
        <v>22</v>
      </c>
      <c r="Q470" t="s">
        <v>527</v>
      </c>
      <c r="R470">
        <v>13791481336</v>
      </c>
      <c r="S470">
        <v>52976753</v>
      </c>
      <c r="T470">
        <v>23000000</v>
      </c>
      <c r="U470">
        <v>1400100</v>
      </c>
      <c r="V470">
        <v>1400100</v>
      </c>
      <c r="W470">
        <v>0</v>
      </c>
      <c r="X470">
        <v>0</v>
      </c>
      <c r="Y470">
        <v>13821458089</v>
      </c>
      <c r="Z470">
        <v>13437640034</v>
      </c>
      <c r="AA470">
        <v>6555084976.9799995</v>
      </c>
      <c r="AB470">
        <v>6510936178.7799997</v>
      </c>
      <c r="AC470">
        <v>6510936178.7799997</v>
      </c>
      <c r="AD470">
        <v>383818055</v>
      </c>
      <c r="AE470">
        <v>97.22</v>
      </c>
    </row>
    <row r="471" spans="1:31" x14ac:dyDescent="0.2">
      <c r="A471" t="s">
        <v>1595</v>
      </c>
      <c r="B471" t="s">
        <v>519</v>
      </c>
      <c r="C471" t="s">
        <v>22</v>
      </c>
      <c r="D471" t="s">
        <v>520</v>
      </c>
      <c r="E471" t="s">
        <v>521</v>
      </c>
      <c r="F471" t="s">
        <v>522</v>
      </c>
      <c r="G471" t="s">
        <v>22</v>
      </c>
      <c r="H471" t="s">
        <v>22</v>
      </c>
      <c r="I471" t="s">
        <v>22</v>
      </c>
      <c r="J471" t="s">
        <v>523</v>
      </c>
      <c r="K471" t="s">
        <v>22</v>
      </c>
      <c r="L471" t="s">
        <v>524</v>
      </c>
      <c r="N471" t="s">
        <v>1099</v>
      </c>
      <c r="O471" t="s">
        <v>1100</v>
      </c>
      <c r="P471" t="s">
        <v>22</v>
      </c>
      <c r="Q471" t="s">
        <v>527</v>
      </c>
      <c r="R471">
        <v>13791481336</v>
      </c>
      <c r="S471">
        <v>52976753</v>
      </c>
      <c r="T471">
        <v>23000000</v>
      </c>
      <c r="U471">
        <v>1400100</v>
      </c>
      <c r="V471">
        <v>1400100</v>
      </c>
      <c r="W471">
        <v>0</v>
      </c>
      <c r="X471">
        <v>0</v>
      </c>
      <c r="Y471">
        <v>13821458089</v>
      </c>
      <c r="Z471">
        <v>13437640034</v>
      </c>
      <c r="AA471">
        <v>6555084976.9799995</v>
      </c>
      <c r="AB471">
        <v>6510936178.7799997</v>
      </c>
      <c r="AC471">
        <v>6510936178.7799997</v>
      </c>
      <c r="AD471">
        <v>383818055</v>
      </c>
      <c r="AE471">
        <v>97.22</v>
      </c>
    </row>
    <row r="472" spans="1:31" x14ac:dyDescent="0.2">
      <c r="A472" t="s">
        <v>1595</v>
      </c>
      <c r="B472" t="s">
        <v>519</v>
      </c>
      <c r="C472" t="s">
        <v>22</v>
      </c>
      <c r="D472" t="s">
        <v>520</v>
      </c>
      <c r="E472" t="s">
        <v>521</v>
      </c>
      <c r="F472" t="s">
        <v>522</v>
      </c>
      <c r="G472" t="s">
        <v>22</v>
      </c>
      <c r="H472" t="s">
        <v>22</v>
      </c>
      <c r="I472" t="s">
        <v>22</v>
      </c>
      <c r="J472" t="s">
        <v>523</v>
      </c>
      <c r="K472" t="s">
        <v>22</v>
      </c>
      <c r="L472" t="s">
        <v>524</v>
      </c>
      <c r="N472" t="s">
        <v>1140</v>
      </c>
      <c r="O472" t="s">
        <v>626</v>
      </c>
      <c r="P472" t="s">
        <v>22</v>
      </c>
      <c r="Q472" t="s">
        <v>527</v>
      </c>
      <c r="R472">
        <v>13791481336</v>
      </c>
      <c r="S472">
        <v>52976753</v>
      </c>
      <c r="T472">
        <v>23000000</v>
      </c>
      <c r="U472">
        <v>1400100</v>
      </c>
      <c r="V472">
        <v>1400100</v>
      </c>
      <c r="W472">
        <v>0</v>
      </c>
      <c r="X472">
        <v>0</v>
      </c>
      <c r="Y472">
        <v>13821458089</v>
      </c>
      <c r="Z472">
        <v>13437640034</v>
      </c>
      <c r="AA472">
        <v>6555084976.9799995</v>
      </c>
      <c r="AB472">
        <v>6510936178.7799997</v>
      </c>
      <c r="AC472">
        <v>6510936178.7799997</v>
      </c>
      <c r="AD472">
        <v>383818055</v>
      </c>
      <c r="AE472">
        <v>97.22</v>
      </c>
    </row>
    <row r="473" spans="1:31" x14ac:dyDescent="0.2">
      <c r="A473" t="s">
        <v>1595</v>
      </c>
      <c r="B473" t="s">
        <v>519</v>
      </c>
      <c r="C473" t="s">
        <v>22</v>
      </c>
      <c r="D473" t="s">
        <v>520</v>
      </c>
      <c r="E473" t="s">
        <v>521</v>
      </c>
      <c r="F473" t="s">
        <v>522</v>
      </c>
      <c r="G473" t="s">
        <v>22</v>
      </c>
      <c r="H473" t="s">
        <v>22</v>
      </c>
      <c r="I473" t="s">
        <v>22</v>
      </c>
      <c r="J473" t="s">
        <v>523</v>
      </c>
      <c r="K473" t="s">
        <v>22</v>
      </c>
      <c r="L473" t="s">
        <v>524</v>
      </c>
      <c r="N473" t="s">
        <v>1161</v>
      </c>
      <c r="O473" t="s">
        <v>1162</v>
      </c>
      <c r="P473" t="s">
        <v>22</v>
      </c>
      <c r="Q473" t="s">
        <v>527</v>
      </c>
      <c r="R473">
        <v>13791481336</v>
      </c>
      <c r="S473">
        <v>52976753</v>
      </c>
      <c r="T473">
        <v>23000000</v>
      </c>
      <c r="U473">
        <v>1400100</v>
      </c>
      <c r="V473">
        <v>1400100</v>
      </c>
      <c r="W473">
        <v>0</v>
      </c>
      <c r="X473">
        <v>0</v>
      </c>
      <c r="Y473">
        <v>13821458089</v>
      </c>
      <c r="Z473">
        <v>13437640034</v>
      </c>
      <c r="AA473">
        <v>6555084976.9799995</v>
      </c>
      <c r="AB473">
        <v>6510936178.7799997</v>
      </c>
      <c r="AC473">
        <v>6510936178.7799997</v>
      </c>
      <c r="AD473">
        <v>383818055</v>
      </c>
      <c r="AE473">
        <v>97.22</v>
      </c>
    </row>
    <row r="474" spans="1:31" x14ac:dyDescent="0.2">
      <c r="A474" t="s">
        <v>1595</v>
      </c>
      <c r="B474" t="s">
        <v>519</v>
      </c>
      <c r="C474" t="s">
        <v>22</v>
      </c>
      <c r="D474" t="s">
        <v>520</v>
      </c>
      <c r="E474" t="s">
        <v>521</v>
      </c>
      <c r="F474" t="s">
        <v>522</v>
      </c>
      <c r="G474" t="s">
        <v>22</v>
      </c>
      <c r="H474" t="s">
        <v>22</v>
      </c>
      <c r="I474" t="s">
        <v>22</v>
      </c>
      <c r="J474" t="s">
        <v>523</v>
      </c>
      <c r="K474" t="s">
        <v>22</v>
      </c>
      <c r="L474" t="s">
        <v>524</v>
      </c>
      <c r="N474" t="s">
        <v>1344</v>
      </c>
      <c r="O474" t="s">
        <v>1345</v>
      </c>
      <c r="P474" t="s">
        <v>22</v>
      </c>
      <c r="Q474" t="s">
        <v>527</v>
      </c>
      <c r="R474">
        <v>13791481336</v>
      </c>
      <c r="S474">
        <v>52976753</v>
      </c>
      <c r="T474">
        <v>23000000</v>
      </c>
      <c r="U474">
        <v>1400100</v>
      </c>
      <c r="V474">
        <v>1400100</v>
      </c>
      <c r="W474">
        <v>0</v>
      </c>
      <c r="X474">
        <v>0</v>
      </c>
      <c r="Y474">
        <v>13821458089</v>
      </c>
      <c r="Z474">
        <v>13437640034</v>
      </c>
      <c r="AA474">
        <v>6555084976.9799995</v>
      </c>
      <c r="AB474">
        <v>6510936178.7799997</v>
      </c>
      <c r="AC474">
        <v>6510936178.7799997</v>
      </c>
      <c r="AD474">
        <v>383818055</v>
      </c>
      <c r="AE474">
        <v>97.22</v>
      </c>
    </row>
    <row r="475" spans="1:31" x14ac:dyDescent="0.2">
      <c r="A475" t="s">
        <v>1595</v>
      </c>
      <c r="B475" t="s">
        <v>519</v>
      </c>
      <c r="C475" t="s">
        <v>22</v>
      </c>
      <c r="D475" t="s">
        <v>520</v>
      </c>
      <c r="E475" t="s">
        <v>521</v>
      </c>
      <c r="F475" t="s">
        <v>522</v>
      </c>
      <c r="G475" t="s">
        <v>22</v>
      </c>
      <c r="H475" t="s">
        <v>22</v>
      </c>
      <c r="I475" t="s">
        <v>22</v>
      </c>
      <c r="J475" t="s">
        <v>523</v>
      </c>
      <c r="K475" t="s">
        <v>22</v>
      </c>
      <c r="L475" t="s">
        <v>524</v>
      </c>
      <c r="N475" t="s">
        <v>1596</v>
      </c>
      <c r="O475" t="s">
        <v>1597</v>
      </c>
      <c r="P475" t="s">
        <v>22</v>
      </c>
      <c r="Q475" t="s">
        <v>527</v>
      </c>
      <c r="R475">
        <v>13791481336</v>
      </c>
      <c r="S475">
        <v>52976753</v>
      </c>
      <c r="T475">
        <v>23000000</v>
      </c>
      <c r="U475">
        <v>1400100</v>
      </c>
      <c r="V475">
        <v>1400100</v>
      </c>
      <c r="W475">
        <v>0</v>
      </c>
      <c r="X475">
        <v>0</v>
      </c>
      <c r="Y475">
        <v>13821458089</v>
      </c>
      <c r="Z475">
        <v>13437640034</v>
      </c>
      <c r="AA475">
        <v>6555084976.9799995</v>
      </c>
      <c r="AB475">
        <v>6510936178.7799997</v>
      </c>
      <c r="AC475">
        <v>6510936178.7799997</v>
      </c>
      <c r="AD475">
        <v>383818055</v>
      </c>
      <c r="AE475">
        <v>97.22</v>
      </c>
    </row>
    <row r="476" spans="1:31" x14ac:dyDescent="0.2">
      <c r="A476" t="s">
        <v>1595</v>
      </c>
      <c r="B476" t="s">
        <v>1598</v>
      </c>
      <c r="C476" t="s">
        <v>1599</v>
      </c>
      <c r="D476" t="s">
        <v>1600</v>
      </c>
      <c r="E476" t="s">
        <v>1601</v>
      </c>
      <c r="F476" t="s">
        <v>1602</v>
      </c>
      <c r="G476" t="s">
        <v>1603</v>
      </c>
      <c r="H476" t="s">
        <v>1604</v>
      </c>
      <c r="I476" t="s">
        <v>1605</v>
      </c>
      <c r="J476" t="s">
        <v>1606</v>
      </c>
      <c r="K476" t="s">
        <v>22</v>
      </c>
      <c r="L476" t="s">
        <v>524</v>
      </c>
      <c r="N476" t="s">
        <v>1607</v>
      </c>
      <c r="O476" t="s">
        <v>1608</v>
      </c>
      <c r="P476" t="s">
        <v>219</v>
      </c>
      <c r="Q476" t="s">
        <v>1609</v>
      </c>
      <c r="R476">
        <v>5164858462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5164858462</v>
      </c>
      <c r="Z476">
        <v>5164858462</v>
      </c>
      <c r="AA476">
        <v>2133097777</v>
      </c>
      <c r="AB476">
        <v>2133097777</v>
      </c>
      <c r="AC476">
        <v>2133097777</v>
      </c>
      <c r="AD476">
        <v>0</v>
      </c>
      <c r="AE476">
        <v>100</v>
      </c>
    </row>
    <row r="477" spans="1:31" x14ac:dyDescent="0.2">
      <c r="A477" t="s">
        <v>1595</v>
      </c>
      <c r="B477" t="s">
        <v>1598</v>
      </c>
      <c r="C477" t="s">
        <v>1599</v>
      </c>
      <c r="D477" t="s">
        <v>1600</v>
      </c>
      <c r="E477" t="s">
        <v>1601</v>
      </c>
      <c r="F477" t="s">
        <v>1602</v>
      </c>
      <c r="G477" t="s">
        <v>1603</v>
      </c>
      <c r="H477" t="s">
        <v>1604</v>
      </c>
      <c r="I477" t="s">
        <v>1605</v>
      </c>
      <c r="J477" t="s">
        <v>1606</v>
      </c>
      <c r="K477" t="s">
        <v>22</v>
      </c>
      <c r="L477" t="s">
        <v>524</v>
      </c>
      <c r="N477" t="s">
        <v>1610</v>
      </c>
      <c r="O477" t="s">
        <v>1611</v>
      </c>
      <c r="P477" t="s">
        <v>300</v>
      </c>
      <c r="Q477" t="s">
        <v>1612</v>
      </c>
      <c r="R477">
        <v>106032935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106032935</v>
      </c>
      <c r="Z477">
        <v>106032935</v>
      </c>
      <c r="AA477">
        <v>40263025</v>
      </c>
      <c r="AB477">
        <v>40263025</v>
      </c>
      <c r="AC477">
        <v>40263025</v>
      </c>
      <c r="AD477">
        <v>0</v>
      </c>
      <c r="AE477">
        <v>100</v>
      </c>
    </row>
    <row r="478" spans="1:31" x14ac:dyDescent="0.2">
      <c r="A478" t="s">
        <v>1595</v>
      </c>
      <c r="B478" t="s">
        <v>1598</v>
      </c>
      <c r="C478" t="s">
        <v>1599</v>
      </c>
      <c r="D478" t="s">
        <v>1600</v>
      </c>
      <c r="E478" t="s">
        <v>1601</v>
      </c>
      <c r="F478" t="s">
        <v>1602</v>
      </c>
      <c r="G478" t="s">
        <v>1603</v>
      </c>
      <c r="H478" t="s">
        <v>1604</v>
      </c>
      <c r="I478" t="s">
        <v>1605</v>
      </c>
      <c r="J478" t="s">
        <v>1606</v>
      </c>
      <c r="K478" t="s">
        <v>22</v>
      </c>
      <c r="L478" t="s">
        <v>524</v>
      </c>
      <c r="N478" t="s">
        <v>1613</v>
      </c>
      <c r="O478" t="s">
        <v>1611</v>
      </c>
      <c r="P478" t="s">
        <v>279</v>
      </c>
      <c r="Q478" t="s">
        <v>1614</v>
      </c>
      <c r="R478">
        <v>7705754382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7705754382</v>
      </c>
      <c r="Z478">
        <v>7705754382</v>
      </c>
      <c r="AA478">
        <v>4085561906.8200002</v>
      </c>
      <c r="AB478">
        <v>4085561906.8200002</v>
      </c>
      <c r="AC478">
        <v>4085561906.8200002</v>
      </c>
      <c r="AD478">
        <v>0</v>
      </c>
      <c r="AE478">
        <v>100</v>
      </c>
    </row>
    <row r="479" spans="1:31" x14ac:dyDescent="0.2">
      <c r="A479" t="s">
        <v>1595</v>
      </c>
      <c r="B479" t="s">
        <v>1598</v>
      </c>
      <c r="C479" t="s">
        <v>1599</v>
      </c>
      <c r="D479" t="s">
        <v>1600</v>
      </c>
      <c r="E479" t="s">
        <v>1601</v>
      </c>
      <c r="F479" t="s">
        <v>1602</v>
      </c>
      <c r="G479" t="s">
        <v>1603</v>
      </c>
      <c r="H479" t="s">
        <v>1604</v>
      </c>
      <c r="I479" t="s">
        <v>1605</v>
      </c>
      <c r="J479" t="s">
        <v>1606</v>
      </c>
      <c r="K479" t="s">
        <v>22</v>
      </c>
      <c r="L479" t="s">
        <v>524</v>
      </c>
      <c r="N479" t="s">
        <v>1615</v>
      </c>
      <c r="O479" t="s">
        <v>1611</v>
      </c>
      <c r="P479" t="s">
        <v>283</v>
      </c>
      <c r="Q479" t="s">
        <v>1616</v>
      </c>
      <c r="R479">
        <v>3396564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3396564</v>
      </c>
      <c r="Z479">
        <v>3396564</v>
      </c>
      <c r="AA479">
        <v>1538907.89</v>
      </c>
      <c r="AB479">
        <v>1538907.89</v>
      </c>
      <c r="AC479">
        <v>1538907.89</v>
      </c>
      <c r="AD479">
        <v>0</v>
      </c>
      <c r="AE479">
        <v>100</v>
      </c>
    </row>
    <row r="480" spans="1:31" x14ac:dyDescent="0.2">
      <c r="A480" t="s">
        <v>1595</v>
      </c>
      <c r="B480" t="s">
        <v>1598</v>
      </c>
      <c r="C480" t="s">
        <v>1599</v>
      </c>
      <c r="D480" t="s">
        <v>1600</v>
      </c>
      <c r="E480" t="s">
        <v>1601</v>
      </c>
      <c r="F480" t="s">
        <v>1602</v>
      </c>
      <c r="G480" t="s">
        <v>1603</v>
      </c>
      <c r="H480" t="s">
        <v>1604</v>
      </c>
      <c r="I480" t="s">
        <v>1605</v>
      </c>
      <c r="J480" t="s">
        <v>1606</v>
      </c>
      <c r="K480" t="s">
        <v>22</v>
      </c>
      <c r="L480" t="s">
        <v>524</v>
      </c>
      <c r="N480" t="s">
        <v>1617</v>
      </c>
      <c r="O480" t="s">
        <v>1611</v>
      </c>
      <c r="P480" t="s">
        <v>289</v>
      </c>
      <c r="Q480" t="s">
        <v>1618</v>
      </c>
      <c r="R480">
        <v>315954895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315954895</v>
      </c>
      <c r="Z480">
        <v>315954895</v>
      </c>
      <c r="AA480">
        <v>152980564.27000001</v>
      </c>
      <c r="AB480">
        <v>152980564.27000001</v>
      </c>
      <c r="AC480">
        <v>152980564.27000001</v>
      </c>
      <c r="AD480">
        <v>0</v>
      </c>
      <c r="AE480">
        <v>100</v>
      </c>
    </row>
    <row r="481" spans="1:31" x14ac:dyDescent="0.2">
      <c r="A481" t="s">
        <v>1595</v>
      </c>
      <c r="B481" t="s">
        <v>1598</v>
      </c>
      <c r="C481" t="s">
        <v>1599</v>
      </c>
      <c r="D481" t="s">
        <v>1600</v>
      </c>
      <c r="E481" t="s">
        <v>1601</v>
      </c>
      <c r="F481" t="s">
        <v>1602</v>
      </c>
      <c r="G481" t="s">
        <v>1603</v>
      </c>
      <c r="H481" t="s">
        <v>1604</v>
      </c>
      <c r="I481" t="s">
        <v>1605</v>
      </c>
      <c r="J481" t="s">
        <v>1606</v>
      </c>
      <c r="K481" t="s">
        <v>22</v>
      </c>
      <c r="L481" t="s">
        <v>524</v>
      </c>
      <c r="N481" t="s">
        <v>1619</v>
      </c>
      <c r="O481" t="s">
        <v>1611</v>
      </c>
      <c r="P481" t="s">
        <v>372</v>
      </c>
      <c r="Q481" t="s">
        <v>1620</v>
      </c>
      <c r="R481">
        <v>100000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100000</v>
      </c>
      <c r="Z481">
        <v>0</v>
      </c>
      <c r="AA481">
        <v>0</v>
      </c>
      <c r="AB481">
        <v>0</v>
      </c>
      <c r="AC481">
        <v>0</v>
      </c>
      <c r="AD481">
        <v>100000</v>
      </c>
      <c r="AE481">
        <v>0</v>
      </c>
    </row>
    <row r="482" spans="1:31" x14ac:dyDescent="0.2">
      <c r="A482" t="s">
        <v>1595</v>
      </c>
      <c r="B482" t="s">
        <v>1598</v>
      </c>
      <c r="C482" t="s">
        <v>1599</v>
      </c>
      <c r="D482" t="s">
        <v>1600</v>
      </c>
      <c r="E482" t="s">
        <v>1601</v>
      </c>
      <c r="F482" t="s">
        <v>1602</v>
      </c>
      <c r="G482" t="s">
        <v>1603</v>
      </c>
      <c r="H482" t="s">
        <v>1604</v>
      </c>
      <c r="I482" t="s">
        <v>1605</v>
      </c>
      <c r="J482" t="s">
        <v>1606</v>
      </c>
      <c r="K482" t="s">
        <v>22</v>
      </c>
      <c r="L482" t="s">
        <v>524</v>
      </c>
      <c r="N482" t="s">
        <v>1621</v>
      </c>
      <c r="O482" t="s">
        <v>1622</v>
      </c>
      <c r="P482" t="s">
        <v>242</v>
      </c>
      <c r="Q482" t="s">
        <v>541</v>
      </c>
      <c r="R482">
        <v>48000000</v>
      </c>
      <c r="S482">
        <v>0</v>
      </c>
      <c r="T482">
        <v>23000000</v>
      </c>
      <c r="U482">
        <v>0</v>
      </c>
      <c r="V482">
        <v>0</v>
      </c>
      <c r="W482">
        <v>0</v>
      </c>
      <c r="X482">
        <v>0</v>
      </c>
      <c r="Y482">
        <v>25000000</v>
      </c>
      <c r="Z482">
        <v>25000000</v>
      </c>
      <c r="AA482">
        <v>25000000</v>
      </c>
      <c r="AB482">
        <v>15000000</v>
      </c>
      <c r="AC482">
        <v>15000000</v>
      </c>
      <c r="AD482">
        <v>0</v>
      </c>
      <c r="AE482">
        <v>100</v>
      </c>
    </row>
    <row r="483" spans="1:31" x14ac:dyDescent="0.2">
      <c r="A483" t="s">
        <v>1595</v>
      </c>
      <c r="B483" t="s">
        <v>1598</v>
      </c>
      <c r="C483" t="s">
        <v>1599</v>
      </c>
      <c r="D483" t="s">
        <v>1600</v>
      </c>
      <c r="E483" t="s">
        <v>1601</v>
      </c>
      <c r="F483" t="s">
        <v>1602</v>
      </c>
      <c r="G483" t="s">
        <v>1603</v>
      </c>
      <c r="H483" t="s">
        <v>1604</v>
      </c>
      <c r="I483" t="s">
        <v>1605</v>
      </c>
      <c r="J483" t="s">
        <v>1606</v>
      </c>
      <c r="K483" t="s">
        <v>22</v>
      </c>
      <c r="L483" t="s">
        <v>524</v>
      </c>
      <c r="N483" t="s">
        <v>1623</v>
      </c>
      <c r="O483" t="s">
        <v>1624</v>
      </c>
      <c r="P483" t="s">
        <v>303</v>
      </c>
      <c r="Q483" t="s">
        <v>1625</v>
      </c>
      <c r="R483">
        <v>35991278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35991278</v>
      </c>
      <c r="Z483">
        <v>12000000</v>
      </c>
      <c r="AA483">
        <v>12000000</v>
      </c>
      <c r="AB483">
        <v>9457432.1999999993</v>
      </c>
      <c r="AC483">
        <v>9457432.1999999993</v>
      </c>
      <c r="AD483">
        <v>23991278</v>
      </c>
      <c r="AE483">
        <v>33.340000000000003</v>
      </c>
    </row>
    <row r="484" spans="1:31" x14ac:dyDescent="0.2">
      <c r="A484" t="s">
        <v>1595</v>
      </c>
      <c r="B484" t="s">
        <v>1598</v>
      </c>
      <c r="C484" t="s">
        <v>1599</v>
      </c>
      <c r="D484" t="s">
        <v>1600</v>
      </c>
      <c r="E484" t="s">
        <v>1601</v>
      </c>
      <c r="F484" t="s">
        <v>1602</v>
      </c>
      <c r="G484" t="s">
        <v>1603</v>
      </c>
      <c r="H484" t="s">
        <v>1604</v>
      </c>
      <c r="I484" t="s">
        <v>1605</v>
      </c>
      <c r="J484" t="s">
        <v>1606</v>
      </c>
      <c r="K484" t="s">
        <v>22</v>
      </c>
      <c r="L484" t="s">
        <v>524</v>
      </c>
      <c r="N484" t="s">
        <v>1626</v>
      </c>
      <c r="O484" t="s">
        <v>1624</v>
      </c>
      <c r="P484" t="s">
        <v>338</v>
      </c>
      <c r="Q484" t="s">
        <v>1627</v>
      </c>
      <c r="R484">
        <v>100000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100000</v>
      </c>
      <c r="Z484">
        <v>0</v>
      </c>
      <c r="AA484">
        <v>0</v>
      </c>
      <c r="AB484">
        <v>0</v>
      </c>
      <c r="AC484">
        <v>0</v>
      </c>
      <c r="AD484">
        <v>100000</v>
      </c>
      <c r="AE484">
        <v>0</v>
      </c>
    </row>
    <row r="485" spans="1:31" x14ac:dyDescent="0.2">
      <c r="A485" t="s">
        <v>1595</v>
      </c>
      <c r="B485" t="s">
        <v>519</v>
      </c>
      <c r="C485" t="s">
        <v>22</v>
      </c>
      <c r="D485" t="s">
        <v>520</v>
      </c>
      <c r="E485" t="s">
        <v>521</v>
      </c>
      <c r="F485" t="s">
        <v>522</v>
      </c>
      <c r="G485" t="s">
        <v>22</v>
      </c>
      <c r="H485" t="s">
        <v>22</v>
      </c>
      <c r="I485" t="s">
        <v>22</v>
      </c>
      <c r="J485" t="s">
        <v>523</v>
      </c>
      <c r="K485" t="s">
        <v>22</v>
      </c>
      <c r="L485" t="s">
        <v>524</v>
      </c>
      <c r="N485" t="s">
        <v>1628</v>
      </c>
      <c r="O485" t="s">
        <v>1629</v>
      </c>
      <c r="P485" t="s">
        <v>22</v>
      </c>
      <c r="Q485" t="s">
        <v>527</v>
      </c>
      <c r="R485">
        <v>0</v>
      </c>
      <c r="S485">
        <v>16832114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16832114</v>
      </c>
      <c r="Z485">
        <v>0</v>
      </c>
      <c r="AA485">
        <v>0</v>
      </c>
      <c r="AB485">
        <v>0</v>
      </c>
      <c r="AC485">
        <v>0</v>
      </c>
      <c r="AD485">
        <v>16832114</v>
      </c>
      <c r="AE485">
        <v>0</v>
      </c>
    </row>
    <row r="486" spans="1:31" x14ac:dyDescent="0.2">
      <c r="A486" t="s">
        <v>1595</v>
      </c>
      <c r="B486" t="s">
        <v>1598</v>
      </c>
      <c r="C486" t="s">
        <v>1599</v>
      </c>
      <c r="D486" t="s">
        <v>1630</v>
      </c>
      <c r="E486" t="s">
        <v>1631</v>
      </c>
      <c r="F486" t="s">
        <v>1632</v>
      </c>
      <c r="G486" t="s">
        <v>1633</v>
      </c>
      <c r="H486" t="s">
        <v>1634</v>
      </c>
      <c r="I486" t="s">
        <v>1605</v>
      </c>
      <c r="J486" t="s">
        <v>1606</v>
      </c>
      <c r="K486" t="s">
        <v>22</v>
      </c>
      <c r="L486" t="s">
        <v>524</v>
      </c>
      <c r="N486" t="s">
        <v>1635</v>
      </c>
      <c r="O486" t="s">
        <v>1636</v>
      </c>
      <c r="P486" t="s">
        <v>224</v>
      </c>
      <c r="Q486" t="s">
        <v>1637</v>
      </c>
      <c r="R486">
        <v>9630000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9630000</v>
      </c>
      <c r="Z486">
        <v>4293333.33</v>
      </c>
      <c r="AA486">
        <v>4293333.33</v>
      </c>
      <c r="AB486">
        <v>3826666.66</v>
      </c>
      <c r="AC486">
        <v>3826666.66</v>
      </c>
      <c r="AD486">
        <v>5336666.67</v>
      </c>
      <c r="AE486">
        <v>44.58</v>
      </c>
    </row>
    <row r="487" spans="1:31" x14ac:dyDescent="0.2">
      <c r="A487" t="s">
        <v>1595</v>
      </c>
      <c r="B487" t="s">
        <v>1598</v>
      </c>
      <c r="C487" t="s">
        <v>1599</v>
      </c>
      <c r="D487" t="s">
        <v>1630</v>
      </c>
      <c r="E487" t="s">
        <v>1631</v>
      </c>
      <c r="F487" t="s">
        <v>1632</v>
      </c>
      <c r="G487" t="s">
        <v>1633</v>
      </c>
      <c r="H487" t="s">
        <v>1634</v>
      </c>
      <c r="I487" t="s">
        <v>1605</v>
      </c>
      <c r="J487" t="s">
        <v>1606</v>
      </c>
      <c r="K487" t="s">
        <v>22</v>
      </c>
      <c r="L487" t="s">
        <v>524</v>
      </c>
      <c r="N487" t="s">
        <v>1638</v>
      </c>
      <c r="O487" t="s">
        <v>1639</v>
      </c>
      <c r="P487" t="s">
        <v>224</v>
      </c>
      <c r="Q487" t="s">
        <v>1637</v>
      </c>
      <c r="R487">
        <v>20653115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20653115</v>
      </c>
      <c r="Z487">
        <v>0</v>
      </c>
      <c r="AA487">
        <v>0</v>
      </c>
      <c r="AB487">
        <v>0</v>
      </c>
      <c r="AC487">
        <v>0</v>
      </c>
      <c r="AD487">
        <v>20653115</v>
      </c>
      <c r="AE487">
        <v>0</v>
      </c>
    </row>
    <row r="488" spans="1:31" x14ac:dyDescent="0.2">
      <c r="A488" t="s">
        <v>1595</v>
      </c>
      <c r="B488" t="s">
        <v>1598</v>
      </c>
      <c r="C488" t="s">
        <v>1599</v>
      </c>
      <c r="D488" t="s">
        <v>1630</v>
      </c>
      <c r="E488" t="s">
        <v>1640</v>
      </c>
      <c r="F488" t="s">
        <v>1641</v>
      </c>
      <c r="G488" t="s">
        <v>1633</v>
      </c>
      <c r="H488" t="s">
        <v>1634</v>
      </c>
      <c r="I488" t="s">
        <v>1605</v>
      </c>
      <c r="J488" t="s">
        <v>1606</v>
      </c>
      <c r="K488" t="s">
        <v>22</v>
      </c>
      <c r="L488" t="s">
        <v>524</v>
      </c>
      <c r="N488" t="s">
        <v>1642</v>
      </c>
      <c r="O488" t="s">
        <v>1643</v>
      </c>
      <c r="P488" t="s">
        <v>224</v>
      </c>
      <c r="Q488" t="s">
        <v>1637</v>
      </c>
      <c r="R488">
        <v>9630000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9630000</v>
      </c>
      <c r="Z488">
        <v>4293333.33</v>
      </c>
      <c r="AA488">
        <v>4293333.33</v>
      </c>
      <c r="AB488">
        <v>3826666.66</v>
      </c>
      <c r="AC488">
        <v>3826666.66</v>
      </c>
      <c r="AD488">
        <v>5336666.67</v>
      </c>
      <c r="AE488">
        <v>44.58</v>
      </c>
    </row>
    <row r="489" spans="1:31" x14ac:dyDescent="0.2">
      <c r="A489" t="s">
        <v>1595</v>
      </c>
      <c r="B489" t="s">
        <v>1598</v>
      </c>
      <c r="C489" t="s">
        <v>1599</v>
      </c>
      <c r="D489" t="s">
        <v>1630</v>
      </c>
      <c r="E489" t="s">
        <v>1640</v>
      </c>
      <c r="F489" t="s">
        <v>1641</v>
      </c>
      <c r="G489" t="s">
        <v>1633</v>
      </c>
      <c r="H489" t="s">
        <v>1634</v>
      </c>
      <c r="I489" t="s">
        <v>1605</v>
      </c>
      <c r="J489" t="s">
        <v>1606</v>
      </c>
      <c r="K489" t="s">
        <v>22</v>
      </c>
      <c r="L489" t="s">
        <v>524</v>
      </c>
      <c r="N489" t="s">
        <v>1644</v>
      </c>
      <c r="O489" t="s">
        <v>1645</v>
      </c>
      <c r="P489" t="s">
        <v>224</v>
      </c>
      <c r="Q489" t="s">
        <v>1637</v>
      </c>
      <c r="R489">
        <v>25816394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25816394</v>
      </c>
      <c r="Z489">
        <v>0</v>
      </c>
      <c r="AA489">
        <v>0</v>
      </c>
      <c r="AB489">
        <v>0</v>
      </c>
      <c r="AC489">
        <v>0</v>
      </c>
      <c r="AD489">
        <v>25816394</v>
      </c>
      <c r="AE489">
        <v>0</v>
      </c>
    </row>
    <row r="490" spans="1:31" x14ac:dyDescent="0.2">
      <c r="A490" t="s">
        <v>1595</v>
      </c>
      <c r="B490" t="s">
        <v>1598</v>
      </c>
      <c r="C490" t="s">
        <v>1599</v>
      </c>
      <c r="D490" t="s">
        <v>1630</v>
      </c>
      <c r="E490" t="s">
        <v>1646</v>
      </c>
      <c r="F490" t="s">
        <v>1647</v>
      </c>
      <c r="G490" t="s">
        <v>1633</v>
      </c>
      <c r="H490" t="s">
        <v>1634</v>
      </c>
      <c r="I490" t="s">
        <v>1605</v>
      </c>
      <c r="J490" t="s">
        <v>1606</v>
      </c>
      <c r="K490" t="s">
        <v>22</v>
      </c>
      <c r="L490" t="s">
        <v>524</v>
      </c>
      <c r="N490" t="s">
        <v>1648</v>
      </c>
      <c r="O490" t="s">
        <v>1649</v>
      </c>
      <c r="P490" t="s">
        <v>224</v>
      </c>
      <c r="Q490" t="s">
        <v>1637</v>
      </c>
      <c r="R490">
        <v>9630000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9630000</v>
      </c>
      <c r="Z490">
        <v>4293333.34</v>
      </c>
      <c r="AA490">
        <v>4293333.34</v>
      </c>
      <c r="AB490">
        <v>3826666.68</v>
      </c>
      <c r="AC490">
        <v>3826666.68</v>
      </c>
      <c r="AD490">
        <v>5336666.66</v>
      </c>
      <c r="AE490">
        <v>44.58</v>
      </c>
    </row>
    <row r="491" spans="1:31" x14ac:dyDescent="0.2">
      <c r="A491" t="s">
        <v>1595</v>
      </c>
      <c r="B491" t="s">
        <v>1598</v>
      </c>
      <c r="C491" t="s">
        <v>1599</v>
      </c>
      <c r="D491" t="s">
        <v>1630</v>
      </c>
      <c r="E491" t="s">
        <v>1646</v>
      </c>
      <c r="F491" t="s">
        <v>1647</v>
      </c>
      <c r="G491" t="s">
        <v>1633</v>
      </c>
      <c r="H491" t="s">
        <v>1634</v>
      </c>
      <c r="I491" t="s">
        <v>1605</v>
      </c>
      <c r="J491" t="s">
        <v>1606</v>
      </c>
      <c r="K491" t="s">
        <v>22</v>
      </c>
      <c r="L491" t="s">
        <v>524</v>
      </c>
      <c r="N491" t="s">
        <v>1650</v>
      </c>
      <c r="O491" t="s">
        <v>1651</v>
      </c>
      <c r="P491" t="s">
        <v>224</v>
      </c>
      <c r="Q491" t="s">
        <v>1637</v>
      </c>
      <c r="R491">
        <v>25816394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25816394</v>
      </c>
      <c r="Z491">
        <v>0</v>
      </c>
      <c r="AA491">
        <v>0</v>
      </c>
      <c r="AB491">
        <v>0</v>
      </c>
      <c r="AC491">
        <v>0</v>
      </c>
      <c r="AD491">
        <v>25816394</v>
      </c>
      <c r="AE491">
        <v>0</v>
      </c>
    </row>
    <row r="492" spans="1:31" x14ac:dyDescent="0.2">
      <c r="A492" t="s">
        <v>1595</v>
      </c>
      <c r="B492" t="s">
        <v>1598</v>
      </c>
      <c r="C492" t="s">
        <v>1599</v>
      </c>
      <c r="D492" t="s">
        <v>1630</v>
      </c>
      <c r="E492" t="s">
        <v>1652</v>
      </c>
      <c r="F492" t="s">
        <v>1653</v>
      </c>
      <c r="G492" t="s">
        <v>1633</v>
      </c>
      <c r="H492" t="s">
        <v>1634</v>
      </c>
      <c r="I492" t="s">
        <v>1605</v>
      </c>
      <c r="J492" t="s">
        <v>1606</v>
      </c>
      <c r="K492" t="s">
        <v>22</v>
      </c>
      <c r="L492" t="s">
        <v>524</v>
      </c>
      <c r="N492" t="s">
        <v>1654</v>
      </c>
      <c r="O492" t="s">
        <v>1655</v>
      </c>
      <c r="P492" t="s">
        <v>224</v>
      </c>
      <c r="Q492" t="s">
        <v>1637</v>
      </c>
      <c r="R492">
        <v>7134000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7134000</v>
      </c>
      <c r="Z492">
        <v>5500000</v>
      </c>
      <c r="AA492">
        <v>5500000</v>
      </c>
      <c r="AB492">
        <v>4766667.5</v>
      </c>
      <c r="AC492">
        <v>4766667.5</v>
      </c>
      <c r="AD492">
        <v>1634000</v>
      </c>
      <c r="AE492">
        <v>77.099999999999994</v>
      </c>
    </row>
    <row r="493" spans="1:31" x14ac:dyDescent="0.2">
      <c r="A493" t="s">
        <v>1595</v>
      </c>
      <c r="B493" t="s">
        <v>1598</v>
      </c>
      <c r="C493" t="s">
        <v>1599</v>
      </c>
      <c r="D493" t="s">
        <v>1630</v>
      </c>
      <c r="E493" t="s">
        <v>1652</v>
      </c>
      <c r="F493" t="s">
        <v>1653</v>
      </c>
      <c r="G493" t="s">
        <v>1633</v>
      </c>
      <c r="H493" t="s">
        <v>1634</v>
      </c>
      <c r="I493" t="s">
        <v>1605</v>
      </c>
      <c r="J493" t="s">
        <v>1606</v>
      </c>
      <c r="K493" t="s">
        <v>22</v>
      </c>
      <c r="L493" t="s">
        <v>524</v>
      </c>
      <c r="N493" t="s">
        <v>1656</v>
      </c>
      <c r="O493" t="s">
        <v>1657</v>
      </c>
      <c r="P493" t="s">
        <v>224</v>
      </c>
      <c r="Q493" t="s">
        <v>1637</v>
      </c>
      <c r="R493">
        <v>20653115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20653115</v>
      </c>
      <c r="Z493">
        <v>0</v>
      </c>
      <c r="AA493">
        <v>0</v>
      </c>
      <c r="AB493">
        <v>0</v>
      </c>
      <c r="AC493">
        <v>0</v>
      </c>
      <c r="AD493">
        <v>20653115</v>
      </c>
      <c r="AE493">
        <v>0</v>
      </c>
    </row>
    <row r="494" spans="1:31" x14ac:dyDescent="0.2">
      <c r="A494" t="s">
        <v>1595</v>
      </c>
      <c r="B494" t="s">
        <v>1598</v>
      </c>
      <c r="C494" t="s">
        <v>1599</v>
      </c>
      <c r="D494" t="s">
        <v>1630</v>
      </c>
      <c r="E494" t="s">
        <v>1658</v>
      </c>
      <c r="F494" t="s">
        <v>1659</v>
      </c>
      <c r="G494" t="s">
        <v>1633</v>
      </c>
      <c r="H494" t="s">
        <v>1634</v>
      </c>
      <c r="I494" t="s">
        <v>1605</v>
      </c>
      <c r="J494" t="s">
        <v>1606</v>
      </c>
      <c r="K494" t="s">
        <v>22</v>
      </c>
      <c r="L494" t="s">
        <v>524</v>
      </c>
      <c r="N494" t="s">
        <v>1660</v>
      </c>
      <c r="O494" t="s">
        <v>1661</v>
      </c>
      <c r="P494" t="s">
        <v>224</v>
      </c>
      <c r="Q494" t="s">
        <v>1637</v>
      </c>
      <c r="R494">
        <v>10400000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10400000</v>
      </c>
      <c r="Z494">
        <v>4574200</v>
      </c>
      <c r="AA494">
        <v>4574200</v>
      </c>
      <c r="AB494">
        <v>4100000</v>
      </c>
      <c r="AC494">
        <v>4100000</v>
      </c>
      <c r="AD494">
        <v>5825800</v>
      </c>
      <c r="AE494">
        <v>43.98</v>
      </c>
    </row>
    <row r="495" spans="1:31" x14ac:dyDescent="0.2">
      <c r="A495" t="s">
        <v>1595</v>
      </c>
      <c r="B495" t="s">
        <v>1598</v>
      </c>
      <c r="C495" t="s">
        <v>1599</v>
      </c>
      <c r="D495" t="s">
        <v>1630</v>
      </c>
      <c r="E495" t="s">
        <v>1658</v>
      </c>
      <c r="F495" t="s">
        <v>1659</v>
      </c>
      <c r="G495" t="s">
        <v>1633</v>
      </c>
      <c r="H495" t="s">
        <v>1634</v>
      </c>
      <c r="I495" t="s">
        <v>1605</v>
      </c>
      <c r="J495" t="s">
        <v>1606</v>
      </c>
      <c r="K495" t="s">
        <v>22</v>
      </c>
      <c r="L495" t="s">
        <v>524</v>
      </c>
      <c r="N495" t="s">
        <v>1662</v>
      </c>
      <c r="O495" t="s">
        <v>1663</v>
      </c>
      <c r="P495" t="s">
        <v>224</v>
      </c>
      <c r="Q495" t="s">
        <v>1637</v>
      </c>
      <c r="R495">
        <v>20653115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20653115</v>
      </c>
      <c r="Z495">
        <v>0</v>
      </c>
      <c r="AA495">
        <v>0</v>
      </c>
      <c r="AB495">
        <v>0</v>
      </c>
      <c r="AC495">
        <v>0</v>
      </c>
      <c r="AD495">
        <v>20653115</v>
      </c>
      <c r="AE495">
        <v>0</v>
      </c>
    </row>
    <row r="496" spans="1:31" x14ac:dyDescent="0.2">
      <c r="A496" t="s">
        <v>1595</v>
      </c>
      <c r="B496" t="s">
        <v>1598</v>
      </c>
      <c r="C496" t="s">
        <v>1599</v>
      </c>
      <c r="D496" t="s">
        <v>1630</v>
      </c>
      <c r="E496" t="s">
        <v>1664</v>
      </c>
      <c r="F496" t="s">
        <v>1665</v>
      </c>
      <c r="G496" t="s">
        <v>1633</v>
      </c>
      <c r="H496" t="s">
        <v>1634</v>
      </c>
      <c r="I496" t="s">
        <v>1605</v>
      </c>
      <c r="J496" t="s">
        <v>1606</v>
      </c>
      <c r="K496" t="s">
        <v>22</v>
      </c>
      <c r="L496" t="s">
        <v>524</v>
      </c>
      <c r="N496" t="s">
        <v>1666</v>
      </c>
      <c r="O496" t="s">
        <v>1667</v>
      </c>
      <c r="P496" t="s">
        <v>224</v>
      </c>
      <c r="Q496" t="s">
        <v>1637</v>
      </c>
      <c r="R496">
        <v>6000000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6000000</v>
      </c>
      <c r="Z496">
        <v>3409600</v>
      </c>
      <c r="AA496">
        <v>3409600</v>
      </c>
      <c r="AB496">
        <v>2993000</v>
      </c>
      <c r="AC496">
        <v>2993000</v>
      </c>
      <c r="AD496">
        <v>2590400</v>
      </c>
      <c r="AE496">
        <v>56.83</v>
      </c>
    </row>
    <row r="497" spans="1:31" x14ac:dyDescent="0.2">
      <c r="A497" t="s">
        <v>1595</v>
      </c>
      <c r="B497" t="s">
        <v>1598</v>
      </c>
      <c r="C497" t="s">
        <v>1599</v>
      </c>
      <c r="D497" t="s">
        <v>1630</v>
      </c>
      <c r="E497" t="s">
        <v>1664</v>
      </c>
      <c r="F497" t="s">
        <v>1665</v>
      </c>
      <c r="G497" t="s">
        <v>1633</v>
      </c>
      <c r="H497" t="s">
        <v>1634</v>
      </c>
      <c r="I497" t="s">
        <v>1605</v>
      </c>
      <c r="J497" t="s">
        <v>1606</v>
      </c>
      <c r="K497" t="s">
        <v>22</v>
      </c>
      <c r="L497" t="s">
        <v>524</v>
      </c>
      <c r="N497" t="s">
        <v>1668</v>
      </c>
      <c r="O497" t="s">
        <v>1669</v>
      </c>
      <c r="P497" t="s">
        <v>224</v>
      </c>
      <c r="Q497" t="s">
        <v>1637</v>
      </c>
      <c r="R497">
        <v>10326558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10326558</v>
      </c>
      <c r="Z497">
        <v>0</v>
      </c>
      <c r="AA497">
        <v>0</v>
      </c>
      <c r="AB497">
        <v>0</v>
      </c>
      <c r="AC497">
        <v>0</v>
      </c>
      <c r="AD497">
        <v>10326558</v>
      </c>
      <c r="AE497">
        <v>0</v>
      </c>
    </row>
    <row r="498" spans="1:31" x14ac:dyDescent="0.2">
      <c r="A498" t="s">
        <v>1595</v>
      </c>
      <c r="B498" t="s">
        <v>1598</v>
      </c>
      <c r="C498" t="s">
        <v>1599</v>
      </c>
      <c r="D498" t="s">
        <v>1630</v>
      </c>
      <c r="E498" t="s">
        <v>1670</v>
      </c>
      <c r="F498" t="s">
        <v>1671</v>
      </c>
      <c r="G498" t="s">
        <v>1633</v>
      </c>
      <c r="H498" t="s">
        <v>1634</v>
      </c>
      <c r="I498" t="s">
        <v>1605</v>
      </c>
      <c r="J498" t="s">
        <v>1606</v>
      </c>
      <c r="K498" t="s">
        <v>22</v>
      </c>
      <c r="L498" t="s">
        <v>524</v>
      </c>
      <c r="N498" t="s">
        <v>1672</v>
      </c>
      <c r="O498" t="s">
        <v>1673</v>
      </c>
      <c r="P498" t="s">
        <v>224</v>
      </c>
      <c r="Q498" t="s">
        <v>1637</v>
      </c>
      <c r="R498">
        <v>4799999.99</v>
      </c>
      <c r="S498">
        <v>0</v>
      </c>
      <c r="T498">
        <v>0</v>
      </c>
      <c r="U498">
        <v>700100</v>
      </c>
      <c r="V498">
        <v>0</v>
      </c>
      <c r="W498">
        <v>0</v>
      </c>
      <c r="X498">
        <v>0</v>
      </c>
      <c r="Y498">
        <v>5500099.9900000002</v>
      </c>
      <c r="Z498">
        <v>5500000</v>
      </c>
      <c r="AA498">
        <v>5500000</v>
      </c>
      <c r="AB498">
        <v>4766667</v>
      </c>
      <c r="AC498">
        <v>4766667</v>
      </c>
      <c r="AD498">
        <v>99.99</v>
      </c>
      <c r="AE498">
        <v>100</v>
      </c>
    </row>
    <row r="499" spans="1:31" x14ac:dyDescent="0.2">
      <c r="A499" t="s">
        <v>1595</v>
      </c>
      <c r="B499" t="s">
        <v>1598</v>
      </c>
      <c r="C499" t="s">
        <v>1599</v>
      </c>
      <c r="D499" t="s">
        <v>1630</v>
      </c>
      <c r="E499" t="s">
        <v>1670</v>
      </c>
      <c r="F499" t="s">
        <v>1671</v>
      </c>
      <c r="G499" t="s">
        <v>1633</v>
      </c>
      <c r="H499" t="s">
        <v>1634</v>
      </c>
      <c r="I499" t="s">
        <v>1605</v>
      </c>
      <c r="J499" t="s">
        <v>1606</v>
      </c>
      <c r="K499" t="s">
        <v>22</v>
      </c>
      <c r="L499" t="s">
        <v>524</v>
      </c>
      <c r="N499" t="s">
        <v>1674</v>
      </c>
      <c r="O499" t="s">
        <v>1675</v>
      </c>
      <c r="P499" t="s">
        <v>224</v>
      </c>
      <c r="Q499" t="s">
        <v>1637</v>
      </c>
      <c r="R499">
        <v>10326558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10326558</v>
      </c>
      <c r="Z499">
        <v>0</v>
      </c>
      <c r="AA499">
        <v>0</v>
      </c>
      <c r="AB499">
        <v>0</v>
      </c>
      <c r="AC499">
        <v>0</v>
      </c>
      <c r="AD499">
        <v>10326558</v>
      </c>
      <c r="AE499">
        <v>0</v>
      </c>
    </row>
    <row r="500" spans="1:31" x14ac:dyDescent="0.2">
      <c r="A500" t="s">
        <v>1595</v>
      </c>
      <c r="B500" t="s">
        <v>1598</v>
      </c>
      <c r="C500" t="s">
        <v>1599</v>
      </c>
      <c r="D500" t="s">
        <v>1630</v>
      </c>
      <c r="E500" t="s">
        <v>1676</v>
      </c>
      <c r="F500" t="s">
        <v>1677</v>
      </c>
      <c r="G500" t="s">
        <v>1633</v>
      </c>
      <c r="H500" t="s">
        <v>1634</v>
      </c>
      <c r="I500" t="s">
        <v>1605</v>
      </c>
      <c r="J500" t="s">
        <v>1606</v>
      </c>
      <c r="K500" t="s">
        <v>22</v>
      </c>
      <c r="L500" t="s">
        <v>524</v>
      </c>
      <c r="N500" t="s">
        <v>1678</v>
      </c>
      <c r="O500" t="s">
        <v>1679</v>
      </c>
      <c r="P500" t="s">
        <v>224</v>
      </c>
      <c r="Q500" t="s">
        <v>1637</v>
      </c>
      <c r="R500">
        <v>4800000.01</v>
      </c>
      <c r="S500">
        <v>0</v>
      </c>
      <c r="T500">
        <v>0</v>
      </c>
      <c r="U500">
        <v>700000</v>
      </c>
      <c r="V500">
        <v>0</v>
      </c>
      <c r="W500">
        <v>0</v>
      </c>
      <c r="X500">
        <v>0</v>
      </c>
      <c r="Y500">
        <v>5500000.0099999998</v>
      </c>
      <c r="Z500">
        <v>5499999</v>
      </c>
      <c r="AA500">
        <v>5499999</v>
      </c>
      <c r="AB500">
        <v>4766666</v>
      </c>
      <c r="AC500">
        <v>4766666</v>
      </c>
      <c r="AD500">
        <v>1.01</v>
      </c>
      <c r="AE500">
        <v>100</v>
      </c>
    </row>
    <row r="501" spans="1:31" x14ac:dyDescent="0.2">
      <c r="A501" t="s">
        <v>1595</v>
      </c>
      <c r="B501" t="s">
        <v>1598</v>
      </c>
      <c r="C501" t="s">
        <v>1599</v>
      </c>
      <c r="D501" t="s">
        <v>1630</v>
      </c>
      <c r="E501" t="s">
        <v>1676</v>
      </c>
      <c r="F501" t="s">
        <v>1677</v>
      </c>
      <c r="G501" t="s">
        <v>1633</v>
      </c>
      <c r="H501" t="s">
        <v>1634</v>
      </c>
      <c r="I501" t="s">
        <v>1605</v>
      </c>
      <c r="J501" t="s">
        <v>1606</v>
      </c>
      <c r="K501" t="s">
        <v>22</v>
      </c>
      <c r="L501" t="s">
        <v>524</v>
      </c>
      <c r="N501" t="s">
        <v>1680</v>
      </c>
      <c r="O501" t="s">
        <v>1681</v>
      </c>
      <c r="P501" t="s">
        <v>224</v>
      </c>
      <c r="Q501" t="s">
        <v>1637</v>
      </c>
      <c r="R501">
        <v>71104213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71104213</v>
      </c>
      <c r="Z501">
        <v>0</v>
      </c>
      <c r="AA501">
        <v>0</v>
      </c>
      <c r="AB501">
        <v>0</v>
      </c>
      <c r="AC501">
        <v>0</v>
      </c>
      <c r="AD501">
        <v>71104213</v>
      </c>
      <c r="AE501">
        <v>0</v>
      </c>
    </row>
    <row r="502" spans="1:31" x14ac:dyDescent="0.2">
      <c r="A502" t="s">
        <v>1595</v>
      </c>
      <c r="B502" t="s">
        <v>1598</v>
      </c>
      <c r="C502" t="s">
        <v>1599</v>
      </c>
      <c r="D502" t="s">
        <v>1630</v>
      </c>
      <c r="E502" t="s">
        <v>1682</v>
      </c>
      <c r="F502" t="s">
        <v>1683</v>
      </c>
      <c r="G502" t="s">
        <v>1633</v>
      </c>
      <c r="H502" t="s">
        <v>1634</v>
      </c>
      <c r="I502" t="s">
        <v>1605</v>
      </c>
      <c r="J502" t="s">
        <v>1606</v>
      </c>
      <c r="K502" t="s">
        <v>22</v>
      </c>
      <c r="L502" t="s">
        <v>524</v>
      </c>
      <c r="N502" t="s">
        <v>1684</v>
      </c>
      <c r="O502" t="s">
        <v>1685</v>
      </c>
      <c r="P502" t="s">
        <v>224</v>
      </c>
      <c r="Q502" t="s">
        <v>1637</v>
      </c>
      <c r="R502">
        <v>7133333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7133333</v>
      </c>
      <c r="Z502">
        <v>5499999</v>
      </c>
      <c r="AA502">
        <v>5499999</v>
      </c>
      <c r="AB502">
        <v>4766665.5</v>
      </c>
      <c r="AC502">
        <v>4766665.5</v>
      </c>
      <c r="AD502">
        <v>1633334</v>
      </c>
      <c r="AE502">
        <v>77.099999999999994</v>
      </c>
    </row>
    <row r="503" spans="1:31" x14ac:dyDescent="0.2">
      <c r="A503" t="s">
        <v>1595</v>
      </c>
      <c r="B503" t="s">
        <v>1598</v>
      </c>
      <c r="C503" t="s">
        <v>1599</v>
      </c>
      <c r="D503" t="s">
        <v>1630</v>
      </c>
      <c r="E503" t="s">
        <v>1682</v>
      </c>
      <c r="F503" t="s">
        <v>1683</v>
      </c>
      <c r="G503" t="s">
        <v>1633</v>
      </c>
      <c r="H503" t="s">
        <v>1634</v>
      </c>
      <c r="I503" t="s">
        <v>1605</v>
      </c>
      <c r="J503" t="s">
        <v>1606</v>
      </c>
      <c r="K503" t="s">
        <v>22</v>
      </c>
      <c r="L503" t="s">
        <v>524</v>
      </c>
      <c r="N503" t="s">
        <v>1686</v>
      </c>
      <c r="O503" t="s">
        <v>1687</v>
      </c>
      <c r="P503" t="s">
        <v>224</v>
      </c>
      <c r="Q503" t="s">
        <v>1637</v>
      </c>
      <c r="R503">
        <v>20653115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20653115</v>
      </c>
      <c r="Z503">
        <v>0</v>
      </c>
      <c r="AA503">
        <v>0</v>
      </c>
      <c r="AB503">
        <v>0</v>
      </c>
      <c r="AC503">
        <v>0</v>
      </c>
      <c r="AD503">
        <v>20653115</v>
      </c>
      <c r="AE503">
        <v>0</v>
      </c>
    </row>
    <row r="504" spans="1:31" x14ac:dyDescent="0.2">
      <c r="A504" t="s">
        <v>1595</v>
      </c>
      <c r="B504" t="s">
        <v>1598</v>
      </c>
      <c r="C504" t="s">
        <v>1599</v>
      </c>
      <c r="D504" t="s">
        <v>1630</v>
      </c>
      <c r="E504" t="s">
        <v>1688</v>
      </c>
      <c r="F504" t="s">
        <v>1689</v>
      </c>
      <c r="G504" t="s">
        <v>1633</v>
      </c>
      <c r="H504" t="s">
        <v>1634</v>
      </c>
      <c r="I504" t="s">
        <v>1605</v>
      </c>
      <c r="J504" t="s">
        <v>1606</v>
      </c>
      <c r="K504" t="s">
        <v>22</v>
      </c>
      <c r="L504" t="s">
        <v>524</v>
      </c>
      <c r="N504" t="s">
        <v>1690</v>
      </c>
      <c r="O504" t="s">
        <v>1691</v>
      </c>
      <c r="P504" t="s">
        <v>224</v>
      </c>
      <c r="Q504" t="s">
        <v>1637</v>
      </c>
      <c r="R504">
        <v>7133334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7133334</v>
      </c>
      <c r="Z504">
        <v>1744000</v>
      </c>
      <c r="AA504">
        <v>1744000</v>
      </c>
      <c r="AB504">
        <v>1736000</v>
      </c>
      <c r="AC504">
        <v>1736000</v>
      </c>
      <c r="AD504">
        <v>5389334</v>
      </c>
      <c r="AE504">
        <v>24.45</v>
      </c>
    </row>
    <row r="505" spans="1:31" x14ac:dyDescent="0.2">
      <c r="A505" t="s">
        <v>1595</v>
      </c>
      <c r="B505" t="s">
        <v>1598</v>
      </c>
      <c r="C505" t="s">
        <v>1599</v>
      </c>
      <c r="D505" t="s">
        <v>1630</v>
      </c>
      <c r="E505" t="s">
        <v>1688</v>
      </c>
      <c r="F505" t="s">
        <v>1689</v>
      </c>
      <c r="G505" t="s">
        <v>1633</v>
      </c>
      <c r="H505" t="s">
        <v>1634</v>
      </c>
      <c r="I505" t="s">
        <v>1605</v>
      </c>
      <c r="J505" t="s">
        <v>1606</v>
      </c>
      <c r="K505" t="s">
        <v>22</v>
      </c>
      <c r="L505" t="s">
        <v>524</v>
      </c>
      <c r="N505" t="s">
        <v>1692</v>
      </c>
      <c r="O505" t="s">
        <v>1693</v>
      </c>
      <c r="P505" t="s">
        <v>224</v>
      </c>
      <c r="Q505" t="s">
        <v>1637</v>
      </c>
      <c r="R505">
        <v>20653115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20653115</v>
      </c>
      <c r="Z505">
        <v>0</v>
      </c>
      <c r="AA505">
        <v>0</v>
      </c>
      <c r="AB505">
        <v>0</v>
      </c>
      <c r="AC505">
        <v>0</v>
      </c>
      <c r="AD505">
        <v>20653115</v>
      </c>
      <c r="AE505">
        <v>0</v>
      </c>
    </row>
    <row r="506" spans="1:31" x14ac:dyDescent="0.2">
      <c r="A506" t="s">
        <v>1595</v>
      </c>
      <c r="B506" t="s">
        <v>1598</v>
      </c>
      <c r="C506" t="s">
        <v>1599</v>
      </c>
      <c r="D506" t="s">
        <v>1630</v>
      </c>
      <c r="E506" t="s">
        <v>1694</v>
      </c>
      <c r="F506" t="s">
        <v>1540</v>
      </c>
      <c r="G506" t="s">
        <v>1633</v>
      </c>
      <c r="H506" t="s">
        <v>1634</v>
      </c>
      <c r="I506" t="s">
        <v>1605</v>
      </c>
      <c r="J506" t="s">
        <v>1606</v>
      </c>
      <c r="K506" t="s">
        <v>22</v>
      </c>
      <c r="L506" t="s">
        <v>524</v>
      </c>
      <c r="N506" t="s">
        <v>1695</v>
      </c>
      <c r="O506" t="s">
        <v>1696</v>
      </c>
      <c r="P506" t="s">
        <v>224</v>
      </c>
      <c r="Q506" t="s">
        <v>1637</v>
      </c>
      <c r="R506">
        <v>88146461</v>
      </c>
      <c r="S506">
        <v>0</v>
      </c>
      <c r="T506">
        <v>0</v>
      </c>
      <c r="U506">
        <v>0</v>
      </c>
      <c r="V506">
        <v>1400100</v>
      </c>
      <c r="W506">
        <v>0</v>
      </c>
      <c r="X506">
        <v>0</v>
      </c>
      <c r="Y506">
        <v>86746361</v>
      </c>
      <c r="Z506">
        <v>60034998</v>
      </c>
      <c r="AA506">
        <v>60034998</v>
      </c>
      <c r="AB506">
        <v>33660899.600000001</v>
      </c>
      <c r="AC506">
        <v>33660899.600000001</v>
      </c>
      <c r="AD506">
        <v>26711363</v>
      </c>
      <c r="AE506">
        <v>69.209999999999994</v>
      </c>
    </row>
    <row r="507" spans="1:31" x14ac:dyDescent="0.2">
      <c r="A507" t="s">
        <v>1595</v>
      </c>
      <c r="B507" t="s">
        <v>1598</v>
      </c>
      <c r="C507" t="s">
        <v>1599</v>
      </c>
      <c r="D507" t="s">
        <v>1630</v>
      </c>
      <c r="E507" t="s">
        <v>1694</v>
      </c>
      <c r="F507" t="s">
        <v>1540</v>
      </c>
      <c r="G507" t="s">
        <v>1633</v>
      </c>
      <c r="H507" t="s">
        <v>1634</v>
      </c>
      <c r="I507" t="s">
        <v>1605</v>
      </c>
      <c r="J507" t="s">
        <v>1606</v>
      </c>
      <c r="K507" t="s">
        <v>22</v>
      </c>
      <c r="L507" t="s">
        <v>524</v>
      </c>
      <c r="N507" t="s">
        <v>1697</v>
      </c>
      <c r="O507" t="s">
        <v>1696</v>
      </c>
      <c r="P507" t="s">
        <v>320</v>
      </c>
      <c r="Q507" t="s">
        <v>1698</v>
      </c>
      <c r="R507">
        <v>100000</v>
      </c>
      <c r="S507">
        <v>1246958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1346958</v>
      </c>
      <c r="Z507">
        <v>0</v>
      </c>
      <c r="AA507">
        <v>0</v>
      </c>
      <c r="AB507">
        <v>0</v>
      </c>
      <c r="AC507">
        <v>0</v>
      </c>
      <c r="AD507">
        <v>1346958</v>
      </c>
      <c r="AE507">
        <v>0</v>
      </c>
    </row>
    <row r="508" spans="1:31" x14ac:dyDescent="0.2">
      <c r="A508" t="s">
        <v>1595</v>
      </c>
      <c r="B508" t="s">
        <v>1598</v>
      </c>
      <c r="C508" t="s">
        <v>1599</v>
      </c>
      <c r="D508" t="s">
        <v>1630</v>
      </c>
      <c r="E508" t="s">
        <v>1694</v>
      </c>
      <c r="F508" t="s">
        <v>1540</v>
      </c>
      <c r="G508" t="s">
        <v>1633</v>
      </c>
      <c r="H508" t="s">
        <v>1634</v>
      </c>
      <c r="I508" t="s">
        <v>1605</v>
      </c>
      <c r="J508" t="s">
        <v>1606</v>
      </c>
      <c r="K508" t="s">
        <v>22</v>
      </c>
      <c r="L508" t="s">
        <v>524</v>
      </c>
      <c r="N508" t="s">
        <v>1699</v>
      </c>
      <c r="O508" t="s">
        <v>1696</v>
      </c>
      <c r="P508" t="s">
        <v>365</v>
      </c>
      <c r="Q508" t="s">
        <v>1700</v>
      </c>
      <c r="R508">
        <v>100000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100000</v>
      </c>
      <c r="Z508">
        <v>0</v>
      </c>
      <c r="AA508">
        <v>0</v>
      </c>
      <c r="AB508">
        <v>0</v>
      </c>
      <c r="AC508">
        <v>0</v>
      </c>
      <c r="AD508">
        <v>100000</v>
      </c>
      <c r="AE508">
        <v>0</v>
      </c>
    </row>
    <row r="509" spans="1:31" x14ac:dyDescent="0.2">
      <c r="A509" t="s">
        <v>1595</v>
      </c>
      <c r="B509" t="s">
        <v>1598</v>
      </c>
      <c r="C509" t="s">
        <v>1599</v>
      </c>
      <c r="D509" t="s">
        <v>1600</v>
      </c>
      <c r="E509" t="s">
        <v>1601</v>
      </c>
      <c r="F509" t="s">
        <v>1602</v>
      </c>
      <c r="G509" t="s">
        <v>1603</v>
      </c>
      <c r="H509" t="s">
        <v>1604</v>
      </c>
      <c r="I509" t="s">
        <v>1605</v>
      </c>
      <c r="J509" t="s">
        <v>1606</v>
      </c>
      <c r="K509" t="s">
        <v>22</v>
      </c>
      <c r="L509" t="s">
        <v>524</v>
      </c>
      <c r="N509" t="s">
        <v>1701</v>
      </c>
      <c r="O509" t="s">
        <v>1611</v>
      </c>
      <c r="P509" t="s">
        <v>391</v>
      </c>
      <c r="Q509" t="s">
        <v>390</v>
      </c>
      <c r="R509">
        <v>0</v>
      </c>
      <c r="S509">
        <v>68666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68666</v>
      </c>
      <c r="Z509">
        <v>0</v>
      </c>
      <c r="AA509">
        <v>0</v>
      </c>
      <c r="AB509">
        <v>0</v>
      </c>
      <c r="AC509">
        <v>0</v>
      </c>
      <c r="AD509">
        <v>68666</v>
      </c>
      <c r="AE509">
        <v>0</v>
      </c>
    </row>
    <row r="510" spans="1:31" x14ac:dyDescent="0.2">
      <c r="A510" t="s">
        <v>1595</v>
      </c>
      <c r="B510" t="s">
        <v>1598</v>
      </c>
      <c r="C510" t="s">
        <v>1599</v>
      </c>
      <c r="D510" t="s">
        <v>1600</v>
      </c>
      <c r="E510" t="s">
        <v>1601</v>
      </c>
      <c r="F510" t="s">
        <v>1602</v>
      </c>
      <c r="G510" t="s">
        <v>1603</v>
      </c>
      <c r="H510" t="s">
        <v>1604</v>
      </c>
      <c r="I510" t="s">
        <v>1605</v>
      </c>
      <c r="J510" t="s">
        <v>1606</v>
      </c>
      <c r="K510" t="s">
        <v>22</v>
      </c>
      <c r="L510" t="s">
        <v>524</v>
      </c>
      <c r="N510" t="s">
        <v>1702</v>
      </c>
      <c r="O510" t="s">
        <v>1622</v>
      </c>
      <c r="P510" t="s">
        <v>443</v>
      </c>
      <c r="Q510" t="s">
        <v>1138</v>
      </c>
      <c r="R510">
        <v>0</v>
      </c>
      <c r="S510">
        <v>23000000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23000000</v>
      </c>
      <c r="Z510">
        <v>0</v>
      </c>
      <c r="AA510">
        <v>0</v>
      </c>
      <c r="AB510">
        <v>0</v>
      </c>
      <c r="AC510">
        <v>0</v>
      </c>
      <c r="AD510">
        <v>23000000</v>
      </c>
      <c r="AE510">
        <v>0</v>
      </c>
    </row>
    <row r="511" spans="1:31" x14ac:dyDescent="0.2">
      <c r="A511" t="s">
        <v>1595</v>
      </c>
      <c r="B511" t="s">
        <v>1598</v>
      </c>
      <c r="C511" t="s">
        <v>1599</v>
      </c>
      <c r="D511" t="s">
        <v>1630</v>
      </c>
      <c r="E511" t="s">
        <v>1658</v>
      </c>
      <c r="F511" t="s">
        <v>1659</v>
      </c>
      <c r="G511" t="s">
        <v>1633</v>
      </c>
      <c r="H511" t="s">
        <v>1634</v>
      </c>
      <c r="I511" t="s">
        <v>1605</v>
      </c>
      <c r="J511" t="s">
        <v>1606</v>
      </c>
      <c r="K511" t="s">
        <v>22</v>
      </c>
      <c r="L511" t="s">
        <v>524</v>
      </c>
      <c r="N511" t="s">
        <v>1703</v>
      </c>
      <c r="O511" t="s">
        <v>1661</v>
      </c>
      <c r="P511" t="s">
        <v>467</v>
      </c>
      <c r="Q511" t="s">
        <v>1704</v>
      </c>
      <c r="R511">
        <v>0</v>
      </c>
      <c r="S511">
        <v>1767680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1767680</v>
      </c>
      <c r="Z511">
        <v>0</v>
      </c>
      <c r="AA511">
        <v>0</v>
      </c>
      <c r="AB511">
        <v>0</v>
      </c>
      <c r="AC511">
        <v>0</v>
      </c>
      <c r="AD511">
        <v>1767680</v>
      </c>
      <c r="AE511">
        <v>0</v>
      </c>
    </row>
    <row r="512" spans="1:31" x14ac:dyDescent="0.2">
      <c r="A512" t="s">
        <v>1595</v>
      </c>
      <c r="B512" t="s">
        <v>1598</v>
      </c>
      <c r="C512" t="s">
        <v>1599</v>
      </c>
      <c r="D512" t="s">
        <v>1630</v>
      </c>
      <c r="E512" t="s">
        <v>1670</v>
      </c>
      <c r="F512" t="s">
        <v>1671</v>
      </c>
      <c r="G512" t="s">
        <v>1633</v>
      </c>
      <c r="H512" t="s">
        <v>1634</v>
      </c>
      <c r="I512" t="s">
        <v>1605</v>
      </c>
      <c r="J512" t="s">
        <v>1606</v>
      </c>
      <c r="K512" t="s">
        <v>22</v>
      </c>
      <c r="L512" t="s">
        <v>524</v>
      </c>
      <c r="N512" t="s">
        <v>1705</v>
      </c>
      <c r="O512" t="s">
        <v>1673</v>
      </c>
      <c r="P512" t="s">
        <v>443</v>
      </c>
      <c r="Q512" t="s">
        <v>1138</v>
      </c>
      <c r="R512">
        <v>0</v>
      </c>
      <c r="S512">
        <v>10000000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10000000</v>
      </c>
      <c r="Z512">
        <v>0</v>
      </c>
      <c r="AA512">
        <v>0</v>
      </c>
      <c r="AB512">
        <v>0</v>
      </c>
      <c r="AC512">
        <v>0</v>
      </c>
      <c r="AD512">
        <v>10000000</v>
      </c>
      <c r="AE512">
        <v>0</v>
      </c>
    </row>
    <row r="513" spans="1:31" x14ac:dyDescent="0.2">
      <c r="A513" t="s">
        <v>1595</v>
      </c>
      <c r="B513" t="s">
        <v>1598</v>
      </c>
      <c r="C513" t="s">
        <v>1599</v>
      </c>
      <c r="D513" t="s">
        <v>1630</v>
      </c>
      <c r="E513" t="s">
        <v>1676</v>
      </c>
      <c r="F513" t="s">
        <v>1677</v>
      </c>
      <c r="G513" t="s">
        <v>1633</v>
      </c>
      <c r="H513" t="s">
        <v>1634</v>
      </c>
      <c r="I513" t="s">
        <v>1605</v>
      </c>
      <c r="J513" t="s">
        <v>1606</v>
      </c>
      <c r="K513" t="s">
        <v>22</v>
      </c>
      <c r="L513" t="s">
        <v>524</v>
      </c>
      <c r="N513" t="s">
        <v>1706</v>
      </c>
      <c r="O513" t="s">
        <v>1663</v>
      </c>
      <c r="P513" t="s">
        <v>467</v>
      </c>
      <c r="Q513" t="s">
        <v>1704</v>
      </c>
      <c r="R513">
        <v>0</v>
      </c>
      <c r="S513">
        <v>6600000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6600000</v>
      </c>
      <c r="Z513">
        <v>0</v>
      </c>
      <c r="AA513">
        <v>0</v>
      </c>
      <c r="AB513">
        <v>0</v>
      </c>
      <c r="AC513">
        <v>0</v>
      </c>
      <c r="AD513">
        <v>6600000</v>
      </c>
      <c r="AE513">
        <v>0</v>
      </c>
    </row>
    <row r="514" spans="1:31" x14ac:dyDescent="0.2">
      <c r="A514" t="s">
        <v>1595</v>
      </c>
      <c r="B514" t="s">
        <v>1598</v>
      </c>
      <c r="C514" t="s">
        <v>1599</v>
      </c>
      <c r="D514" t="s">
        <v>1630</v>
      </c>
      <c r="E514" t="s">
        <v>1694</v>
      </c>
      <c r="F514" t="s">
        <v>1540</v>
      </c>
      <c r="G514" t="s">
        <v>1633</v>
      </c>
      <c r="H514" t="s">
        <v>1634</v>
      </c>
      <c r="I514" t="s">
        <v>1605</v>
      </c>
      <c r="J514" t="s">
        <v>1606</v>
      </c>
      <c r="K514" t="s">
        <v>22</v>
      </c>
      <c r="L514" t="s">
        <v>524</v>
      </c>
      <c r="N514" t="s">
        <v>1707</v>
      </c>
      <c r="O514" t="s">
        <v>1696</v>
      </c>
      <c r="P514" t="s">
        <v>485</v>
      </c>
      <c r="Q514" t="s">
        <v>1708</v>
      </c>
      <c r="R514">
        <v>0</v>
      </c>
      <c r="S514">
        <v>10232114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10232114</v>
      </c>
      <c r="Z514">
        <v>0</v>
      </c>
      <c r="AA514">
        <v>0</v>
      </c>
      <c r="AB514">
        <v>0</v>
      </c>
      <c r="AC514">
        <v>0</v>
      </c>
      <c r="AD514">
        <v>10232114</v>
      </c>
      <c r="AE514">
        <v>0</v>
      </c>
    </row>
    <row r="515" spans="1:31" x14ac:dyDescent="0.2">
      <c r="A515" t="s">
        <v>1595</v>
      </c>
      <c r="B515" t="s">
        <v>1598</v>
      </c>
      <c r="C515" t="s">
        <v>1599</v>
      </c>
      <c r="D515" t="s">
        <v>1630</v>
      </c>
      <c r="E515" t="s">
        <v>1694</v>
      </c>
      <c r="F515" t="s">
        <v>1540</v>
      </c>
      <c r="G515" t="s">
        <v>1633</v>
      </c>
      <c r="H515" t="s">
        <v>1634</v>
      </c>
      <c r="I515" t="s">
        <v>1605</v>
      </c>
      <c r="J515" t="s">
        <v>1606</v>
      </c>
      <c r="K515" t="s">
        <v>22</v>
      </c>
      <c r="L515" t="s">
        <v>524</v>
      </c>
      <c r="N515" t="s">
        <v>1709</v>
      </c>
      <c r="O515" t="s">
        <v>1696</v>
      </c>
      <c r="P515" t="s">
        <v>403</v>
      </c>
      <c r="Q515" t="s">
        <v>401</v>
      </c>
      <c r="R515">
        <v>0</v>
      </c>
      <c r="S515">
        <v>21155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21155</v>
      </c>
      <c r="Z515">
        <v>0</v>
      </c>
      <c r="AA515">
        <v>0</v>
      </c>
      <c r="AB515">
        <v>0</v>
      </c>
      <c r="AC515">
        <v>0</v>
      </c>
      <c r="AD515">
        <v>21155</v>
      </c>
      <c r="AE515">
        <v>0</v>
      </c>
    </row>
    <row r="516" spans="1:31" x14ac:dyDescent="0.2">
      <c r="A516" t="s">
        <v>1595</v>
      </c>
      <c r="B516" t="s">
        <v>1598</v>
      </c>
      <c r="C516" t="s">
        <v>1599</v>
      </c>
      <c r="D516" t="s">
        <v>1630</v>
      </c>
      <c r="E516" t="s">
        <v>1694</v>
      </c>
      <c r="F516" t="s">
        <v>1540</v>
      </c>
      <c r="G516" t="s">
        <v>1633</v>
      </c>
      <c r="H516" t="s">
        <v>1634</v>
      </c>
      <c r="I516" t="s">
        <v>1605</v>
      </c>
      <c r="J516" t="s">
        <v>1606</v>
      </c>
      <c r="K516" t="s">
        <v>22</v>
      </c>
      <c r="L516" t="s">
        <v>524</v>
      </c>
      <c r="N516" t="s">
        <v>1710</v>
      </c>
      <c r="O516" t="s">
        <v>1696</v>
      </c>
      <c r="P516" t="s">
        <v>424</v>
      </c>
      <c r="Q516" t="s">
        <v>423</v>
      </c>
      <c r="R516">
        <v>0</v>
      </c>
      <c r="S516">
        <v>40180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40180</v>
      </c>
      <c r="Z516">
        <v>0</v>
      </c>
      <c r="AA516">
        <v>0</v>
      </c>
      <c r="AB516">
        <v>0</v>
      </c>
      <c r="AC516">
        <v>0</v>
      </c>
      <c r="AD516">
        <v>40180</v>
      </c>
      <c r="AE516">
        <v>0</v>
      </c>
    </row>
    <row r="517" spans="1:31" x14ac:dyDescent="0.2">
      <c r="A517" t="s">
        <v>1711</v>
      </c>
      <c r="B517" t="s">
        <v>519</v>
      </c>
      <c r="C517" t="s">
        <v>22</v>
      </c>
      <c r="D517" t="s">
        <v>520</v>
      </c>
      <c r="E517" t="s">
        <v>521</v>
      </c>
      <c r="F517" t="s">
        <v>522</v>
      </c>
      <c r="G517" t="s">
        <v>22</v>
      </c>
      <c r="H517" t="s">
        <v>22</v>
      </c>
      <c r="I517" t="s">
        <v>22</v>
      </c>
      <c r="J517" t="s">
        <v>523</v>
      </c>
      <c r="K517" t="s">
        <v>22</v>
      </c>
      <c r="L517" t="s">
        <v>524</v>
      </c>
      <c r="N517" t="s">
        <v>525</v>
      </c>
      <c r="O517" t="s">
        <v>526</v>
      </c>
      <c r="P517" t="s">
        <v>22</v>
      </c>
      <c r="Q517" t="s">
        <v>527</v>
      </c>
      <c r="R517">
        <v>411802051</v>
      </c>
      <c r="S517">
        <v>0</v>
      </c>
      <c r="T517">
        <v>0</v>
      </c>
      <c r="U517">
        <v>7437105</v>
      </c>
      <c r="V517">
        <v>7437105</v>
      </c>
      <c r="W517">
        <v>0</v>
      </c>
      <c r="X517">
        <v>0</v>
      </c>
      <c r="Y517">
        <v>411802051</v>
      </c>
      <c r="Z517">
        <v>161096019</v>
      </c>
      <c r="AA517">
        <v>160965992</v>
      </c>
      <c r="AB517">
        <v>160965019</v>
      </c>
      <c r="AC517">
        <v>160965019</v>
      </c>
      <c r="AD517">
        <v>250706032</v>
      </c>
      <c r="AE517">
        <v>39.119999999999997</v>
      </c>
    </row>
    <row r="518" spans="1:31" x14ac:dyDescent="0.2">
      <c r="A518" t="s">
        <v>1711</v>
      </c>
      <c r="B518" t="s">
        <v>519</v>
      </c>
      <c r="C518" t="s">
        <v>22</v>
      </c>
      <c r="D518" t="s">
        <v>520</v>
      </c>
      <c r="E518" t="s">
        <v>521</v>
      </c>
      <c r="F518" t="s">
        <v>522</v>
      </c>
      <c r="G518" t="s">
        <v>22</v>
      </c>
      <c r="H518" t="s">
        <v>22</v>
      </c>
      <c r="I518" t="s">
        <v>22</v>
      </c>
      <c r="J518" t="s">
        <v>523</v>
      </c>
      <c r="K518" t="s">
        <v>22</v>
      </c>
      <c r="L518" t="s">
        <v>524</v>
      </c>
      <c r="N518" t="s">
        <v>528</v>
      </c>
      <c r="O518" t="s">
        <v>529</v>
      </c>
      <c r="P518" t="s">
        <v>22</v>
      </c>
      <c r="Q518" t="s">
        <v>527</v>
      </c>
      <c r="R518">
        <v>411802051</v>
      </c>
      <c r="S518">
        <v>0</v>
      </c>
      <c r="T518">
        <v>0</v>
      </c>
      <c r="U518">
        <v>7437105</v>
      </c>
      <c r="V518">
        <v>7437105</v>
      </c>
      <c r="W518">
        <v>0</v>
      </c>
      <c r="X518">
        <v>0</v>
      </c>
      <c r="Y518">
        <v>411802051</v>
      </c>
      <c r="Z518">
        <v>161096019</v>
      </c>
      <c r="AA518">
        <v>160965992</v>
      </c>
      <c r="AB518">
        <v>160965019</v>
      </c>
      <c r="AC518">
        <v>160965019</v>
      </c>
      <c r="AD518">
        <v>250706032</v>
      </c>
      <c r="AE518">
        <v>39.119999999999997</v>
      </c>
    </row>
    <row r="519" spans="1:31" x14ac:dyDescent="0.2">
      <c r="A519" t="s">
        <v>1711</v>
      </c>
      <c r="B519" t="s">
        <v>519</v>
      </c>
      <c r="C519" t="s">
        <v>22</v>
      </c>
      <c r="D519" t="s">
        <v>520</v>
      </c>
      <c r="E519" t="s">
        <v>521</v>
      </c>
      <c r="F519" t="s">
        <v>522</v>
      </c>
      <c r="G519" t="s">
        <v>22</v>
      </c>
      <c r="H519" t="s">
        <v>22</v>
      </c>
      <c r="I519" t="s">
        <v>22</v>
      </c>
      <c r="J519" t="s">
        <v>523</v>
      </c>
      <c r="K519" t="s">
        <v>22</v>
      </c>
      <c r="L519" t="s">
        <v>524</v>
      </c>
      <c r="N519" t="s">
        <v>530</v>
      </c>
      <c r="O519" t="s">
        <v>531</v>
      </c>
      <c r="P519" t="s">
        <v>22</v>
      </c>
      <c r="Q519" t="s">
        <v>527</v>
      </c>
      <c r="R519">
        <v>393003230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393003230</v>
      </c>
      <c r="Z519">
        <v>153658914</v>
      </c>
      <c r="AA519">
        <v>153658914</v>
      </c>
      <c r="AB519">
        <v>153658914</v>
      </c>
      <c r="AC519">
        <v>153658914</v>
      </c>
      <c r="AD519">
        <v>239344316</v>
      </c>
      <c r="AE519">
        <v>39.1</v>
      </c>
    </row>
    <row r="520" spans="1:31" x14ac:dyDescent="0.2">
      <c r="A520" t="s">
        <v>1711</v>
      </c>
      <c r="B520" t="s">
        <v>519</v>
      </c>
      <c r="C520" t="s">
        <v>22</v>
      </c>
      <c r="D520" t="s">
        <v>520</v>
      </c>
      <c r="E520" t="s">
        <v>521</v>
      </c>
      <c r="F520" t="s">
        <v>522</v>
      </c>
      <c r="G520" t="s">
        <v>22</v>
      </c>
      <c r="H520" t="s">
        <v>22</v>
      </c>
      <c r="I520" t="s">
        <v>22</v>
      </c>
      <c r="J520" t="s">
        <v>523</v>
      </c>
      <c r="K520" t="s">
        <v>22</v>
      </c>
      <c r="L520" t="s">
        <v>524</v>
      </c>
      <c r="N520" t="s">
        <v>532</v>
      </c>
      <c r="O520" t="s">
        <v>533</v>
      </c>
      <c r="P520" t="s">
        <v>22</v>
      </c>
      <c r="Q520" t="s">
        <v>527</v>
      </c>
      <c r="R520">
        <v>393003230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393003230</v>
      </c>
      <c r="Z520">
        <v>153658914</v>
      </c>
      <c r="AA520">
        <v>153658914</v>
      </c>
      <c r="AB520">
        <v>153658914</v>
      </c>
      <c r="AC520">
        <v>153658914</v>
      </c>
      <c r="AD520">
        <v>239344316</v>
      </c>
      <c r="AE520">
        <v>39.1</v>
      </c>
    </row>
    <row r="521" spans="1:31" x14ac:dyDescent="0.2">
      <c r="A521" t="s">
        <v>1711</v>
      </c>
      <c r="B521" t="s">
        <v>519</v>
      </c>
      <c r="C521" t="s">
        <v>22</v>
      </c>
      <c r="D521" t="s">
        <v>520</v>
      </c>
      <c r="E521" t="s">
        <v>521</v>
      </c>
      <c r="F521" t="s">
        <v>522</v>
      </c>
      <c r="G521" t="s">
        <v>22</v>
      </c>
      <c r="H521" t="s">
        <v>22</v>
      </c>
      <c r="I521" t="s">
        <v>22</v>
      </c>
      <c r="J521" t="s">
        <v>523</v>
      </c>
      <c r="K521" t="s">
        <v>22</v>
      </c>
      <c r="L521" t="s">
        <v>524</v>
      </c>
      <c r="N521" t="s">
        <v>534</v>
      </c>
      <c r="O521" t="s">
        <v>535</v>
      </c>
      <c r="P521" t="s">
        <v>22</v>
      </c>
      <c r="Q521" t="s">
        <v>527</v>
      </c>
      <c r="R521">
        <v>29591855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29591855</v>
      </c>
      <c r="Z521">
        <v>10529285</v>
      </c>
      <c r="AA521">
        <v>10529285</v>
      </c>
      <c r="AB521">
        <v>10529285</v>
      </c>
      <c r="AC521">
        <v>10529285</v>
      </c>
      <c r="AD521">
        <v>19062570</v>
      </c>
      <c r="AE521">
        <v>35.58</v>
      </c>
    </row>
    <row r="522" spans="1:31" x14ac:dyDescent="0.2">
      <c r="A522" t="s">
        <v>1711</v>
      </c>
      <c r="B522" t="s">
        <v>519</v>
      </c>
      <c r="C522" t="s">
        <v>22</v>
      </c>
      <c r="D522" t="s">
        <v>520</v>
      </c>
      <c r="E522" t="s">
        <v>521</v>
      </c>
      <c r="F522" t="s">
        <v>522</v>
      </c>
      <c r="G522" t="s">
        <v>22</v>
      </c>
      <c r="H522" t="s">
        <v>22</v>
      </c>
      <c r="I522" t="s">
        <v>22</v>
      </c>
      <c r="J522" t="s">
        <v>523</v>
      </c>
      <c r="K522" t="s">
        <v>22</v>
      </c>
      <c r="L522" t="s">
        <v>524</v>
      </c>
      <c r="N522" t="s">
        <v>536</v>
      </c>
      <c r="O522" t="s">
        <v>537</v>
      </c>
      <c r="P522" t="s">
        <v>22</v>
      </c>
      <c r="Q522" t="s">
        <v>527</v>
      </c>
      <c r="R522">
        <v>29591855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29591855</v>
      </c>
      <c r="Z522">
        <v>10529285</v>
      </c>
      <c r="AA522">
        <v>10529285</v>
      </c>
      <c r="AB522">
        <v>10529285</v>
      </c>
      <c r="AC522">
        <v>10529285</v>
      </c>
      <c r="AD522">
        <v>19062570</v>
      </c>
      <c r="AE522">
        <v>35.58</v>
      </c>
    </row>
    <row r="523" spans="1:31" x14ac:dyDescent="0.2">
      <c r="A523" t="s">
        <v>1711</v>
      </c>
      <c r="B523" t="s">
        <v>519</v>
      </c>
      <c r="C523" t="s">
        <v>22</v>
      </c>
      <c r="D523" t="s">
        <v>520</v>
      </c>
      <c r="E523" t="s">
        <v>521</v>
      </c>
      <c r="F523" t="s">
        <v>522</v>
      </c>
      <c r="G523" t="s">
        <v>22</v>
      </c>
      <c r="H523" t="s">
        <v>22</v>
      </c>
      <c r="I523" t="s">
        <v>22</v>
      </c>
      <c r="J523" t="s">
        <v>523</v>
      </c>
      <c r="K523" t="s">
        <v>22</v>
      </c>
      <c r="L523" t="s">
        <v>524</v>
      </c>
      <c r="N523" t="s">
        <v>538</v>
      </c>
      <c r="O523" t="s">
        <v>539</v>
      </c>
      <c r="P523" t="s">
        <v>242</v>
      </c>
      <c r="Q523" t="s">
        <v>541</v>
      </c>
      <c r="R523">
        <v>20850362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20850362</v>
      </c>
      <c r="Z523">
        <v>8754525</v>
      </c>
      <c r="AA523">
        <v>8754525</v>
      </c>
      <c r="AB523">
        <v>8754525</v>
      </c>
      <c r="AC523">
        <v>8754525</v>
      </c>
      <c r="AD523">
        <v>12095837</v>
      </c>
      <c r="AE523">
        <v>41.99</v>
      </c>
    </row>
    <row r="524" spans="1:31" x14ac:dyDescent="0.2">
      <c r="A524" t="s">
        <v>1711</v>
      </c>
      <c r="B524" t="s">
        <v>519</v>
      </c>
      <c r="C524" t="s">
        <v>22</v>
      </c>
      <c r="D524" t="s">
        <v>520</v>
      </c>
      <c r="E524" t="s">
        <v>521</v>
      </c>
      <c r="F524" t="s">
        <v>522</v>
      </c>
      <c r="G524" t="s">
        <v>22</v>
      </c>
      <c r="H524" t="s">
        <v>22</v>
      </c>
      <c r="I524" t="s">
        <v>22</v>
      </c>
      <c r="J524" t="s">
        <v>523</v>
      </c>
      <c r="K524" t="s">
        <v>22</v>
      </c>
      <c r="L524" t="s">
        <v>524</v>
      </c>
      <c r="N524" t="s">
        <v>542</v>
      </c>
      <c r="O524" t="s">
        <v>543</v>
      </c>
      <c r="P524" t="s">
        <v>242</v>
      </c>
      <c r="Q524" t="s">
        <v>541</v>
      </c>
      <c r="R524">
        <v>1270274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1270274</v>
      </c>
      <c r="Z524">
        <v>529285</v>
      </c>
      <c r="AA524">
        <v>529285</v>
      </c>
      <c r="AB524">
        <v>529285</v>
      </c>
      <c r="AC524">
        <v>529285</v>
      </c>
      <c r="AD524">
        <v>740989</v>
      </c>
      <c r="AE524">
        <v>41.67</v>
      </c>
    </row>
    <row r="525" spans="1:31" x14ac:dyDescent="0.2">
      <c r="A525" t="s">
        <v>1711</v>
      </c>
      <c r="B525" t="s">
        <v>519</v>
      </c>
      <c r="C525" t="s">
        <v>22</v>
      </c>
      <c r="D525" t="s">
        <v>520</v>
      </c>
      <c r="E525" t="s">
        <v>521</v>
      </c>
      <c r="F525" t="s">
        <v>522</v>
      </c>
      <c r="G525" t="s">
        <v>22</v>
      </c>
      <c r="H525" t="s">
        <v>22</v>
      </c>
      <c r="I525" t="s">
        <v>22</v>
      </c>
      <c r="J525" t="s">
        <v>523</v>
      </c>
      <c r="K525" t="s">
        <v>22</v>
      </c>
      <c r="L525" t="s">
        <v>524</v>
      </c>
      <c r="N525" t="s">
        <v>544</v>
      </c>
      <c r="O525" t="s">
        <v>545</v>
      </c>
      <c r="P525" t="s">
        <v>242</v>
      </c>
      <c r="Q525" t="s">
        <v>541</v>
      </c>
      <c r="R525">
        <v>2568000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2568000</v>
      </c>
      <c r="Z525">
        <v>1245475</v>
      </c>
      <c r="AA525">
        <v>1245475</v>
      </c>
      <c r="AB525">
        <v>1245475</v>
      </c>
      <c r="AC525">
        <v>1245475</v>
      </c>
      <c r="AD525">
        <v>1322525</v>
      </c>
      <c r="AE525">
        <v>48.5</v>
      </c>
    </row>
    <row r="526" spans="1:31" x14ac:dyDescent="0.2">
      <c r="A526" t="s">
        <v>1711</v>
      </c>
      <c r="B526" t="s">
        <v>519</v>
      </c>
      <c r="C526" t="s">
        <v>22</v>
      </c>
      <c r="D526" t="s">
        <v>520</v>
      </c>
      <c r="E526" t="s">
        <v>521</v>
      </c>
      <c r="F526" t="s">
        <v>522</v>
      </c>
      <c r="G526" t="s">
        <v>22</v>
      </c>
      <c r="H526" t="s">
        <v>22</v>
      </c>
      <c r="I526" t="s">
        <v>22</v>
      </c>
      <c r="J526" t="s">
        <v>523</v>
      </c>
      <c r="K526" t="s">
        <v>22</v>
      </c>
      <c r="L526" t="s">
        <v>524</v>
      </c>
      <c r="N526" t="s">
        <v>546</v>
      </c>
      <c r="O526" t="s">
        <v>547</v>
      </c>
      <c r="P526" t="s">
        <v>242</v>
      </c>
      <c r="Q526" t="s">
        <v>541</v>
      </c>
      <c r="R526">
        <v>957892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957892</v>
      </c>
      <c r="Z526">
        <v>0</v>
      </c>
      <c r="AA526">
        <v>0</v>
      </c>
      <c r="AB526">
        <v>0</v>
      </c>
      <c r="AC526">
        <v>0</v>
      </c>
      <c r="AD526">
        <v>957892</v>
      </c>
      <c r="AE526">
        <v>0</v>
      </c>
    </row>
    <row r="527" spans="1:31" x14ac:dyDescent="0.2">
      <c r="A527" t="s">
        <v>1711</v>
      </c>
      <c r="B527" t="s">
        <v>519</v>
      </c>
      <c r="C527" t="s">
        <v>22</v>
      </c>
      <c r="D527" t="s">
        <v>520</v>
      </c>
      <c r="E527" t="s">
        <v>521</v>
      </c>
      <c r="F527" t="s">
        <v>522</v>
      </c>
      <c r="G527" t="s">
        <v>22</v>
      </c>
      <c r="H527" t="s">
        <v>22</v>
      </c>
      <c r="I527" t="s">
        <v>22</v>
      </c>
      <c r="J527" t="s">
        <v>523</v>
      </c>
      <c r="K527" t="s">
        <v>22</v>
      </c>
      <c r="L527" t="s">
        <v>524</v>
      </c>
      <c r="N527" t="s">
        <v>548</v>
      </c>
      <c r="O527" t="s">
        <v>549</v>
      </c>
      <c r="P527" t="s">
        <v>242</v>
      </c>
      <c r="Q527" t="s">
        <v>541</v>
      </c>
      <c r="R527">
        <v>868765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868765</v>
      </c>
      <c r="Z527">
        <v>0</v>
      </c>
      <c r="AA527">
        <v>0</v>
      </c>
      <c r="AB527">
        <v>0</v>
      </c>
      <c r="AC527">
        <v>0</v>
      </c>
      <c r="AD527">
        <v>868765</v>
      </c>
      <c r="AE527">
        <v>0</v>
      </c>
    </row>
    <row r="528" spans="1:31" x14ac:dyDescent="0.2">
      <c r="A528" t="s">
        <v>1711</v>
      </c>
      <c r="B528" t="s">
        <v>519</v>
      </c>
      <c r="C528" t="s">
        <v>22</v>
      </c>
      <c r="D528" t="s">
        <v>520</v>
      </c>
      <c r="E528" t="s">
        <v>521</v>
      </c>
      <c r="F528" t="s">
        <v>522</v>
      </c>
      <c r="G528" t="s">
        <v>22</v>
      </c>
      <c r="H528" t="s">
        <v>22</v>
      </c>
      <c r="I528" t="s">
        <v>22</v>
      </c>
      <c r="J528" t="s">
        <v>523</v>
      </c>
      <c r="K528" t="s">
        <v>22</v>
      </c>
      <c r="L528" t="s">
        <v>524</v>
      </c>
      <c r="N528" t="s">
        <v>550</v>
      </c>
      <c r="O528" t="s">
        <v>551</v>
      </c>
      <c r="P528" t="s">
        <v>22</v>
      </c>
      <c r="Q528" t="s">
        <v>527</v>
      </c>
      <c r="R528">
        <v>3076562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3076562</v>
      </c>
      <c r="Z528">
        <v>0</v>
      </c>
      <c r="AA528">
        <v>0</v>
      </c>
      <c r="AB528">
        <v>0</v>
      </c>
      <c r="AC528">
        <v>0</v>
      </c>
      <c r="AD528">
        <v>3076562</v>
      </c>
      <c r="AE528">
        <v>0</v>
      </c>
    </row>
    <row r="529" spans="1:31" x14ac:dyDescent="0.2">
      <c r="A529" t="s">
        <v>1711</v>
      </c>
      <c r="B529" t="s">
        <v>519</v>
      </c>
      <c r="C529" t="s">
        <v>22</v>
      </c>
      <c r="D529" t="s">
        <v>520</v>
      </c>
      <c r="E529" t="s">
        <v>521</v>
      </c>
      <c r="F529" t="s">
        <v>522</v>
      </c>
      <c r="G529" t="s">
        <v>22</v>
      </c>
      <c r="H529" t="s">
        <v>22</v>
      </c>
      <c r="I529" t="s">
        <v>22</v>
      </c>
      <c r="J529" t="s">
        <v>523</v>
      </c>
      <c r="K529" t="s">
        <v>22</v>
      </c>
      <c r="L529" t="s">
        <v>524</v>
      </c>
      <c r="N529" t="s">
        <v>552</v>
      </c>
      <c r="O529" t="s">
        <v>553</v>
      </c>
      <c r="P529" t="s">
        <v>242</v>
      </c>
      <c r="Q529" t="s">
        <v>541</v>
      </c>
      <c r="R529">
        <v>2078758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2078758</v>
      </c>
      <c r="Z529">
        <v>0</v>
      </c>
      <c r="AA529">
        <v>0</v>
      </c>
      <c r="AB529">
        <v>0</v>
      </c>
      <c r="AC529">
        <v>0</v>
      </c>
      <c r="AD529">
        <v>2078758</v>
      </c>
      <c r="AE529">
        <v>0</v>
      </c>
    </row>
    <row r="530" spans="1:31" x14ac:dyDescent="0.2">
      <c r="A530" t="s">
        <v>1711</v>
      </c>
      <c r="B530" t="s">
        <v>519</v>
      </c>
      <c r="C530" t="s">
        <v>22</v>
      </c>
      <c r="D530" t="s">
        <v>520</v>
      </c>
      <c r="E530" t="s">
        <v>521</v>
      </c>
      <c r="F530" t="s">
        <v>522</v>
      </c>
      <c r="G530" t="s">
        <v>22</v>
      </c>
      <c r="H530" t="s">
        <v>22</v>
      </c>
      <c r="I530" t="s">
        <v>22</v>
      </c>
      <c r="J530" t="s">
        <v>523</v>
      </c>
      <c r="K530" t="s">
        <v>22</v>
      </c>
      <c r="L530" t="s">
        <v>524</v>
      </c>
      <c r="N530" t="s">
        <v>554</v>
      </c>
      <c r="O530" t="s">
        <v>555</v>
      </c>
      <c r="P530" t="s">
        <v>242</v>
      </c>
      <c r="Q530" t="s">
        <v>541</v>
      </c>
      <c r="R530">
        <v>997804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997804</v>
      </c>
      <c r="Z530">
        <v>0</v>
      </c>
      <c r="AA530">
        <v>0</v>
      </c>
      <c r="AB530">
        <v>0</v>
      </c>
      <c r="AC530">
        <v>0</v>
      </c>
      <c r="AD530">
        <v>997804</v>
      </c>
      <c r="AE530">
        <v>0</v>
      </c>
    </row>
    <row r="531" spans="1:31" x14ac:dyDescent="0.2">
      <c r="A531" t="s">
        <v>1711</v>
      </c>
      <c r="B531" t="s">
        <v>519</v>
      </c>
      <c r="C531" t="s">
        <v>22</v>
      </c>
      <c r="D531" t="s">
        <v>520</v>
      </c>
      <c r="E531" t="s">
        <v>521</v>
      </c>
      <c r="F531" t="s">
        <v>522</v>
      </c>
      <c r="G531" t="s">
        <v>22</v>
      </c>
      <c r="H531" t="s">
        <v>22</v>
      </c>
      <c r="I531" t="s">
        <v>22</v>
      </c>
      <c r="J531" t="s">
        <v>523</v>
      </c>
      <c r="K531" t="s">
        <v>22</v>
      </c>
      <c r="L531" t="s">
        <v>524</v>
      </c>
      <c r="N531" t="s">
        <v>556</v>
      </c>
      <c r="O531" t="s">
        <v>557</v>
      </c>
      <c r="P531" t="s">
        <v>22</v>
      </c>
      <c r="Q531" t="s">
        <v>527</v>
      </c>
      <c r="R531">
        <v>9811494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9811494</v>
      </c>
      <c r="Z531">
        <v>3279033</v>
      </c>
      <c r="AA531">
        <v>3279033</v>
      </c>
      <c r="AB531">
        <v>3279033</v>
      </c>
      <c r="AC531">
        <v>3279033</v>
      </c>
      <c r="AD531">
        <v>6532461</v>
      </c>
      <c r="AE531">
        <v>33.42</v>
      </c>
    </row>
    <row r="532" spans="1:31" x14ac:dyDescent="0.2">
      <c r="A532" t="s">
        <v>1711</v>
      </c>
      <c r="B532" t="s">
        <v>519</v>
      </c>
      <c r="C532" t="s">
        <v>22</v>
      </c>
      <c r="D532" t="s">
        <v>520</v>
      </c>
      <c r="E532" t="s">
        <v>521</v>
      </c>
      <c r="F532" t="s">
        <v>522</v>
      </c>
      <c r="G532" t="s">
        <v>22</v>
      </c>
      <c r="H532" t="s">
        <v>22</v>
      </c>
      <c r="I532" t="s">
        <v>22</v>
      </c>
      <c r="J532" t="s">
        <v>523</v>
      </c>
      <c r="K532" t="s">
        <v>22</v>
      </c>
      <c r="L532" t="s">
        <v>524</v>
      </c>
      <c r="N532" t="s">
        <v>558</v>
      </c>
      <c r="O532" t="s">
        <v>559</v>
      </c>
      <c r="P532" t="s">
        <v>242</v>
      </c>
      <c r="Q532" t="s">
        <v>541</v>
      </c>
      <c r="R532">
        <v>2758729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2758729</v>
      </c>
      <c r="Z532">
        <v>1059600</v>
      </c>
      <c r="AA532">
        <v>1059600</v>
      </c>
      <c r="AB532">
        <v>1059600</v>
      </c>
      <c r="AC532">
        <v>1059600</v>
      </c>
      <c r="AD532">
        <v>1699129</v>
      </c>
      <c r="AE532">
        <v>38.409999999999997</v>
      </c>
    </row>
    <row r="533" spans="1:31" x14ac:dyDescent="0.2">
      <c r="A533" t="s">
        <v>1711</v>
      </c>
      <c r="B533" t="s">
        <v>519</v>
      </c>
      <c r="C533" t="s">
        <v>22</v>
      </c>
      <c r="D533" t="s">
        <v>520</v>
      </c>
      <c r="E533" t="s">
        <v>521</v>
      </c>
      <c r="F533" t="s">
        <v>522</v>
      </c>
      <c r="G533" t="s">
        <v>22</v>
      </c>
      <c r="H533" t="s">
        <v>22</v>
      </c>
      <c r="I533" t="s">
        <v>22</v>
      </c>
      <c r="J533" t="s">
        <v>523</v>
      </c>
      <c r="K533" t="s">
        <v>22</v>
      </c>
      <c r="L533" t="s">
        <v>524</v>
      </c>
      <c r="N533" t="s">
        <v>560</v>
      </c>
      <c r="O533" t="s">
        <v>561</v>
      </c>
      <c r="P533" t="s">
        <v>242</v>
      </c>
      <c r="Q533" t="s">
        <v>541</v>
      </c>
      <c r="R533">
        <v>1954100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1954100</v>
      </c>
      <c r="Z533">
        <v>750500</v>
      </c>
      <c r="AA533">
        <v>750500</v>
      </c>
      <c r="AB533">
        <v>750500</v>
      </c>
      <c r="AC533">
        <v>750500</v>
      </c>
      <c r="AD533">
        <v>1203600</v>
      </c>
      <c r="AE533">
        <v>38.409999999999997</v>
      </c>
    </row>
    <row r="534" spans="1:31" x14ac:dyDescent="0.2">
      <c r="A534" t="s">
        <v>1711</v>
      </c>
      <c r="B534" t="s">
        <v>519</v>
      </c>
      <c r="C534" t="s">
        <v>22</v>
      </c>
      <c r="D534" t="s">
        <v>520</v>
      </c>
      <c r="E534" t="s">
        <v>521</v>
      </c>
      <c r="F534" t="s">
        <v>522</v>
      </c>
      <c r="G534" t="s">
        <v>22</v>
      </c>
      <c r="H534" t="s">
        <v>22</v>
      </c>
      <c r="I534" t="s">
        <v>22</v>
      </c>
      <c r="J534" t="s">
        <v>523</v>
      </c>
      <c r="K534" t="s">
        <v>22</v>
      </c>
      <c r="L534" t="s">
        <v>524</v>
      </c>
      <c r="N534" t="s">
        <v>562</v>
      </c>
      <c r="O534" t="s">
        <v>563</v>
      </c>
      <c r="P534" t="s">
        <v>22</v>
      </c>
      <c r="Q534" t="s">
        <v>527</v>
      </c>
      <c r="R534">
        <v>2522227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2522227</v>
      </c>
      <c r="Z534">
        <v>505433</v>
      </c>
      <c r="AA534">
        <v>505433</v>
      </c>
      <c r="AB534">
        <v>505433</v>
      </c>
      <c r="AC534">
        <v>505433</v>
      </c>
      <c r="AD534">
        <v>2016794</v>
      </c>
      <c r="AE534">
        <v>20.04</v>
      </c>
    </row>
    <row r="535" spans="1:31" x14ac:dyDescent="0.2">
      <c r="A535" t="s">
        <v>1711</v>
      </c>
      <c r="B535" t="s">
        <v>519</v>
      </c>
      <c r="C535" t="s">
        <v>22</v>
      </c>
      <c r="D535" t="s">
        <v>520</v>
      </c>
      <c r="E535" t="s">
        <v>521</v>
      </c>
      <c r="F535" t="s">
        <v>522</v>
      </c>
      <c r="G535" t="s">
        <v>22</v>
      </c>
      <c r="H535" t="s">
        <v>22</v>
      </c>
      <c r="I535" t="s">
        <v>22</v>
      </c>
      <c r="J535" t="s">
        <v>523</v>
      </c>
      <c r="K535" t="s">
        <v>22</v>
      </c>
      <c r="L535" t="s">
        <v>524</v>
      </c>
      <c r="N535" t="s">
        <v>564</v>
      </c>
      <c r="O535" t="s">
        <v>563</v>
      </c>
      <c r="P535" t="s">
        <v>242</v>
      </c>
      <c r="Q535" t="s">
        <v>541</v>
      </c>
      <c r="R535">
        <v>2251988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2251988</v>
      </c>
      <c r="Z535">
        <v>490712</v>
      </c>
      <c r="AA535">
        <v>490712</v>
      </c>
      <c r="AB535">
        <v>490712</v>
      </c>
      <c r="AC535">
        <v>490712</v>
      </c>
      <c r="AD535">
        <v>1761276</v>
      </c>
      <c r="AE535">
        <v>21.79</v>
      </c>
    </row>
    <row r="536" spans="1:31" x14ac:dyDescent="0.2">
      <c r="A536" t="s">
        <v>1711</v>
      </c>
      <c r="B536" t="s">
        <v>519</v>
      </c>
      <c r="C536" t="s">
        <v>22</v>
      </c>
      <c r="D536" t="s">
        <v>520</v>
      </c>
      <c r="E536" t="s">
        <v>521</v>
      </c>
      <c r="F536" t="s">
        <v>522</v>
      </c>
      <c r="G536" t="s">
        <v>22</v>
      </c>
      <c r="H536" t="s">
        <v>22</v>
      </c>
      <c r="I536" t="s">
        <v>22</v>
      </c>
      <c r="J536" t="s">
        <v>523</v>
      </c>
      <c r="K536" t="s">
        <v>22</v>
      </c>
      <c r="L536" t="s">
        <v>524</v>
      </c>
      <c r="N536" t="s">
        <v>566</v>
      </c>
      <c r="O536" t="s">
        <v>567</v>
      </c>
      <c r="P536" t="s">
        <v>242</v>
      </c>
      <c r="Q536" t="s">
        <v>541</v>
      </c>
      <c r="R536">
        <v>270239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270239</v>
      </c>
      <c r="Z536">
        <v>14721</v>
      </c>
      <c r="AA536">
        <v>14721</v>
      </c>
      <c r="AB536">
        <v>14721</v>
      </c>
      <c r="AC536">
        <v>14721</v>
      </c>
      <c r="AD536">
        <v>255518</v>
      </c>
      <c r="AE536">
        <v>5.45</v>
      </c>
    </row>
    <row r="537" spans="1:31" x14ac:dyDescent="0.2">
      <c r="A537" t="s">
        <v>1711</v>
      </c>
      <c r="B537" t="s">
        <v>519</v>
      </c>
      <c r="C537" t="s">
        <v>22</v>
      </c>
      <c r="D537" t="s">
        <v>520</v>
      </c>
      <c r="E537" t="s">
        <v>521</v>
      </c>
      <c r="F537" t="s">
        <v>522</v>
      </c>
      <c r="G537" t="s">
        <v>22</v>
      </c>
      <c r="H537" t="s">
        <v>22</v>
      </c>
      <c r="I537" t="s">
        <v>22</v>
      </c>
      <c r="J537" t="s">
        <v>523</v>
      </c>
      <c r="K537" t="s">
        <v>22</v>
      </c>
      <c r="L537" t="s">
        <v>524</v>
      </c>
      <c r="N537" t="s">
        <v>568</v>
      </c>
      <c r="O537" t="s">
        <v>569</v>
      </c>
      <c r="P537" t="s">
        <v>242</v>
      </c>
      <c r="Q537" t="s">
        <v>541</v>
      </c>
      <c r="R537">
        <v>1088682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1088682</v>
      </c>
      <c r="Z537">
        <v>407400</v>
      </c>
      <c r="AA537">
        <v>407400</v>
      </c>
      <c r="AB537">
        <v>407400</v>
      </c>
      <c r="AC537">
        <v>407400</v>
      </c>
      <c r="AD537">
        <v>681282</v>
      </c>
      <c r="AE537">
        <v>37.42</v>
      </c>
    </row>
    <row r="538" spans="1:31" x14ac:dyDescent="0.2">
      <c r="A538" t="s">
        <v>1711</v>
      </c>
      <c r="B538" t="s">
        <v>519</v>
      </c>
      <c r="C538" t="s">
        <v>22</v>
      </c>
      <c r="D538" t="s">
        <v>520</v>
      </c>
      <c r="E538" t="s">
        <v>521</v>
      </c>
      <c r="F538" t="s">
        <v>522</v>
      </c>
      <c r="G538" t="s">
        <v>22</v>
      </c>
      <c r="H538" t="s">
        <v>22</v>
      </c>
      <c r="I538" t="s">
        <v>22</v>
      </c>
      <c r="J538" t="s">
        <v>523</v>
      </c>
      <c r="K538" t="s">
        <v>22</v>
      </c>
      <c r="L538" t="s">
        <v>524</v>
      </c>
      <c r="N538" t="s">
        <v>570</v>
      </c>
      <c r="O538" t="s">
        <v>571</v>
      </c>
      <c r="P538" t="s">
        <v>242</v>
      </c>
      <c r="Q538" t="s">
        <v>541</v>
      </c>
      <c r="R538">
        <v>126902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126902</v>
      </c>
      <c r="Z538">
        <v>46400</v>
      </c>
      <c r="AA538">
        <v>46400</v>
      </c>
      <c r="AB538">
        <v>46400</v>
      </c>
      <c r="AC538">
        <v>46400</v>
      </c>
      <c r="AD538">
        <v>80502</v>
      </c>
      <c r="AE538">
        <v>36.56</v>
      </c>
    </row>
    <row r="539" spans="1:31" x14ac:dyDescent="0.2">
      <c r="A539" t="s">
        <v>1711</v>
      </c>
      <c r="B539" t="s">
        <v>519</v>
      </c>
      <c r="C539" t="s">
        <v>22</v>
      </c>
      <c r="D539" t="s">
        <v>520</v>
      </c>
      <c r="E539" t="s">
        <v>521</v>
      </c>
      <c r="F539" t="s">
        <v>522</v>
      </c>
      <c r="G539" t="s">
        <v>22</v>
      </c>
      <c r="H539" t="s">
        <v>22</v>
      </c>
      <c r="I539" t="s">
        <v>22</v>
      </c>
      <c r="J539" t="s">
        <v>523</v>
      </c>
      <c r="K539" t="s">
        <v>22</v>
      </c>
      <c r="L539" t="s">
        <v>524</v>
      </c>
      <c r="N539" t="s">
        <v>572</v>
      </c>
      <c r="O539" t="s">
        <v>573</v>
      </c>
      <c r="P539" t="s">
        <v>242</v>
      </c>
      <c r="Q539" t="s">
        <v>541</v>
      </c>
      <c r="R539">
        <v>816511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816511</v>
      </c>
      <c r="Z539">
        <v>305600</v>
      </c>
      <c r="AA539">
        <v>305600</v>
      </c>
      <c r="AB539">
        <v>305600</v>
      </c>
      <c r="AC539">
        <v>305600</v>
      </c>
      <c r="AD539">
        <v>510911</v>
      </c>
      <c r="AE539">
        <v>37.43</v>
      </c>
    </row>
    <row r="540" spans="1:31" x14ac:dyDescent="0.2">
      <c r="A540" t="s">
        <v>1711</v>
      </c>
      <c r="B540" t="s">
        <v>519</v>
      </c>
      <c r="C540" t="s">
        <v>22</v>
      </c>
      <c r="D540" t="s">
        <v>520</v>
      </c>
      <c r="E540" t="s">
        <v>521</v>
      </c>
      <c r="F540" t="s">
        <v>522</v>
      </c>
      <c r="G540" t="s">
        <v>22</v>
      </c>
      <c r="H540" t="s">
        <v>22</v>
      </c>
      <c r="I540" t="s">
        <v>22</v>
      </c>
      <c r="J540" t="s">
        <v>523</v>
      </c>
      <c r="K540" t="s">
        <v>22</v>
      </c>
      <c r="L540" t="s">
        <v>524</v>
      </c>
      <c r="N540" t="s">
        <v>574</v>
      </c>
      <c r="O540" t="s">
        <v>575</v>
      </c>
      <c r="P540" t="s">
        <v>242</v>
      </c>
      <c r="Q540" t="s">
        <v>541</v>
      </c>
      <c r="R540">
        <v>136086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136086</v>
      </c>
      <c r="Z540">
        <v>51100</v>
      </c>
      <c r="AA540">
        <v>51100</v>
      </c>
      <c r="AB540">
        <v>51100</v>
      </c>
      <c r="AC540">
        <v>51100</v>
      </c>
      <c r="AD540">
        <v>84986</v>
      </c>
      <c r="AE540">
        <v>37.549999999999997</v>
      </c>
    </row>
    <row r="541" spans="1:31" x14ac:dyDescent="0.2">
      <c r="A541" t="s">
        <v>1711</v>
      </c>
      <c r="B541" t="s">
        <v>519</v>
      </c>
      <c r="C541" t="s">
        <v>22</v>
      </c>
      <c r="D541" t="s">
        <v>520</v>
      </c>
      <c r="E541" t="s">
        <v>521</v>
      </c>
      <c r="F541" t="s">
        <v>522</v>
      </c>
      <c r="G541" t="s">
        <v>22</v>
      </c>
      <c r="H541" t="s">
        <v>22</v>
      </c>
      <c r="I541" t="s">
        <v>22</v>
      </c>
      <c r="J541" t="s">
        <v>523</v>
      </c>
      <c r="K541" t="s">
        <v>22</v>
      </c>
      <c r="L541" t="s">
        <v>524</v>
      </c>
      <c r="N541" t="s">
        <v>576</v>
      </c>
      <c r="O541" t="s">
        <v>577</v>
      </c>
      <c r="P541" t="s">
        <v>242</v>
      </c>
      <c r="Q541" t="s">
        <v>541</v>
      </c>
      <c r="R541">
        <v>136086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136086</v>
      </c>
      <c r="Z541">
        <v>51100</v>
      </c>
      <c r="AA541">
        <v>51100</v>
      </c>
      <c r="AB541">
        <v>51100</v>
      </c>
      <c r="AC541">
        <v>51100</v>
      </c>
      <c r="AD541">
        <v>84986</v>
      </c>
      <c r="AE541">
        <v>37.549999999999997</v>
      </c>
    </row>
    <row r="542" spans="1:31" x14ac:dyDescent="0.2">
      <c r="A542" t="s">
        <v>1711</v>
      </c>
      <c r="B542" t="s">
        <v>519</v>
      </c>
      <c r="C542" t="s">
        <v>22</v>
      </c>
      <c r="D542" t="s">
        <v>520</v>
      </c>
      <c r="E542" t="s">
        <v>521</v>
      </c>
      <c r="F542" t="s">
        <v>522</v>
      </c>
      <c r="G542" t="s">
        <v>22</v>
      </c>
      <c r="H542" t="s">
        <v>22</v>
      </c>
      <c r="I542" t="s">
        <v>22</v>
      </c>
      <c r="J542" t="s">
        <v>523</v>
      </c>
      <c r="K542" t="s">
        <v>22</v>
      </c>
      <c r="L542" t="s">
        <v>524</v>
      </c>
      <c r="N542" t="s">
        <v>578</v>
      </c>
      <c r="O542" t="s">
        <v>579</v>
      </c>
      <c r="P542" t="s">
        <v>242</v>
      </c>
      <c r="Q542" t="s">
        <v>541</v>
      </c>
      <c r="R542">
        <v>272171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272171</v>
      </c>
      <c r="Z542">
        <v>101900</v>
      </c>
      <c r="AA542">
        <v>101900</v>
      </c>
      <c r="AB542">
        <v>101900</v>
      </c>
      <c r="AC542">
        <v>101900</v>
      </c>
      <c r="AD542">
        <v>170271</v>
      </c>
      <c r="AE542">
        <v>37.44</v>
      </c>
    </row>
    <row r="543" spans="1:31" x14ac:dyDescent="0.2">
      <c r="A543" t="s">
        <v>1711</v>
      </c>
      <c r="B543" t="s">
        <v>519</v>
      </c>
      <c r="C543" t="s">
        <v>22</v>
      </c>
      <c r="D543" t="s">
        <v>520</v>
      </c>
      <c r="E543" t="s">
        <v>521</v>
      </c>
      <c r="F543" t="s">
        <v>522</v>
      </c>
      <c r="G543" t="s">
        <v>22</v>
      </c>
      <c r="H543" t="s">
        <v>22</v>
      </c>
      <c r="I543" t="s">
        <v>22</v>
      </c>
      <c r="J543" t="s">
        <v>523</v>
      </c>
      <c r="K543" t="s">
        <v>22</v>
      </c>
      <c r="L543" t="s">
        <v>524</v>
      </c>
      <c r="N543" t="s">
        <v>586</v>
      </c>
      <c r="O543" t="s">
        <v>587</v>
      </c>
      <c r="P543" t="s">
        <v>22</v>
      </c>
      <c r="Q543" t="s">
        <v>527</v>
      </c>
      <c r="R543">
        <v>353599881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353599881</v>
      </c>
      <c r="Z543">
        <v>139850596</v>
      </c>
      <c r="AA543">
        <v>139850596</v>
      </c>
      <c r="AB543">
        <v>139850596</v>
      </c>
      <c r="AC543">
        <v>139850596</v>
      </c>
      <c r="AD543">
        <v>213749285</v>
      </c>
      <c r="AE543">
        <v>39.549999999999997</v>
      </c>
    </row>
    <row r="544" spans="1:31" x14ac:dyDescent="0.2">
      <c r="A544" t="s">
        <v>1711</v>
      </c>
      <c r="B544" t="s">
        <v>519</v>
      </c>
      <c r="C544" t="s">
        <v>22</v>
      </c>
      <c r="D544" t="s">
        <v>520</v>
      </c>
      <c r="E544" t="s">
        <v>521</v>
      </c>
      <c r="F544" t="s">
        <v>522</v>
      </c>
      <c r="G544" t="s">
        <v>22</v>
      </c>
      <c r="H544" t="s">
        <v>22</v>
      </c>
      <c r="I544" t="s">
        <v>22</v>
      </c>
      <c r="J544" t="s">
        <v>523</v>
      </c>
      <c r="K544" t="s">
        <v>22</v>
      </c>
      <c r="L544" t="s">
        <v>524</v>
      </c>
      <c r="N544" t="s">
        <v>588</v>
      </c>
      <c r="O544" t="s">
        <v>551</v>
      </c>
      <c r="P544" t="s">
        <v>22</v>
      </c>
      <c r="Q544" t="s">
        <v>527</v>
      </c>
      <c r="R544">
        <v>1579281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1579281</v>
      </c>
      <c r="Z544">
        <v>0</v>
      </c>
      <c r="AA544">
        <v>0</v>
      </c>
      <c r="AB544">
        <v>0</v>
      </c>
      <c r="AC544">
        <v>0</v>
      </c>
      <c r="AD544">
        <v>1579281</v>
      </c>
      <c r="AE544">
        <v>0</v>
      </c>
    </row>
    <row r="545" spans="1:31" x14ac:dyDescent="0.2">
      <c r="A545" t="s">
        <v>1711</v>
      </c>
      <c r="B545" t="s">
        <v>519</v>
      </c>
      <c r="C545" t="s">
        <v>22</v>
      </c>
      <c r="D545" t="s">
        <v>520</v>
      </c>
      <c r="E545" t="s">
        <v>521</v>
      </c>
      <c r="F545" t="s">
        <v>522</v>
      </c>
      <c r="G545" t="s">
        <v>22</v>
      </c>
      <c r="H545" t="s">
        <v>22</v>
      </c>
      <c r="I545" t="s">
        <v>22</v>
      </c>
      <c r="J545" t="s">
        <v>523</v>
      </c>
      <c r="K545" t="s">
        <v>22</v>
      </c>
      <c r="L545" t="s">
        <v>524</v>
      </c>
      <c r="N545" t="s">
        <v>591</v>
      </c>
      <c r="O545" t="s">
        <v>592</v>
      </c>
      <c r="P545" t="s">
        <v>242</v>
      </c>
      <c r="Q545" t="s">
        <v>541</v>
      </c>
      <c r="R545">
        <v>1463446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1463446</v>
      </c>
      <c r="Z545">
        <v>0</v>
      </c>
      <c r="AA545">
        <v>0</v>
      </c>
      <c r="AB545">
        <v>0</v>
      </c>
      <c r="AC545">
        <v>0</v>
      </c>
      <c r="AD545">
        <v>1463446</v>
      </c>
      <c r="AE545">
        <v>0</v>
      </c>
    </row>
    <row r="546" spans="1:31" x14ac:dyDescent="0.2">
      <c r="A546" t="s">
        <v>1711</v>
      </c>
      <c r="B546" t="s">
        <v>519</v>
      </c>
      <c r="C546" t="s">
        <v>22</v>
      </c>
      <c r="D546" t="s">
        <v>520</v>
      </c>
      <c r="E546" t="s">
        <v>521</v>
      </c>
      <c r="F546" t="s">
        <v>522</v>
      </c>
      <c r="G546" t="s">
        <v>22</v>
      </c>
      <c r="H546" t="s">
        <v>22</v>
      </c>
      <c r="I546" t="s">
        <v>22</v>
      </c>
      <c r="J546" t="s">
        <v>523</v>
      </c>
      <c r="K546" t="s">
        <v>22</v>
      </c>
      <c r="L546" t="s">
        <v>524</v>
      </c>
      <c r="N546" t="s">
        <v>593</v>
      </c>
      <c r="O546" t="s">
        <v>594</v>
      </c>
      <c r="P546" t="s">
        <v>242</v>
      </c>
      <c r="Q546" t="s">
        <v>541</v>
      </c>
      <c r="R546">
        <v>115835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115835</v>
      </c>
      <c r="Z546">
        <v>0</v>
      </c>
      <c r="AA546">
        <v>0</v>
      </c>
      <c r="AB546">
        <v>0</v>
      </c>
      <c r="AC546">
        <v>0</v>
      </c>
      <c r="AD546">
        <v>115835</v>
      </c>
      <c r="AE546">
        <v>0</v>
      </c>
    </row>
    <row r="547" spans="1:31" x14ac:dyDescent="0.2">
      <c r="A547" t="s">
        <v>1711</v>
      </c>
      <c r="B547" t="s">
        <v>519</v>
      </c>
      <c r="C547" t="s">
        <v>22</v>
      </c>
      <c r="D547" t="s">
        <v>520</v>
      </c>
      <c r="E547" t="s">
        <v>521</v>
      </c>
      <c r="F547" t="s">
        <v>522</v>
      </c>
      <c r="G547" t="s">
        <v>22</v>
      </c>
      <c r="H547" t="s">
        <v>22</v>
      </c>
      <c r="I547" t="s">
        <v>22</v>
      </c>
      <c r="J547" t="s">
        <v>523</v>
      </c>
      <c r="K547" t="s">
        <v>22</v>
      </c>
      <c r="L547" t="s">
        <v>524</v>
      </c>
      <c r="N547" t="s">
        <v>1712</v>
      </c>
      <c r="O547" t="s">
        <v>1713</v>
      </c>
      <c r="P547" t="s">
        <v>242</v>
      </c>
      <c r="Q547" t="s">
        <v>541</v>
      </c>
      <c r="R547">
        <v>352020600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352020600</v>
      </c>
      <c r="Z547">
        <v>139850596</v>
      </c>
      <c r="AA547">
        <v>139850596</v>
      </c>
      <c r="AB547">
        <v>139850596</v>
      </c>
      <c r="AC547">
        <v>139850596</v>
      </c>
      <c r="AD547">
        <v>212170004</v>
      </c>
      <c r="AE547">
        <v>39.729999999999997</v>
      </c>
    </row>
    <row r="548" spans="1:31" x14ac:dyDescent="0.2">
      <c r="A548" t="s">
        <v>1711</v>
      </c>
      <c r="B548" t="s">
        <v>519</v>
      </c>
      <c r="C548" t="s">
        <v>22</v>
      </c>
      <c r="D548" t="s">
        <v>520</v>
      </c>
      <c r="E548" t="s">
        <v>521</v>
      </c>
      <c r="F548" t="s">
        <v>522</v>
      </c>
      <c r="G548" t="s">
        <v>22</v>
      </c>
      <c r="H548" t="s">
        <v>22</v>
      </c>
      <c r="I548" t="s">
        <v>22</v>
      </c>
      <c r="J548" t="s">
        <v>523</v>
      </c>
      <c r="K548" t="s">
        <v>22</v>
      </c>
      <c r="L548" t="s">
        <v>524</v>
      </c>
      <c r="N548" t="s">
        <v>601</v>
      </c>
      <c r="O548" t="s">
        <v>602</v>
      </c>
      <c r="P548" t="s">
        <v>22</v>
      </c>
      <c r="Q548" t="s">
        <v>527</v>
      </c>
      <c r="R548">
        <v>18798821</v>
      </c>
      <c r="S548">
        <v>0</v>
      </c>
      <c r="T548">
        <v>0</v>
      </c>
      <c r="U548">
        <v>5686200</v>
      </c>
      <c r="V548">
        <v>7437105</v>
      </c>
      <c r="W548">
        <v>0</v>
      </c>
      <c r="X548">
        <v>0</v>
      </c>
      <c r="Y548">
        <v>17047916</v>
      </c>
      <c r="Z548">
        <v>5686200</v>
      </c>
      <c r="AA548">
        <v>5556173</v>
      </c>
      <c r="AB548">
        <v>5555200</v>
      </c>
      <c r="AC548">
        <v>5555200</v>
      </c>
      <c r="AD548">
        <v>11361716</v>
      </c>
      <c r="AE548">
        <v>33.35</v>
      </c>
    </row>
    <row r="549" spans="1:31" x14ac:dyDescent="0.2">
      <c r="A549" t="s">
        <v>1711</v>
      </c>
      <c r="B549" t="s">
        <v>519</v>
      </c>
      <c r="C549" t="s">
        <v>22</v>
      </c>
      <c r="D549" t="s">
        <v>520</v>
      </c>
      <c r="E549" t="s">
        <v>521</v>
      </c>
      <c r="F549" t="s">
        <v>522</v>
      </c>
      <c r="G549" t="s">
        <v>22</v>
      </c>
      <c r="H549" t="s">
        <v>22</v>
      </c>
      <c r="I549" t="s">
        <v>22</v>
      </c>
      <c r="J549" t="s">
        <v>523</v>
      </c>
      <c r="K549" t="s">
        <v>22</v>
      </c>
      <c r="L549" t="s">
        <v>524</v>
      </c>
      <c r="N549" t="s">
        <v>603</v>
      </c>
      <c r="O549" t="s">
        <v>604</v>
      </c>
      <c r="P549" t="s">
        <v>22</v>
      </c>
      <c r="Q549" t="s">
        <v>527</v>
      </c>
      <c r="R549">
        <v>0</v>
      </c>
      <c r="S549">
        <v>0</v>
      </c>
      <c r="T549">
        <v>0</v>
      </c>
      <c r="U549">
        <v>4000000</v>
      </c>
      <c r="V549">
        <v>0</v>
      </c>
      <c r="W549">
        <v>0</v>
      </c>
      <c r="X549">
        <v>0</v>
      </c>
      <c r="Y549">
        <v>4000000</v>
      </c>
      <c r="Z549">
        <v>4000000</v>
      </c>
      <c r="AA549">
        <v>4000000</v>
      </c>
      <c r="AB549">
        <v>4000000</v>
      </c>
      <c r="AC549">
        <v>4000000</v>
      </c>
      <c r="AD549">
        <v>0</v>
      </c>
      <c r="AE549">
        <v>100</v>
      </c>
    </row>
    <row r="550" spans="1:31" x14ac:dyDescent="0.2">
      <c r="A550" t="s">
        <v>1711</v>
      </c>
      <c r="B550" t="s">
        <v>519</v>
      </c>
      <c r="C550" t="s">
        <v>22</v>
      </c>
      <c r="D550" t="s">
        <v>520</v>
      </c>
      <c r="E550" t="s">
        <v>521</v>
      </c>
      <c r="F550" t="s">
        <v>522</v>
      </c>
      <c r="G550" t="s">
        <v>22</v>
      </c>
      <c r="H550" t="s">
        <v>22</v>
      </c>
      <c r="I550" t="s">
        <v>22</v>
      </c>
      <c r="J550" t="s">
        <v>523</v>
      </c>
      <c r="K550" t="s">
        <v>22</v>
      </c>
      <c r="L550" t="s">
        <v>524</v>
      </c>
      <c r="N550" t="s">
        <v>605</v>
      </c>
      <c r="O550" t="s">
        <v>606</v>
      </c>
      <c r="P550" t="s">
        <v>22</v>
      </c>
      <c r="Q550" t="s">
        <v>527</v>
      </c>
      <c r="R550">
        <v>0</v>
      </c>
      <c r="S550">
        <v>0</v>
      </c>
      <c r="T550">
        <v>0</v>
      </c>
      <c r="U550">
        <v>4000000</v>
      </c>
      <c r="V550">
        <v>0</v>
      </c>
      <c r="W550">
        <v>0</v>
      </c>
      <c r="X550">
        <v>0</v>
      </c>
      <c r="Y550">
        <v>4000000</v>
      </c>
      <c r="Z550">
        <v>4000000</v>
      </c>
      <c r="AA550">
        <v>4000000</v>
      </c>
      <c r="AB550">
        <v>4000000</v>
      </c>
      <c r="AC550">
        <v>4000000</v>
      </c>
      <c r="AD550">
        <v>0</v>
      </c>
      <c r="AE550">
        <v>100</v>
      </c>
    </row>
    <row r="551" spans="1:31" x14ac:dyDescent="0.2">
      <c r="A551" t="s">
        <v>1711</v>
      </c>
      <c r="B551" t="s">
        <v>519</v>
      </c>
      <c r="C551" t="s">
        <v>22</v>
      </c>
      <c r="D551" t="s">
        <v>520</v>
      </c>
      <c r="E551" t="s">
        <v>521</v>
      </c>
      <c r="F551" t="s">
        <v>522</v>
      </c>
      <c r="G551" t="s">
        <v>22</v>
      </c>
      <c r="H551" t="s">
        <v>22</v>
      </c>
      <c r="I551" t="s">
        <v>22</v>
      </c>
      <c r="J551" t="s">
        <v>523</v>
      </c>
      <c r="K551" t="s">
        <v>22</v>
      </c>
      <c r="L551" t="s">
        <v>524</v>
      </c>
      <c r="N551" t="s">
        <v>607</v>
      </c>
      <c r="O551" t="s">
        <v>608</v>
      </c>
      <c r="P551" t="s">
        <v>22</v>
      </c>
      <c r="Q551" t="s">
        <v>527</v>
      </c>
      <c r="R551">
        <v>0</v>
      </c>
      <c r="S551">
        <v>0</v>
      </c>
      <c r="T551">
        <v>0</v>
      </c>
      <c r="U551">
        <v>4000000</v>
      </c>
      <c r="V551">
        <v>0</v>
      </c>
      <c r="W551">
        <v>0</v>
      </c>
      <c r="X551">
        <v>0</v>
      </c>
      <c r="Y551">
        <v>4000000</v>
      </c>
      <c r="Z551">
        <v>4000000</v>
      </c>
      <c r="AA551">
        <v>4000000</v>
      </c>
      <c r="AB551">
        <v>4000000</v>
      </c>
      <c r="AC551">
        <v>4000000</v>
      </c>
      <c r="AD551">
        <v>0</v>
      </c>
      <c r="AE551">
        <v>100</v>
      </c>
    </row>
    <row r="552" spans="1:31" x14ac:dyDescent="0.2">
      <c r="A552" t="s">
        <v>1711</v>
      </c>
      <c r="B552" t="s">
        <v>519</v>
      </c>
      <c r="C552" t="s">
        <v>22</v>
      </c>
      <c r="D552" t="s">
        <v>520</v>
      </c>
      <c r="E552" t="s">
        <v>521</v>
      </c>
      <c r="F552" t="s">
        <v>522</v>
      </c>
      <c r="G552" t="s">
        <v>22</v>
      </c>
      <c r="H552" t="s">
        <v>22</v>
      </c>
      <c r="I552" t="s">
        <v>22</v>
      </c>
      <c r="J552" t="s">
        <v>523</v>
      </c>
      <c r="K552" t="s">
        <v>22</v>
      </c>
      <c r="L552" t="s">
        <v>524</v>
      </c>
      <c r="N552" t="s">
        <v>609</v>
      </c>
      <c r="O552" t="s">
        <v>610</v>
      </c>
      <c r="P552" t="s">
        <v>22</v>
      </c>
      <c r="Q552" t="s">
        <v>527</v>
      </c>
      <c r="R552">
        <v>0</v>
      </c>
      <c r="S552">
        <v>0</v>
      </c>
      <c r="T552">
        <v>0</v>
      </c>
      <c r="U552">
        <v>4000000</v>
      </c>
      <c r="V552">
        <v>0</v>
      </c>
      <c r="W552">
        <v>0</v>
      </c>
      <c r="X552">
        <v>0</v>
      </c>
      <c r="Y552">
        <v>4000000</v>
      </c>
      <c r="Z552">
        <v>4000000</v>
      </c>
      <c r="AA552">
        <v>4000000</v>
      </c>
      <c r="AB552">
        <v>4000000</v>
      </c>
      <c r="AC552">
        <v>4000000</v>
      </c>
      <c r="AD552">
        <v>0</v>
      </c>
      <c r="AE552">
        <v>100</v>
      </c>
    </row>
    <row r="553" spans="1:31" x14ac:dyDescent="0.2">
      <c r="A553" t="s">
        <v>1711</v>
      </c>
      <c r="B553" t="s">
        <v>519</v>
      </c>
      <c r="C553" t="s">
        <v>22</v>
      </c>
      <c r="D553" t="s">
        <v>520</v>
      </c>
      <c r="E553" t="s">
        <v>521</v>
      </c>
      <c r="F553" t="s">
        <v>522</v>
      </c>
      <c r="G553" t="s">
        <v>22</v>
      </c>
      <c r="H553" t="s">
        <v>22</v>
      </c>
      <c r="I553" t="s">
        <v>22</v>
      </c>
      <c r="J553" t="s">
        <v>523</v>
      </c>
      <c r="K553" t="s">
        <v>22</v>
      </c>
      <c r="L553" t="s">
        <v>524</v>
      </c>
      <c r="N553" t="s">
        <v>611</v>
      </c>
      <c r="O553" t="s">
        <v>612</v>
      </c>
      <c r="P553" t="s">
        <v>22</v>
      </c>
      <c r="Q553" t="s">
        <v>527</v>
      </c>
      <c r="R553">
        <v>0</v>
      </c>
      <c r="S553">
        <v>0</v>
      </c>
      <c r="T553">
        <v>0</v>
      </c>
      <c r="U553">
        <v>4000000</v>
      </c>
      <c r="V553">
        <v>0</v>
      </c>
      <c r="W553">
        <v>0</v>
      </c>
      <c r="X553">
        <v>0</v>
      </c>
      <c r="Y553">
        <v>4000000</v>
      </c>
      <c r="Z553">
        <v>4000000</v>
      </c>
      <c r="AA553">
        <v>4000000</v>
      </c>
      <c r="AB553">
        <v>4000000</v>
      </c>
      <c r="AC553">
        <v>4000000</v>
      </c>
      <c r="AD553">
        <v>0</v>
      </c>
      <c r="AE553">
        <v>100</v>
      </c>
    </row>
    <row r="554" spans="1:31" x14ac:dyDescent="0.2">
      <c r="A554" t="s">
        <v>1711</v>
      </c>
      <c r="B554" t="s">
        <v>519</v>
      </c>
      <c r="C554" t="s">
        <v>22</v>
      </c>
      <c r="D554" t="s">
        <v>520</v>
      </c>
      <c r="E554" t="s">
        <v>521</v>
      </c>
      <c r="F554" t="s">
        <v>522</v>
      </c>
      <c r="G554" t="s">
        <v>22</v>
      </c>
      <c r="H554" t="s">
        <v>22</v>
      </c>
      <c r="I554" t="s">
        <v>1714</v>
      </c>
      <c r="J554" t="s">
        <v>1715</v>
      </c>
      <c r="K554" t="s">
        <v>22</v>
      </c>
      <c r="L554" t="s">
        <v>524</v>
      </c>
      <c r="N554" t="s">
        <v>613</v>
      </c>
      <c r="O554" t="s">
        <v>614</v>
      </c>
      <c r="P554" t="s">
        <v>242</v>
      </c>
      <c r="Q554" t="s">
        <v>541</v>
      </c>
      <c r="R554">
        <v>0</v>
      </c>
      <c r="S554">
        <v>0</v>
      </c>
      <c r="T554">
        <v>0</v>
      </c>
      <c r="U554">
        <v>4000000</v>
      </c>
      <c r="V554">
        <v>0</v>
      </c>
      <c r="W554">
        <v>0</v>
      </c>
      <c r="X554">
        <v>0</v>
      </c>
      <c r="Y554">
        <v>4000000</v>
      </c>
      <c r="Z554">
        <v>4000000</v>
      </c>
      <c r="AA554">
        <v>4000000</v>
      </c>
      <c r="AB554">
        <v>4000000</v>
      </c>
      <c r="AC554">
        <v>4000000</v>
      </c>
      <c r="AD554">
        <v>0</v>
      </c>
      <c r="AE554">
        <v>100</v>
      </c>
    </row>
    <row r="555" spans="1:31" x14ac:dyDescent="0.2">
      <c r="A555" t="s">
        <v>1711</v>
      </c>
      <c r="B555" t="s">
        <v>519</v>
      </c>
      <c r="C555" t="s">
        <v>22</v>
      </c>
      <c r="D555" t="s">
        <v>520</v>
      </c>
      <c r="E555" t="s">
        <v>521</v>
      </c>
      <c r="F555" t="s">
        <v>522</v>
      </c>
      <c r="G555" t="s">
        <v>22</v>
      </c>
      <c r="H555" t="s">
        <v>22</v>
      </c>
      <c r="I555" t="s">
        <v>22</v>
      </c>
      <c r="J555" t="s">
        <v>523</v>
      </c>
      <c r="K555" t="s">
        <v>22</v>
      </c>
      <c r="L555" t="s">
        <v>524</v>
      </c>
      <c r="N555" t="s">
        <v>625</v>
      </c>
      <c r="O555" t="s">
        <v>626</v>
      </c>
      <c r="P555" t="s">
        <v>22</v>
      </c>
      <c r="Q555" t="s">
        <v>527</v>
      </c>
      <c r="R555">
        <v>18798821</v>
      </c>
      <c r="S555">
        <v>0</v>
      </c>
      <c r="T555">
        <v>0</v>
      </c>
      <c r="U555">
        <v>1686200</v>
      </c>
      <c r="V555">
        <v>7437105</v>
      </c>
      <c r="W555">
        <v>0</v>
      </c>
      <c r="X555">
        <v>0</v>
      </c>
      <c r="Y555">
        <v>13047916</v>
      </c>
      <c r="Z555">
        <v>1686200</v>
      </c>
      <c r="AA555">
        <v>1556173</v>
      </c>
      <c r="AB555">
        <v>1555200</v>
      </c>
      <c r="AC555">
        <v>1555200</v>
      </c>
      <c r="AD555">
        <v>11361716</v>
      </c>
      <c r="AE555">
        <v>12.92</v>
      </c>
    </row>
    <row r="556" spans="1:31" x14ac:dyDescent="0.2">
      <c r="A556" t="s">
        <v>1711</v>
      </c>
      <c r="B556" t="s">
        <v>519</v>
      </c>
      <c r="C556" t="s">
        <v>22</v>
      </c>
      <c r="D556" t="s">
        <v>520</v>
      </c>
      <c r="E556" t="s">
        <v>521</v>
      </c>
      <c r="F556" t="s">
        <v>522</v>
      </c>
      <c r="G556" t="s">
        <v>22</v>
      </c>
      <c r="H556" t="s">
        <v>22</v>
      </c>
      <c r="I556" t="s">
        <v>22</v>
      </c>
      <c r="J556" t="s">
        <v>523</v>
      </c>
      <c r="K556" t="s">
        <v>22</v>
      </c>
      <c r="L556" t="s">
        <v>524</v>
      </c>
      <c r="N556" t="s">
        <v>627</v>
      </c>
      <c r="O556" t="s">
        <v>628</v>
      </c>
      <c r="P556" t="s">
        <v>22</v>
      </c>
      <c r="Q556" t="s">
        <v>527</v>
      </c>
      <c r="R556">
        <v>0</v>
      </c>
      <c r="S556">
        <v>0</v>
      </c>
      <c r="T556">
        <v>0</v>
      </c>
      <c r="U556">
        <v>1686200</v>
      </c>
      <c r="V556">
        <v>0</v>
      </c>
      <c r="W556">
        <v>0</v>
      </c>
      <c r="X556">
        <v>0</v>
      </c>
      <c r="Y556">
        <v>1686200</v>
      </c>
      <c r="Z556">
        <v>1686200</v>
      </c>
      <c r="AA556">
        <v>1556173</v>
      </c>
      <c r="AB556">
        <v>1555200</v>
      </c>
      <c r="AC556">
        <v>1555200</v>
      </c>
      <c r="AD556">
        <v>0</v>
      </c>
      <c r="AE556">
        <v>100</v>
      </c>
    </row>
    <row r="557" spans="1:31" x14ac:dyDescent="0.2">
      <c r="A557" t="s">
        <v>1711</v>
      </c>
      <c r="B557" t="s">
        <v>519</v>
      </c>
      <c r="C557" t="s">
        <v>22</v>
      </c>
      <c r="D557" t="s">
        <v>520</v>
      </c>
      <c r="E557" t="s">
        <v>521</v>
      </c>
      <c r="F557" t="s">
        <v>522</v>
      </c>
      <c r="G557" t="s">
        <v>22</v>
      </c>
      <c r="H557" t="s">
        <v>22</v>
      </c>
      <c r="I557" t="s">
        <v>22</v>
      </c>
      <c r="J557" t="s">
        <v>523</v>
      </c>
      <c r="K557" t="s">
        <v>22</v>
      </c>
      <c r="L557" t="s">
        <v>524</v>
      </c>
      <c r="N557" t="s">
        <v>635</v>
      </c>
      <c r="O557" t="s">
        <v>636</v>
      </c>
      <c r="P557" t="s">
        <v>22</v>
      </c>
      <c r="Q557" t="s">
        <v>527</v>
      </c>
      <c r="R557">
        <v>0</v>
      </c>
      <c r="S557">
        <v>0</v>
      </c>
      <c r="T557">
        <v>0</v>
      </c>
      <c r="U557">
        <v>1686200</v>
      </c>
      <c r="V557">
        <v>0</v>
      </c>
      <c r="W557">
        <v>0</v>
      </c>
      <c r="X557">
        <v>0</v>
      </c>
      <c r="Y557">
        <v>1686200</v>
      </c>
      <c r="Z557">
        <v>1686200</v>
      </c>
      <c r="AA557">
        <v>1556173</v>
      </c>
      <c r="AB557">
        <v>1555200</v>
      </c>
      <c r="AC557">
        <v>1555200</v>
      </c>
      <c r="AD557">
        <v>0</v>
      </c>
      <c r="AE557">
        <v>100</v>
      </c>
    </row>
    <row r="558" spans="1:31" x14ac:dyDescent="0.2">
      <c r="A558" t="s">
        <v>1711</v>
      </c>
      <c r="B558" t="s">
        <v>519</v>
      </c>
      <c r="C558" t="s">
        <v>22</v>
      </c>
      <c r="D558" t="s">
        <v>520</v>
      </c>
      <c r="E558" t="s">
        <v>521</v>
      </c>
      <c r="F558" t="s">
        <v>522</v>
      </c>
      <c r="G558" t="s">
        <v>22</v>
      </c>
      <c r="H558" t="s">
        <v>22</v>
      </c>
      <c r="I558" t="s">
        <v>1716</v>
      </c>
      <c r="J558" t="s">
        <v>1717</v>
      </c>
      <c r="K558" t="s">
        <v>22</v>
      </c>
      <c r="L558" t="s">
        <v>524</v>
      </c>
      <c r="N558" t="s">
        <v>639</v>
      </c>
      <c r="O558" t="s">
        <v>1718</v>
      </c>
      <c r="P558" t="s">
        <v>242</v>
      </c>
      <c r="Q558" t="s">
        <v>541</v>
      </c>
      <c r="R558">
        <v>0</v>
      </c>
      <c r="S558">
        <v>0</v>
      </c>
      <c r="T558">
        <v>0</v>
      </c>
      <c r="U558">
        <v>1686200</v>
      </c>
      <c r="V558">
        <v>0</v>
      </c>
      <c r="W558">
        <v>0</v>
      </c>
      <c r="X558">
        <v>0</v>
      </c>
      <c r="Y558">
        <v>1686200</v>
      </c>
      <c r="Z558">
        <v>1686200</v>
      </c>
      <c r="AA558">
        <v>1556173</v>
      </c>
      <c r="AB558">
        <v>1555200</v>
      </c>
      <c r="AC558">
        <v>1555200</v>
      </c>
      <c r="AD558">
        <v>0</v>
      </c>
      <c r="AE558">
        <v>100</v>
      </c>
    </row>
    <row r="559" spans="1:31" x14ac:dyDescent="0.2">
      <c r="A559" t="s">
        <v>1711</v>
      </c>
      <c r="B559" t="s">
        <v>519</v>
      </c>
      <c r="C559" t="s">
        <v>22</v>
      </c>
      <c r="D559" t="s">
        <v>520</v>
      </c>
      <c r="E559" t="s">
        <v>521</v>
      </c>
      <c r="F559" t="s">
        <v>522</v>
      </c>
      <c r="G559" t="s">
        <v>22</v>
      </c>
      <c r="H559" t="s">
        <v>22</v>
      </c>
      <c r="I559" t="s">
        <v>22</v>
      </c>
      <c r="J559" t="s">
        <v>523</v>
      </c>
      <c r="K559" t="s">
        <v>22</v>
      </c>
      <c r="L559" t="s">
        <v>524</v>
      </c>
      <c r="N559" t="s">
        <v>649</v>
      </c>
      <c r="O559" t="s">
        <v>650</v>
      </c>
      <c r="P559" t="s">
        <v>22</v>
      </c>
      <c r="Q559" t="s">
        <v>527</v>
      </c>
      <c r="R559">
        <v>18798821</v>
      </c>
      <c r="S559">
        <v>0</v>
      </c>
      <c r="T559">
        <v>0</v>
      </c>
      <c r="U559">
        <v>0</v>
      </c>
      <c r="V559">
        <v>7437105</v>
      </c>
      <c r="W559">
        <v>0</v>
      </c>
      <c r="X559">
        <v>0</v>
      </c>
      <c r="Y559">
        <v>11361716</v>
      </c>
      <c r="Z559">
        <v>0</v>
      </c>
      <c r="AA559">
        <v>0</v>
      </c>
      <c r="AB559">
        <v>0</v>
      </c>
      <c r="AC559">
        <v>0</v>
      </c>
      <c r="AD559">
        <v>11361716</v>
      </c>
      <c r="AE559">
        <v>0</v>
      </c>
    </row>
    <row r="560" spans="1:31" x14ac:dyDescent="0.2">
      <c r="A560" t="s">
        <v>1711</v>
      </c>
      <c r="B560" t="s">
        <v>519</v>
      </c>
      <c r="C560" t="s">
        <v>22</v>
      </c>
      <c r="D560" t="s">
        <v>520</v>
      </c>
      <c r="E560" t="s">
        <v>521</v>
      </c>
      <c r="F560" t="s">
        <v>522</v>
      </c>
      <c r="G560" t="s">
        <v>22</v>
      </c>
      <c r="H560" t="s">
        <v>22</v>
      </c>
      <c r="I560" t="s">
        <v>22</v>
      </c>
      <c r="J560" t="s">
        <v>523</v>
      </c>
      <c r="K560" t="s">
        <v>22</v>
      </c>
      <c r="L560" t="s">
        <v>524</v>
      </c>
      <c r="N560" t="s">
        <v>674</v>
      </c>
      <c r="O560" t="s">
        <v>675</v>
      </c>
      <c r="P560" t="s">
        <v>242</v>
      </c>
      <c r="Q560" t="s">
        <v>541</v>
      </c>
      <c r="R560">
        <v>18798821</v>
      </c>
      <c r="S560">
        <v>0</v>
      </c>
      <c r="T560">
        <v>0</v>
      </c>
      <c r="U560">
        <v>0</v>
      </c>
      <c r="V560">
        <v>7437105</v>
      </c>
      <c r="W560">
        <v>0</v>
      </c>
      <c r="X560">
        <v>0</v>
      </c>
      <c r="Y560">
        <v>11361716</v>
      </c>
      <c r="Z560">
        <v>0</v>
      </c>
      <c r="AA560">
        <v>0</v>
      </c>
      <c r="AB560">
        <v>0</v>
      </c>
      <c r="AC560">
        <v>0</v>
      </c>
      <c r="AD560">
        <v>11361716</v>
      </c>
      <c r="AE560">
        <v>0</v>
      </c>
    </row>
    <row r="561" spans="1:31" x14ac:dyDescent="0.2">
      <c r="A561" t="s">
        <v>1711</v>
      </c>
      <c r="B561" t="s">
        <v>519</v>
      </c>
      <c r="C561" t="s">
        <v>22</v>
      </c>
      <c r="D561" t="s">
        <v>520</v>
      </c>
      <c r="E561" t="s">
        <v>521</v>
      </c>
      <c r="F561" t="s">
        <v>522</v>
      </c>
      <c r="G561" t="s">
        <v>22</v>
      </c>
      <c r="H561" t="s">
        <v>22</v>
      </c>
      <c r="I561" t="s">
        <v>22</v>
      </c>
      <c r="J561" t="s">
        <v>523</v>
      </c>
      <c r="K561" t="s">
        <v>22</v>
      </c>
      <c r="L561" t="s">
        <v>524</v>
      </c>
      <c r="N561" t="s">
        <v>725</v>
      </c>
      <c r="O561" t="s">
        <v>194</v>
      </c>
      <c r="P561" t="s">
        <v>22</v>
      </c>
      <c r="Q561" t="s">
        <v>527</v>
      </c>
      <c r="R561">
        <v>0</v>
      </c>
      <c r="S561">
        <v>0</v>
      </c>
      <c r="T561">
        <v>0</v>
      </c>
      <c r="U561">
        <v>1750905</v>
      </c>
      <c r="V561">
        <v>0</v>
      </c>
      <c r="W561">
        <v>0</v>
      </c>
      <c r="X561">
        <v>0</v>
      </c>
      <c r="Y561">
        <v>1750905</v>
      </c>
      <c r="Z561">
        <v>1750905</v>
      </c>
      <c r="AA561">
        <v>1750905</v>
      </c>
      <c r="AB561">
        <v>1750905</v>
      </c>
      <c r="AC561">
        <v>1750905</v>
      </c>
      <c r="AD561">
        <v>0</v>
      </c>
      <c r="AE561">
        <v>100</v>
      </c>
    </row>
    <row r="562" spans="1:31" x14ac:dyDescent="0.2">
      <c r="A562" t="s">
        <v>1711</v>
      </c>
      <c r="B562" t="s">
        <v>519</v>
      </c>
      <c r="C562" t="s">
        <v>22</v>
      </c>
      <c r="D562" t="s">
        <v>520</v>
      </c>
      <c r="E562" t="s">
        <v>521</v>
      </c>
      <c r="F562" t="s">
        <v>522</v>
      </c>
      <c r="G562" t="s">
        <v>22</v>
      </c>
      <c r="H562" t="s">
        <v>22</v>
      </c>
      <c r="I562" t="s">
        <v>22</v>
      </c>
      <c r="J562" t="s">
        <v>523</v>
      </c>
      <c r="K562" t="s">
        <v>22</v>
      </c>
      <c r="L562" t="s">
        <v>524</v>
      </c>
      <c r="N562" t="s">
        <v>1719</v>
      </c>
      <c r="O562" t="s">
        <v>1720</v>
      </c>
      <c r="P562" t="s">
        <v>22</v>
      </c>
      <c r="Q562" t="s">
        <v>527</v>
      </c>
      <c r="R562">
        <v>0</v>
      </c>
      <c r="S562">
        <v>0</v>
      </c>
      <c r="T562">
        <v>0</v>
      </c>
      <c r="U562">
        <v>1750905</v>
      </c>
      <c r="V562">
        <v>0</v>
      </c>
      <c r="W562">
        <v>0</v>
      </c>
      <c r="X562">
        <v>0</v>
      </c>
      <c r="Y562">
        <v>1750905</v>
      </c>
      <c r="Z562">
        <v>1750905</v>
      </c>
      <c r="AA562">
        <v>1750905</v>
      </c>
      <c r="AB562">
        <v>1750905</v>
      </c>
      <c r="AC562">
        <v>1750905</v>
      </c>
      <c r="AD562">
        <v>0</v>
      </c>
      <c r="AE562">
        <v>100</v>
      </c>
    </row>
    <row r="563" spans="1:31" x14ac:dyDescent="0.2">
      <c r="A563" t="s">
        <v>1711</v>
      </c>
      <c r="B563" t="s">
        <v>519</v>
      </c>
      <c r="C563" t="s">
        <v>22</v>
      </c>
      <c r="D563" t="s">
        <v>520</v>
      </c>
      <c r="E563" t="s">
        <v>521</v>
      </c>
      <c r="F563" t="s">
        <v>522</v>
      </c>
      <c r="G563" t="s">
        <v>22</v>
      </c>
      <c r="H563" t="s">
        <v>22</v>
      </c>
      <c r="I563" t="s">
        <v>22</v>
      </c>
      <c r="J563" t="s">
        <v>523</v>
      </c>
      <c r="K563" t="s">
        <v>22</v>
      </c>
      <c r="L563" t="s">
        <v>524</v>
      </c>
      <c r="N563" t="s">
        <v>1721</v>
      </c>
      <c r="O563" t="s">
        <v>1722</v>
      </c>
      <c r="P563" t="s">
        <v>22</v>
      </c>
      <c r="Q563" t="s">
        <v>527</v>
      </c>
      <c r="R563">
        <v>0</v>
      </c>
      <c r="S563">
        <v>0</v>
      </c>
      <c r="T563">
        <v>0</v>
      </c>
      <c r="U563">
        <v>1750905</v>
      </c>
      <c r="V563">
        <v>0</v>
      </c>
      <c r="W563">
        <v>0</v>
      </c>
      <c r="X563">
        <v>0</v>
      </c>
      <c r="Y563">
        <v>1750905</v>
      </c>
      <c r="Z563">
        <v>1750905</v>
      </c>
      <c r="AA563">
        <v>1750905</v>
      </c>
      <c r="AB563">
        <v>1750905</v>
      </c>
      <c r="AC563">
        <v>1750905</v>
      </c>
      <c r="AD563">
        <v>0</v>
      </c>
      <c r="AE563">
        <v>100</v>
      </c>
    </row>
    <row r="564" spans="1:31" x14ac:dyDescent="0.2">
      <c r="A564" t="s">
        <v>1711</v>
      </c>
      <c r="B564" t="s">
        <v>519</v>
      </c>
      <c r="C564" t="s">
        <v>22</v>
      </c>
      <c r="D564" t="s">
        <v>520</v>
      </c>
      <c r="E564" t="s">
        <v>521</v>
      </c>
      <c r="F564" t="s">
        <v>522</v>
      </c>
      <c r="G564" t="s">
        <v>22</v>
      </c>
      <c r="H564" t="s">
        <v>22</v>
      </c>
      <c r="I564" t="s">
        <v>22</v>
      </c>
      <c r="J564" t="s">
        <v>523</v>
      </c>
      <c r="K564" t="s">
        <v>22</v>
      </c>
      <c r="L564" t="s">
        <v>524</v>
      </c>
      <c r="N564" t="s">
        <v>1723</v>
      </c>
      <c r="O564" t="s">
        <v>1724</v>
      </c>
      <c r="P564" t="s">
        <v>242</v>
      </c>
      <c r="Q564" t="s">
        <v>541</v>
      </c>
      <c r="R564">
        <v>0</v>
      </c>
      <c r="S564">
        <v>0</v>
      </c>
      <c r="T564">
        <v>0</v>
      </c>
      <c r="U564">
        <v>1750905</v>
      </c>
      <c r="V564">
        <v>0</v>
      </c>
      <c r="W564">
        <v>0</v>
      </c>
      <c r="X564">
        <v>0</v>
      </c>
      <c r="Y564">
        <v>1750905</v>
      </c>
      <c r="Z564">
        <v>1750905</v>
      </c>
      <c r="AA564">
        <v>1750905</v>
      </c>
      <c r="AB564">
        <v>1750905</v>
      </c>
      <c r="AC564">
        <v>1750905</v>
      </c>
      <c r="AD564">
        <v>0</v>
      </c>
      <c r="AE564">
        <v>100</v>
      </c>
    </row>
    <row r="565" spans="1:31" x14ac:dyDescent="0.2">
      <c r="A565" t="s">
        <v>1725</v>
      </c>
      <c r="B565" t="s">
        <v>519</v>
      </c>
      <c r="C565" t="s">
        <v>22</v>
      </c>
      <c r="D565" t="s">
        <v>520</v>
      </c>
      <c r="E565" t="s">
        <v>521</v>
      </c>
      <c r="F565" t="s">
        <v>522</v>
      </c>
      <c r="G565" t="s">
        <v>22</v>
      </c>
      <c r="H565" t="s">
        <v>22</v>
      </c>
      <c r="I565" t="s">
        <v>22</v>
      </c>
      <c r="J565" t="s">
        <v>523</v>
      </c>
      <c r="K565" t="s">
        <v>22</v>
      </c>
      <c r="L565" t="s">
        <v>524</v>
      </c>
      <c r="N565" t="s">
        <v>525</v>
      </c>
      <c r="O565" t="s">
        <v>526</v>
      </c>
      <c r="P565" t="s">
        <v>22</v>
      </c>
      <c r="Q565" t="s">
        <v>527</v>
      </c>
      <c r="R565">
        <v>266194500</v>
      </c>
      <c r="S565">
        <v>0</v>
      </c>
      <c r="T565">
        <v>0</v>
      </c>
      <c r="U565">
        <v>2871465</v>
      </c>
      <c r="V565">
        <v>2871465</v>
      </c>
      <c r="W565">
        <v>0</v>
      </c>
      <c r="X565">
        <v>0</v>
      </c>
      <c r="Y565">
        <v>266194500</v>
      </c>
      <c r="Z565">
        <v>126143892</v>
      </c>
      <c r="AA565">
        <v>126143892</v>
      </c>
      <c r="AB565">
        <v>118643892</v>
      </c>
      <c r="AC565">
        <v>118643892</v>
      </c>
      <c r="AD565">
        <v>140050608</v>
      </c>
      <c r="AE565">
        <v>47.39</v>
      </c>
    </row>
    <row r="566" spans="1:31" x14ac:dyDescent="0.2">
      <c r="A566" t="s">
        <v>1725</v>
      </c>
      <c r="B566" t="s">
        <v>519</v>
      </c>
      <c r="C566" t="s">
        <v>22</v>
      </c>
      <c r="D566" t="s">
        <v>520</v>
      </c>
      <c r="E566" t="s">
        <v>521</v>
      </c>
      <c r="F566" t="s">
        <v>522</v>
      </c>
      <c r="G566" t="s">
        <v>22</v>
      </c>
      <c r="H566" t="s">
        <v>22</v>
      </c>
      <c r="I566" t="s">
        <v>22</v>
      </c>
      <c r="J566" t="s">
        <v>523</v>
      </c>
      <c r="K566" t="s">
        <v>22</v>
      </c>
      <c r="L566" t="s">
        <v>524</v>
      </c>
      <c r="N566" t="s">
        <v>528</v>
      </c>
      <c r="O566" t="s">
        <v>529</v>
      </c>
      <c r="P566" t="s">
        <v>22</v>
      </c>
      <c r="Q566" t="s">
        <v>527</v>
      </c>
      <c r="R566">
        <v>266194500</v>
      </c>
      <c r="S566">
        <v>0</v>
      </c>
      <c r="T566">
        <v>0</v>
      </c>
      <c r="U566">
        <v>2871465</v>
      </c>
      <c r="V566">
        <v>2871465</v>
      </c>
      <c r="W566">
        <v>0</v>
      </c>
      <c r="X566">
        <v>0</v>
      </c>
      <c r="Y566">
        <v>266194500</v>
      </c>
      <c r="Z566">
        <v>126143892</v>
      </c>
      <c r="AA566">
        <v>126143892</v>
      </c>
      <c r="AB566">
        <v>118643892</v>
      </c>
      <c r="AC566">
        <v>118643892</v>
      </c>
      <c r="AD566">
        <v>140050608</v>
      </c>
      <c r="AE566">
        <v>47.39</v>
      </c>
    </row>
    <row r="567" spans="1:31" x14ac:dyDescent="0.2">
      <c r="A567" t="s">
        <v>1725</v>
      </c>
      <c r="B567" t="s">
        <v>519</v>
      </c>
      <c r="C567" t="s">
        <v>22</v>
      </c>
      <c r="D567" t="s">
        <v>520</v>
      </c>
      <c r="E567" t="s">
        <v>521</v>
      </c>
      <c r="F567" t="s">
        <v>522</v>
      </c>
      <c r="G567" t="s">
        <v>22</v>
      </c>
      <c r="H567" t="s">
        <v>22</v>
      </c>
      <c r="I567" t="s">
        <v>22</v>
      </c>
      <c r="J567" t="s">
        <v>523</v>
      </c>
      <c r="K567" t="s">
        <v>22</v>
      </c>
      <c r="L567" t="s">
        <v>524</v>
      </c>
      <c r="N567" t="s">
        <v>530</v>
      </c>
      <c r="O567" t="s">
        <v>531</v>
      </c>
      <c r="P567" t="s">
        <v>22</v>
      </c>
      <c r="Q567" t="s">
        <v>527</v>
      </c>
      <c r="R567">
        <v>221847367</v>
      </c>
      <c r="S567">
        <v>0</v>
      </c>
      <c r="T567">
        <v>0</v>
      </c>
      <c r="U567">
        <v>1048985</v>
      </c>
      <c r="V567">
        <v>1048985</v>
      </c>
      <c r="W567">
        <v>0</v>
      </c>
      <c r="X567">
        <v>0</v>
      </c>
      <c r="Y567">
        <v>221847367</v>
      </c>
      <c r="Z567">
        <v>90271392</v>
      </c>
      <c r="AA567">
        <v>90271392</v>
      </c>
      <c r="AB567">
        <v>90271392</v>
      </c>
      <c r="AC567">
        <v>90271392</v>
      </c>
      <c r="AD567">
        <v>131575975</v>
      </c>
      <c r="AE567">
        <v>40.69</v>
      </c>
    </row>
    <row r="568" spans="1:31" x14ac:dyDescent="0.2">
      <c r="A568" t="s">
        <v>1725</v>
      </c>
      <c r="B568" t="s">
        <v>519</v>
      </c>
      <c r="C568" t="s">
        <v>22</v>
      </c>
      <c r="D568" t="s">
        <v>520</v>
      </c>
      <c r="E568" t="s">
        <v>521</v>
      </c>
      <c r="F568" t="s">
        <v>522</v>
      </c>
      <c r="G568" t="s">
        <v>22</v>
      </c>
      <c r="H568" t="s">
        <v>22</v>
      </c>
      <c r="I568" t="s">
        <v>22</v>
      </c>
      <c r="J568" t="s">
        <v>523</v>
      </c>
      <c r="K568" t="s">
        <v>22</v>
      </c>
      <c r="L568" t="s">
        <v>524</v>
      </c>
      <c r="N568" t="s">
        <v>532</v>
      </c>
      <c r="O568" t="s">
        <v>533</v>
      </c>
      <c r="P568" t="s">
        <v>22</v>
      </c>
      <c r="Q568" t="s">
        <v>527</v>
      </c>
      <c r="R568">
        <v>221847367</v>
      </c>
      <c r="S568">
        <v>0</v>
      </c>
      <c r="T568">
        <v>0</v>
      </c>
      <c r="U568">
        <v>1048985</v>
      </c>
      <c r="V568">
        <v>1048985</v>
      </c>
      <c r="W568">
        <v>0</v>
      </c>
      <c r="X568">
        <v>0</v>
      </c>
      <c r="Y568">
        <v>221847367</v>
      </c>
      <c r="Z568">
        <v>90271392</v>
      </c>
      <c r="AA568">
        <v>90271392</v>
      </c>
      <c r="AB568">
        <v>90271392</v>
      </c>
      <c r="AC568">
        <v>90271392</v>
      </c>
      <c r="AD568">
        <v>131575975</v>
      </c>
      <c r="AE568">
        <v>40.69</v>
      </c>
    </row>
    <row r="569" spans="1:31" x14ac:dyDescent="0.2">
      <c r="A569" t="s">
        <v>1725</v>
      </c>
      <c r="B569" t="s">
        <v>519</v>
      </c>
      <c r="C569" t="s">
        <v>22</v>
      </c>
      <c r="D569" t="s">
        <v>520</v>
      </c>
      <c r="E569" t="s">
        <v>521</v>
      </c>
      <c r="F569" t="s">
        <v>522</v>
      </c>
      <c r="G569" t="s">
        <v>22</v>
      </c>
      <c r="H569" t="s">
        <v>22</v>
      </c>
      <c r="I569" t="s">
        <v>22</v>
      </c>
      <c r="J569" t="s">
        <v>523</v>
      </c>
      <c r="K569" t="s">
        <v>22</v>
      </c>
      <c r="L569" t="s">
        <v>524</v>
      </c>
      <c r="N569" t="s">
        <v>534</v>
      </c>
      <c r="O569" t="s">
        <v>535</v>
      </c>
      <c r="P569" t="s">
        <v>22</v>
      </c>
      <c r="Q569" t="s">
        <v>527</v>
      </c>
      <c r="R569">
        <v>153415296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153415296</v>
      </c>
      <c r="Z569">
        <v>52400232</v>
      </c>
      <c r="AA569">
        <v>52400232</v>
      </c>
      <c r="AB569">
        <v>52400232</v>
      </c>
      <c r="AC569">
        <v>52400232</v>
      </c>
      <c r="AD569">
        <v>101015064</v>
      </c>
      <c r="AE569">
        <v>34.159999999999997</v>
      </c>
    </row>
    <row r="570" spans="1:31" x14ac:dyDescent="0.2">
      <c r="A570" t="s">
        <v>1725</v>
      </c>
      <c r="B570" t="s">
        <v>519</v>
      </c>
      <c r="C570" t="s">
        <v>22</v>
      </c>
      <c r="D570" t="s">
        <v>520</v>
      </c>
      <c r="E570" t="s">
        <v>521</v>
      </c>
      <c r="F570" t="s">
        <v>522</v>
      </c>
      <c r="G570" t="s">
        <v>22</v>
      </c>
      <c r="H570" t="s">
        <v>22</v>
      </c>
      <c r="I570" t="s">
        <v>22</v>
      </c>
      <c r="J570" t="s">
        <v>523</v>
      </c>
      <c r="K570" t="s">
        <v>22</v>
      </c>
      <c r="L570" t="s">
        <v>524</v>
      </c>
      <c r="N570" t="s">
        <v>536</v>
      </c>
      <c r="O570" t="s">
        <v>537</v>
      </c>
      <c r="P570" t="s">
        <v>22</v>
      </c>
      <c r="Q570" t="s">
        <v>527</v>
      </c>
      <c r="R570">
        <v>153415296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153415296</v>
      </c>
      <c r="Z570">
        <v>52400232</v>
      </c>
      <c r="AA570">
        <v>52400232</v>
      </c>
      <c r="AB570">
        <v>52400232</v>
      </c>
      <c r="AC570">
        <v>52400232</v>
      </c>
      <c r="AD570">
        <v>101015064</v>
      </c>
      <c r="AE570">
        <v>34.159999999999997</v>
      </c>
    </row>
    <row r="571" spans="1:31" x14ac:dyDescent="0.2">
      <c r="A571" t="s">
        <v>1725</v>
      </c>
      <c r="B571" t="s">
        <v>519</v>
      </c>
      <c r="C571" t="s">
        <v>22</v>
      </c>
      <c r="D571" t="s">
        <v>520</v>
      </c>
      <c r="E571" t="s">
        <v>521</v>
      </c>
      <c r="F571" t="s">
        <v>522</v>
      </c>
      <c r="G571" t="s">
        <v>22</v>
      </c>
      <c r="H571" t="s">
        <v>22</v>
      </c>
      <c r="I571" t="s">
        <v>22</v>
      </c>
      <c r="J571" t="s">
        <v>523</v>
      </c>
      <c r="K571" t="s">
        <v>22</v>
      </c>
      <c r="L571" t="s">
        <v>524</v>
      </c>
      <c r="N571" t="s">
        <v>538</v>
      </c>
      <c r="O571" t="s">
        <v>539</v>
      </c>
      <c r="P571" t="s">
        <v>48</v>
      </c>
      <c r="Q571" t="s">
        <v>540</v>
      </c>
      <c r="R571">
        <v>119980246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119980246</v>
      </c>
      <c r="Z571">
        <v>43981597</v>
      </c>
      <c r="AA571">
        <v>43981597</v>
      </c>
      <c r="AB571">
        <v>43981597</v>
      </c>
      <c r="AC571">
        <v>43981597</v>
      </c>
      <c r="AD571">
        <v>75998649</v>
      </c>
      <c r="AE571">
        <v>36.659999999999997</v>
      </c>
    </row>
    <row r="572" spans="1:31" x14ac:dyDescent="0.2">
      <c r="A572" t="s">
        <v>1725</v>
      </c>
      <c r="B572" t="s">
        <v>519</v>
      </c>
      <c r="C572" t="s">
        <v>22</v>
      </c>
      <c r="D572" t="s">
        <v>520</v>
      </c>
      <c r="E572" t="s">
        <v>521</v>
      </c>
      <c r="F572" t="s">
        <v>522</v>
      </c>
      <c r="G572" t="s">
        <v>22</v>
      </c>
      <c r="H572" t="s">
        <v>22</v>
      </c>
      <c r="I572" t="s">
        <v>22</v>
      </c>
      <c r="J572" t="s">
        <v>523</v>
      </c>
      <c r="K572" t="s">
        <v>22</v>
      </c>
      <c r="L572" t="s">
        <v>524</v>
      </c>
      <c r="N572" t="s">
        <v>542</v>
      </c>
      <c r="O572" t="s">
        <v>543</v>
      </c>
      <c r="P572" t="s">
        <v>48</v>
      </c>
      <c r="Q572" t="s">
        <v>540</v>
      </c>
      <c r="R572">
        <v>1266900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1266900</v>
      </c>
      <c r="Z572">
        <v>431999</v>
      </c>
      <c r="AA572">
        <v>431999</v>
      </c>
      <c r="AB572">
        <v>431999</v>
      </c>
      <c r="AC572">
        <v>431999</v>
      </c>
      <c r="AD572">
        <v>834901</v>
      </c>
      <c r="AE572">
        <v>34.1</v>
      </c>
    </row>
    <row r="573" spans="1:31" x14ac:dyDescent="0.2">
      <c r="A573" t="s">
        <v>1725</v>
      </c>
      <c r="B573" t="s">
        <v>519</v>
      </c>
      <c r="C573" t="s">
        <v>22</v>
      </c>
      <c r="D573" t="s">
        <v>520</v>
      </c>
      <c r="E573" t="s">
        <v>521</v>
      </c>
      <c r="F573" t="s">
        <v>522</v>
      </c>
      <c r="G573" t="s">
        <v>22</v>
      </c>
      <c r="H573" t="s">
        <v>22</v>
      </c>
      <c r="I573" t="s">
        <v>22</v>
      </c>
      <c r="J573" t="s">
        <v>523</v>
      </c>
      <c r="K573" t="s">
        <v>22</v>
      </c>
      <c r="L573" t="s">
        <v>524</v>
      </c>
      <c r="N573" t="s">
        <v>544</v>
      </c>
      <c r="O573" t="s">
        <v>545</v>
      </c>
      <c r="P573" t="s">
        <v>48</v>
      </c>
      <c r="Q573" t="s">
        <v>540</v>
      </c>
      <c r="R573">
        <v>2395008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2395008</v>
      </c>
      <c r="Z573">
        <v>1087715</v>
      </c>
      <c r="AA573">
        <v>1087715</v>
      </c>
      <c r="AB573">
        <v>1087715</v>
      </c>
      <c r="AC573">
        <v>1087715</v>
      </c>
      <c r="AD573">
        <v>1307293</v>
      </c>
      <c r="AE573">
        <v>45.42</v>
      </c>
    </row>
    <row r="574" spans="1:31" x14ac:dyDescent="0.2">
      <c r="A574" t="s">
        <v>1725</v>
      </c>
      <c r="B574" t="s">
        <v>519</v>
      </c>
      <c r="C574" t="s">
        <v>22</v>
      </c>
      <c r="D574" t="s">
        <v>520</v>
      </c>
      <c r="E574" t="s">
        <v>521</v>
      </c>
      <c r="F574" t="s">
        <v>522</v>
      </c>
      <c r="G574" t="s">
        <v>22</v>
      </c>
      <c r="H574" t="s">
        <v>22</v>
      </c>
      <c r="I574" t="s">
        <v>22</v>
      </c>
      <c r="J574" t="s">
        <v>523</v>
      </c>
      <c r="K574" t="s">
        <v>22</v>
      </c>
      <c r="L574" t="s">
        <v>524</v>
      </c>
      <c r="N574" t="s">
        <v>546</v>
      </c>
      <c r="O574" t="s">
        <v>547</v>
      </c>
      <c r="P574" t="s">
        <v>48</v>
      </c>
      <c r="Q574" t="s">
        <v>540</v>
      </c>
      <c r="R574">
        <v>5265954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5265954</v>
      </c>
      <c r="Z574">
        <v>0</v>
      </c>
      <c r="AA574">
        <v>0</v>
      </c>
      <c r="AB574">
        <v>0</v>
      </c>
      <c r="AC574">
        <v>0</v>
      </c>
      <c r="AD574">
        <v>5265954</v>
      </c>
      <c r="AE574">
        <v>0</v>
      </c>
    </row>
    <row r="575" spans="1:31" x14ac:dyDescent="0.2">
      <c r="A575" t="s">
        <v>1725</v>
      </c>
      <c r="B575" t="s">
        <v>519</v>
      </c>
      <c r="C575" t="s">
        <v>22</v>
      </c>
      <c r="D575" t="s">
        <v>520</v>
      </c>
      <c r="E575" t="s">
        <v>521</v>
      </c>
      <c r="F575" t="s">
        <v>522</v>
      </c>
      <c r="G575" t="s">
        <v>22</v>
      </c>
      <c r="H575" t="s">
        <v>22</v>
      </c>
      <c r="I575" t="s">
        <v>22</v>
      </c>
      <c r="J575" t="s">
        <v>523</v>
      </c>
      <c r="K575" t="s">
        <v>22</v>
      </c>
      <c r="L575" t="s">
        <v>524</v>
      </c>
      <c r="N575" t="s">
        <v>548</v>
      </c>
      <c r="O575" t="s">
        <v>549</v>
      </c>
      <c r="P575" t="s">
        <v>48</v>
      </c>
      <c r="Q575" t="s">
        <v>540</v>
      </c>
      <c r="R575">
        <v>5265954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5265954</v>
      </c>
      <c r="Z575">
        <v>3616778</v>
      </c>
      <c r="AA575">
        <v>3616778</v>
      </c>
      <c r="AB575">
        <v>3616778</v>
      </c>
      <c r="AC575">
        <v>3616778</v>
      </c>
      <c r="AD575">
        <v>1649176</v>
      </c>
      <c r="AE575">
        <v>68.680000000000007</v>
      </c>
    </row>
    <row r="576" spans="1:31" x14ac:dyDescent="0.2">
      <c r="A576" t="s">
        <v>1725</v>
      </c>
      <c r="B576" t="s">
        <v>519</v>
      </c>
      <c r="C576" t="s">
        <v>22</v>
      </c>
      <c r="D576" t="s">
        <v>520</v>
      </c>
      <c r="E576" t="s">
        <v>521</v>
      </c>
      <c r="F576" t="s">
        <v>522</v>
      </c>
      <c r="G576" t="s">
        <v>22</v>
      </c>
      <c r="H576" t="s">
        <v>22</v>
      </c>
      <c r="I576" t="s">
        <v>22</v>
      </c>
      <c r="J576" t="s">
        <v>523</v>
      </c>
      <c r="K576" t="s">
        <v>22</v>
      </c>
      <c r="L576" t="s">
        <v>524</v>
      </c>
      <c r="N576" t="s">
        <v>550</v>
      </c>
      <c r="O576" t="s">
        <v>551</v>
      </c>
      <c r="P576" t="s">
        <v>22</v>
      </c>
      <c r="Q576" t="s">
        <v>527</v>
      </c>
      <c r="R576">
        <v>19241234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19241234</v>
      </c>
      <c r="Z576">
        <v>3282143</v>
      </c>
      <c r="AA576">
        <v>3282143</v>
      </c>
      <c r="AB576">
        <v>3282143</v>
      </c>
      <c r="AC576">
        <v>3282143</v>
      </c>
      <c r="AD576">
        <v>15959091</v>
      </c>
      <c r="AE576">
        <v>17.059999999999999</v>
      </c>
    </row>
    <row r="577" spans="1:31" x14ac:dyDescent="0.2">
      <c r="A577" t="s">
        <v>1725</v>
      </c>
      <c r="B577" t="s">
        <v>519</v>
      </c>
      <c r="C577" t="s">
        <v>22</v>
      </c>
      <c r="D577" t="s">
        <v>520</v>
      </c>
      <c r="E577" t="s">
        <v>521</v>
      </c>
      <c r="F577" t="s">
        <v>522</v>
      </c>
      <c r="G577" t="s">
        <v>22</v>
      </c>
      <c r="H577" t="s">
        <v>22</v>
      </c>
      <c r="I577" t="s">
        <v>22</v>
      </c>
      <c r="J577" t="s">
        <v>523</v>
      </c>
      <c r="K577" t="s">
        <v>22</v>
      </c>
      <c r="L577" t="s">
        <v>524</v>
      </c>
      <c r="N577" t="s">
        <v>552</v>
      </c>
      <c r="O577" t="s">
        <v>553</v>
      </c>
      <c r="P577" t="s">
        <v>48</v>
      </c>
      <c r="Q577" t="s">
        <v>540</v>
      </c>
      <c r="R577">
        <v>11257170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11257170</v>
      </c>
      <c r="Z577">
        <v>0</v>
      </c>
      <c r="AA577">
        <v>0</v>
      </c>
      <c r="AB577">
        <v>0</v>
      </c>
      <c r="AC577">
        <v>0</v>
      </c>
      <c r="AD577">
        <v>11257170</v>
      </c>
      <c r="AE577">
        <v>0</v>
      </c>
    </row>
    <row r="578" spans="1:31" x14ac:dyDescent="0.2">
      <c r="A578" t="s">
        <v>1725</v>
      </c>
      <c r="B578" t="s">
        <v>519</v>
      </c>
      <c r="C578" t="s">
        <v>22</v>
      </c>
      <c r="D578" t="s">
        <v>520</v>
      </c>
      <c r="E578" t="s">
        <v>521</v>
      </c>
      <c r="F578" t="s">
        <v>522</v>
      </c>
      <c r="G578" t="s">
        <v>22</v>
      </c>
      <c r="H578" t="s">
        <v>22</v>
      </c>
      <c r="I578" t="s">
        <v>22</v>
      </c>
      <c r="J578" t="s">
        <v>523</v>
      </c>
      <c r="K578" t="s">
        <v>22</v>
      </c>
      <c r="L578" t="s">
        <v>524</v>
      </c>
      <c r="N578" t="s">
        <v>554</v>
      </c>
      <c r="O578" t="s">
        <v>555</v>
      </c>
      <c r="P578" t="s">
        <v>48</v>
      </c>
      <c r="Q578" t="s">
        <v>540</v>
      </c>
      <c r="R578">
        <v>7984064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7984064</v>
      </c>
      <c r="Z578">
        <v>3282143</v>
      </c>
      <c r="AA578">
        <v>3282143</v>
      </c>
      <c r="AB578">
        <v>3282143</v>
      </c>
      <c r="AC578">
        <v>3282143</v>
      </c>
      <c r="AD578">
        <v>4701921</v>
      </c>
      <c r="AE578">
        <v>41.11</v>
      </c>
    </row>
    <row r="579" spans="1:31" x14ac:dyDescent="0.2">
      <c r="A579" t="s">
        <v>1725</v>
      </c>
      <c r="B579" t="s">
        <v>519</v>
      </c>
      <c r="C579" t="s">
        <v>22</v>
      </c>
      <c r="D579" t="s">
        <v>520</v>
      </c>
      <c r="E579" t="s">
        <v>521</v>
      </c>
      <c r="F579" t="s">
        <v>522</v>
      </c>
      <c r="G579" t="s">
        <v>22</v>
      </c>
      <c r="H579" t="s">
        <v>22</v>
      </c>
      <c r="I579" t="s">
        <v>22</v>
      </c>
      <c r="J579" t="s">
        <v>523</v>
      </c>
      <c r="K579" t="s">
        <v>22</v>
      </c>
      <c r="L579" t="s">
        <v>524</v>
      </c>
      <c r="N579" t="s">
        <v>556</v>
      </c>
      <c r="O579" t="s">
        <v>557</v>
      </c>
      <c r="P579" t="s">
        <v>22</v>
      </c>
      <c r="Q579" t="s">
        <v>527</v>
      </c>
      <c r="R579">
        <v>58886218</v>
      </c>
      <c r="S579">
        <v>0</v>
      </c>
      <c r="T579">
        <v>0</v>
      </c>
      <c r="U579">
        <v>0</v>
      </c>
      <c r="V579">
        <v>1048985</v>
      </c>
      <c r="W579">
        <v>0</v>
      </c>
      <c r="X579">
        <v>0</v>
      </c>
      <c r="Y579">
        <v>57837233</v>
      </c>
      <c r="Z579">
        <v>27396959</v>
      </c>
      <c r="AA579">
        <v>27396959</v>
      </c>
      <c r="AB579">
        <v>27396959</v>
      </c>
      <c r="AC579">
        <v>27396959</v>
      </c>
      <c r="AD579">
        <v>30440274</v>
      </c>
      <c r="AE579">
        <v>47.37</v>
      </c>
    </row>
    <row r="580" spans="1:31" x14ac:dyDescent="0.2">
      <c r="A580" t="s">
        <v>1725</v>
      </c>
      <c r="B580" t="s">
        <v>519</v>
      </c>
      <c r="C580" t="s">
        <v>22</v>
      </c>
      <c r="D580" t="s">
        <v>520</v>
      </c>
      <c r="E580" t="s">
        <v>521</v>
      </c>
      <c r="F580" t="s">
        <v>522</v>
      </c>
      <c r="G580" t="s">
        <v>22</v>
      </c>
      <c r="H580" t="s">
        <v>22</v>
      </c>
      <c r="I580" t="s">
        <v>22</v>
      </c>
      <c r="J580" t="s">
        <v>523</v>
      </c>
      <c r="K580" t="s">
        <v>22</v>
      </c>
      <c r="L580" t="s">
        <v>524</v>
      </c>
      <c r="N580" t="s">
        <v>558</v>
      </c>
      <c r="O580" t="s">
        <v>559</v>
      </c>
      <c r="P580" t="s">
        <v>48</v>
      </c>
      <c r="Q580" t="s">
        <v>540</v>
      </c>
      <c r="R580">
        <v>17120026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17120026</v>
      </c>
      <c r="Z580">
        <v>5957600</v>
      </c>
      <c r="AA580">
        <v>5957600</v>
      </c>
      <c r="AB580">
        <v>5957600</v>
      </c>
      <c r="AC580">
        <v>5957600</v>
      </c>
      <c r="AD580">
        <v>11162426</v>
      </c>
      <c r="AE580">
        <v>34.799999999999997</v>
      </c>
    </row>
    <row r="581" spans="1:31" x14ac:dyDescent="0.2">
      <c r="A581" t="s">
        <v>1725</v>
      </c>
      <c r="B581" t="s">
        <v>519</v>
      </c>
      <c r="C581" t="s">
        <v>22</v>
      </c>
      <c r="D581" t="s">
        <v>520</v>
      </c>
      <c r="E581" t="s">
        <v>521</v>
      </c>
      <c r="F581" t="s">
        <v>522</v>
      </c>
      <c r="G581" t="s">
        <v>22</v>
      </c>
      <c r="H581" t="s">
        <v>22</v>
      </c>
      <c r="I581" t="s">
        <v>22</v>
      </c>
      <c r="J581" t="s">
        <v>523</v>
      </c>
      <c r="K581" t="s">
        <v>22</v>
      </c>
      <c r="L581" t="s">
        <v>524</v>
      </c>
      <c r="N581" t="s">
        <v>560</v>
      </c>
      <c r="O581" t="s">
        <v>561</v>
      </c>
      <c r="P581" t="s">
        <v>48</v>
      </c>
      <c r="Q581" t="s">
        <v>540</v>
      </c>
      <c r="R581">
        <v>12207955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12207955</v>
      </c>
      <c r="Z581">
        <v>4219400</v>
      </c>
      <c r="AA581">
        <v>4219400</v>
      </c>
      <c r="AB581">
        <v>4219400</v>
      </c>
      <c r="AC581">
        <v>4219400</v>
      </c>
      <c r="AD581">
        <v>7988555</v>
      </c>
      <c r="AE581">
        <v>34.56</v>
      </c>
    </row>
    <row r="582" spans="1:31" x14ac:dyDescent="0.2">
      <c r="A582" t="s">
        <v>1725</v>
      </c>
      <c r="B582" t="s">
        <v>519</v>
      </c>
      <c r="C582" t="s">
        <v>22</v>
      </c>
      <c r="D582" t="s">
        <v>520</v>
      </c>
      <c r="E582" t="s">
        <v>521</v>
      </c>
      <c r="F582" t="s">
        <v>522</v>
      </c>
      <c r="G582" t="s">
        <v>22</v>
      </c>
      <c r="H582" t="s">
        <v>22</v>
      </c>
      <c r="I582" t="s">
        <v>22</v>
      </c>
      <c r="J582" t="s">
        <v>523</v>
      </c>
      <c r="K582" t="s">
        <v>22</v>
      </c>
      <c r="L582" t="s">
        <v>524</v>
      </c>
      <c r="N582" t="s">
        <v>562</v>
      </c>
      <c r="O582" t="s">
        <v>563</v>
      </c>
      <c r="P582" t="s">
        <v>22</v>
      </c>
      <c r="Q582" t="s">
        <v>527</v>
      </c>
      <c r="R582">
        <v>15553417</v>
      </c>
      <c r="S582">
        <v>0</v>
      </c>
      <c r="T582">
        <v>0</v>
      </c>
      <c r="U582">
        <v>0</v>
      </c>
      <c r="V582">
        <v>1048985</v>
      </c>
      <c r="W582">
        <v>0</v>
      </c>
      <c r="X582">
        <v>0</v>
      </c>
      <c r="Y582">
        <v>14504432</v>
      </c>
      <c r="Z582">
        <v>11467959</v>
      </c>
      <c r="AA582">
        <v>11467959</v>
      </c>
      <c r="AB582">
        <v>11467959</v>
      </c>
      <c r="AC582">
        <v>11467959</v>
      </c>
      <c r="AD582">
        <v>3036473</v>
      </c>
      <c r="AE582">
        <v>79.069999999999993</v>
      </c>
    </row>
    <row r="583" spans="1:31" x14ac:dyDescent="0.2">
      <c r="A583" t="s">
        <v>1725</v>
      </c>
      <c r="B583" t="s">
        <v>519</v>
      </c>
      <c r="C583" t="s">
        <v>22</v>
      </c>
      <c r="D583" t="s">
        <v>520</v>
      </c>
      <c r="E583" t="s">
        <v>521</v>
      </c>
      <c r="F583" t="s">
        <v>522</v>
      </c>
      <c r="G583" t="s">
        <v>22</v>
      </c>
      <c r="H583" t="s">
        <v>22</v>
      </c>
      <c r="I583" t="s">
        <v>22</v>
      </c>
      <c r="J583" t="s">
        <v>523</v>
      </c>
      <c r="K583" t="s">
        <v>22</v>
      </c>
      <c r="L583" t="s">
        <v>524</v>
      </c>
      <c r="N583" t="s">
        <v>564</v>
      </c>
      <c r="O583" t="s">
        <v>563</v>
      </c>
      <c r="P583" t="s">
        <v>48</v>
      </c>
      <c r="Q583" t="s">
        <v>540</v>
      </c>
      <c r="R583">
        <v>13981716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13981716</v>
      </c>
      <c r="Z583">
        <v>11467959</v>
      </c>
      <c r="AA583">
        <v>11467959</v>
      </c>
      <c r="AB583">
        <v>11467959</v>
      </c>
      <c r="AC583">
        <v>11467959</v>
      </c>
      <c r="AD583">
        <v>2513757</v>
      </c>
      <c r="AE583">
        <v>82.02</v>
      </c>
    </row>
    <row r="584" spans="1:31" x14ac:dyDescent="0.2">
      <c r="A584" t="s">
        <v>1725</v>
      </c>
      <c r="B584" t="s">
        <v>519</v>
      </c>
      <c r="C584" t="s">
        <v>22</v>
      </c>
      <c r="D584" t="s">
        <v>520</v>
      </c>
      <c r="E584" t="s">
        <v>521</v>
      </c>
      <c r="F584" t="s">
        <v>522</v>
      </c>
      <c r="G584" t="s">
        <v>22</v>
      </c>
      <c r="H584" t="s">
        <v>22</v>
      </c>
      <c r="I584" t="s">
        <v>22</v>
      </c>
      <c r="J584" t="s">
        <v>523</v>
      </c>
      <c r="K584" t="s">
        <v>22</v>
      </c>
      <c r="L584" t="s">
        <v>524</v>
      </c>
      <c r="N584" t="s">
        <v>566</v>
      </c>
      <c r="O584" t="s">
        <v>567</v>
      </c>
      <c r="P584" t="s">
        <v>48</v>
      </c>
      <c r="Q584" t="s">
        <v>540</v>
      </c>
      <c r="R584">
        <v>1571701</v>
      </c>
      <c r="S584">
        <v>0</v>
      </c>
      <c r="T584">
        <v>0</v>
      </c>
      <c r="U584">
        <v>0</v>
      </c>
      <c r="V584">
        <v>1048985</v>
      </c>
      <c r="W584">
        <v>0</v>
      </c>
      <c r="X584">
        <v>0</v>
      </c>
      <c r="Y584">
        <v>522716</v>
      </c>
      <c r="Z584">
        <v>0</v>
      </c>
      <c r="AA584">
        <v>0</v>
      </c>
      <c r="AB584">
        <v>0</v>
      </c>
      <c r="AC584">
        <v>0</v>
      </c>
      <c r="AD584">
        <v>522716</v>
      </c>
      <c r="AE584">
        <v>0</v>
      </c>
    </row>
    <row r="585" spans="1:31" x14ac:dyDescent="0.2">
      <c r="A585" t="s">
        <v>1725</v>
      </c>
      <c r="B585" t="s">
        <v>519</v>
      </c>
      <c r="C585" t="s">
        <v>22</v>
      </c>
      <c r="D585" t="s">
        <v>520</v>
      </c>
      <c r="E585" t="s">
        <v>521</v>
      </c>
      <c r="F585" t="s">
        <v>522</v>
      </c>
      <c r="G585" t="s">
        <v>22</v>
      </c>
      <c r="H585" t="s">
        <v>22</v>
      </c>
      <c r="I585" t="s">
        <v>22</v>
      </c>
      <c r="J585" t="s">
        <v>523</v>
      </c>
      <c r="K585" t="s">
        <v>22</v>
      </c>
      <c r="L585" t="s">
        <v>524</v>
      </c>
      <c r="N585" t="s">
        <v>568</v>
      </c>
      <c r="O585" t="s">
        <v>569</v>
      </c>
      <c r="P585" t="s">
        <v>48</v>
      </c>
      <c r="Q585" t="s">
        <v>540</v>
      </c>
      <c r="R585">
        <v>5795310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5795310</v>
      </c>
      <c r="Z585">
        <v>2444800</v>
      </c>
      <c r="AA585">
        <v>2444800</v>
      </c>
      <c r="AB585">
        <v>2444800</v>
      </c>
      <c r="AC585">
        <v>2444800</v>
      </c>
      <c r="AD585">
        <v>3350510</v>
      </c>
      <c r="AE585">
        <v>42.19</v>
      </c>
    </row>
    <row r="586" spans="1:31" x14ac:dyDescent="0.2">
      <c r="A586" t="s">
        <v>1725</v>
      </c>
      <c r="B586" t="s">
        <v>519</v>
      </c>
      <c r="C586" t="s">
        <v>22</v>
      </c>
      <c r="D586" t="s">
        <v>520</v>
      </c>
      <c r="E586" t="s">
        <v>521</v>
      </c>
      <c r="F586" t="s">
        <v>522</v>
      </c>
      <c r="G586" t="s">
        <v>22</v>
      </c>
      <c r="H586" t="s">
        <v>22</v>
      </c>
      <c r="I586" t="s">
        <v>22</v>
      </c>
      <c r="J586" t="s">
        <v>523</v>
      </c>
      <c r="K586" t="s">
        <v>22</v>
      </c>
      <c r="L586" t="s">
        <v>524</v>
      </c>
      <c r="N586" t="s">
        <v>570</v>
      </c>
      <c r="O586" t="s">
        <v>571</v>
      </c>
      <c r="P586" t="s">
        <v>48</v>
      </c>
      <c r="Q586" t="s">
        <v>540</v>
      </c>
      <c r="R586">
        <v>758854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758854</v>
      </c>
      <c r="Z586">
        <v>250300</v>
      </c>
      <c r="AA586">
        <v>250300</v>
      </c>
      <c r="AB586">
        <v>250300</v>
      </c>
      <c r="AC586">
        <v>250300</v>
      </c>
      <c r="AD586">
        <v>508554</v>
      </c>
      <c r="AE586">
        <v>32.979999999999997</v>
      </c>
    </row>
    <row r="587" spans="1:31" x14ac:dyDescent="0.2">
      <c r="A587" t="s">
        <v>1725</v>
      </c>
      <c r="B587" t="s">
        <v>519</v>
      </c>
      <c r="C587" t="s">
        <v>22</v>
      </c>
      <c r="D587" t="s">
        <v>520</v>
      </c>
      <c r="E587" t="s">
        <v>521</v>
      </c>
      <c r="F587" t="s">
        <v>522</v>
      </c>
      <c r="G587" t="s">
        <v>22</v>
      </c>
      <c r="H587" t="s">
        <v>22</v>
      </c>
      <c r="I587" t="s">
        <v>22</v>
      </c>
      <c r="J587" t="s">
        <v>523</v>
      </c>
      <c r="K587" t="s">
        <v>22</v>
      </c>
      <c r="L587" t="s">
        <v>524</v>
      </c>
      <c r="N587" t="s">
        <v>572</v>
      </c>
      <c r="O587" t="s">
        <v>573</v>
      </c>
      <c r="P587" t="s">
        <v>48</v>
      </c>
      <c r="Q587" t="s">
        <v>540</v>
      </c>
      <c r="R587">
        <v>4346909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4346909</v>
      </c>
      <c r="Z587">
        <v>1833700</v>
      </c>
      <c r="AA587">
        <v>1833700</v>
      </c>
      <c r="AB587">
        <v>1833700</v>
      </c>
      <c r="AC587">
        <v>1833700</v>
      </c>
      <c r="AD587">
        <v>2513209</v>
      </c>
      <c r="AE587">
        <v>42.18</v>
      </c>
    </row>
    <row r="588" spans="1:31" x14ac:dyDescent="0.2">
      <c r="A588" t="s">
        <v>1725</v>
      </c>
      <c r="B588" t="s">
        <v>519</v>
      </c>
      <c r="C588" t="s">
        <v>22</v>
      </c>
      <c r="D588" t="s">
        <v>520</v>
      </c>
      <c r="E588" t="s">
        <v>521</v>
      </c>
      <c r="F588" t="s">
        <v>522</v>
      </c>
      <c r="G588" t="s">
        <v>22</v>
      </c>
      <c r="H588" t="s">
        <v>22</v>
      </c>
      <c r="I588" t="s">
        <v>22</v>
      </c>
      <c r="J588" t="s">
        <v>523</v>
      </c>
      <c r="K588" t="s">
        <v>22</v>
      </c>
      <c r="L588" t="s">
        <v>524</v>
      </c>
      <c r="N588" t="s">
        <v>574</v>
      </c>
      <c r="O588" t="s">
        <v>575</v>
      </c>
      <c r="P588" t="s">
        <v>48</v>
      </c>
      <c r="Q588" t="s">
        <v>540</v>
      </c>
      <c r="R588">
        <v>826697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826697</v>
      </c>
      <c r="Z588">
        <v>305900</v>
      </c>
      <c r="AA588">
        <v>305900</v>
      </c>
      <c r="AB588">
        <v>305900</v>
      </c>
      <c r="AC588">
        <v>305900</v>
      </c>
      <c r="AD588">
        <v>520797</v>
      </c>
      <c r="AE588">
        <v>37</v>
      </c>
    </row>
    <row r="589" spans="1:31" x14ac:dyDescent="0.2">
      <c r="A589" t="s">
        <v>1725</v>
      </c>
      <c r="B589" t="s">
        <v>519</v>
      </c>
      <c r="C589" t="s">
        <v>22</v>
      </c>
      <c r="D589" t="s">
        <v>520</v>
      </c>
      <c r="E589" t="s">
        <v>521</v>
      </c>
      <c r="F589" t="s">
        <v>522</v>
      </c>
      <c r="G589" t="s">
        <v>22</v>
      </c>
      <c r="H589" t="s">
        <v>22</v>
      </c>
      <c r="I589" t="s">
        <v>22</v>
      </c>
      <c r="J589" t="s">
        <v>523</v>
      </c>
      <c r="K589" t="s">
        <v>22</v>
      </c>
      <c r="L589" t="s">
        <v>524</v>
      </c>
      <c r="N589" t="s">
        <v>576</v>
      </c>
      <c r="O589" t="s">
        <v>577</v>
      </c>
      <c r="P589" t="s">
        <v>48</v>
      </c>
      <c r="Q589" t="s">
        <v>540</v>
      </c>
      <c r="R589">
        <v>826697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826697</v>
      </c>
      <c r="Z589">
        <v>305900</v>
      </c>
      <c r="AA589">
        <v>305900</v>
      </c>
      <c r="AB589">
        <v>305900</v>
      </c>
      <c r="AC589">
        <v>305900</v>
      </c>
      <c r="AD589">
        <v>520797</v>
      </c>
      <c r="AE589">
        <v>37</v>
      </c>
    </row>
    <row r="590" spans="1:31" x14ac:dyDescent="0.2">
      <c r="A590" t="s">
        <v>1725</v>
      </c>
      <c r="B590" t="s">
        <v>519</v>
      </c>
      <c r="C590" t="s">
        <v>22</v>
      </c>
      <c r="D590" t="s">
        <v>520</v>
      </c>
      <c r="E590" t="s">
        <v>521</v>
      </c>
      <c r="F590" t="s">
        <v>522</v>
      </c>
      <c r="G590" t="s">
        <v>22</v>
      </c>
      <c r="H590" t="s">
        <v>22</v>
      </c>
      <c r="I590" t="s">
        <v>22</v>
      </c>
      <c r="J590" t="s">
        <v>523</v>
      </c>
      <c r="K590" t="s">
        <v>22</v>
      </c>
      <c r="L590" t="s">
        <v>524</v>
      </c>
      <c r="N590" t="s">
        <v>578</v>
      </c>
      <c r="O590" t="s">
        <v>579</v>
      </c>
      <c r="P590" t="s">
        <v>48</v>
      </c>
      <c r="Q590" t="s">
        <v>540</v>
      </c>
      <c r="R590">
        <v>1450353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1450353</v>
      </c>
      <c r="Z590">
        <v>611400</v>
      </c>
      <c r="AA590">
        <v>611400</v>
      </c>
      <c r="AB590">
        <v>611400</v>
      </c>
      <c r="AC590">
        <v>611400</v>
      </c>
      <c r="AD590">
        <v>838953</v>
      </c>
      <c r="AE590">
        <v>42.16</v>
      </c>
    </row>
    <row r="591" spans="1:31" x14ac:dyDescent="0.2">
      <c r="A591" t="s">
        <v>1725</v>
      </c>
      <c r="B591" t="s">
        <v>519</v>
      </c>
      <c r="C591" t="s">
        <v>22</v>
      </c>
      <c r="D591" t="s">
        <v>520</v>
      </c>
      <c r="E591" t="s">
        <v>521</v>
      </c>
      <c r="F591" t="s">
        <v>522</v>
      </c>
      <c r="G591" t="s">
        <v>22</v>
      </c>
      <c r="H591" t="s">
        <v>22</v>
      </c>
      <c r="I591" t="s">
        <v>22</v>
      </c>
      <c r="J591" t="s">
        <v>523</v>
      </c>
      <c r="K591" t="s">
        <v>22</v>
      </c>
      <c r="L591" t="s">
        <v>524</v>
      </c>
      <c r="N591" t="s">
        <v>586</v>
      </c>
      <c r="O591" t="s">
        <v>587</v>
      </c>
      <c r="P591" t="s">
        <v>22</v>
      </c>
      <c r="Q591" t="s">
        <v>527</v>
      </c>
      <c r="R591">
        <v>9545853</v>
      </c>
      <c r="S591">
        <v>0</v>
      </c>
      <c r="T591">
        <v>0</v>
      </c>
      <c r="U591">
        <v>1048985</v>
      </c>
      <c r="V591">
        <v>0</v>
      </c>
      <c r="W591">
        <v>0</v>
      </c>
      <c r="X591">
        <v>0</v>
      </c>
      <c r="Y591">
        <v>10594838</v>
      </c>
      <c r="Z591">
        <v>10474201</v>
      </c>
      <c r="AA591">
        <v>10474201</v>
      </c>
      <c r="AB591">
        <v>10474201</v>
      </c>
      <c r="AC591">
        <v>10474201</v>
      </c>
      <c r="AD591">
        <v>120637</v>
      </c>
      <c r="AE591">
        <v>98.86</v>
      </c>
    </row>
    <row r="592" spans="1:31" x14ac:dyDescent="0.2">
      <c r="A592" t="s">
        <v>1725</v>
      </c>
      <c r="B592" t="s">
        <v>519</v>
      </c>
      <c r="C592" t="s">
        <v>22</v>
      </c>
      <c r="D592" t="s">
        <v>520</v>
      </c>
      <c r="E592" t="s">
        <v>521</v>
      </c>
      <c r="F592" t="s">
        <v>522</v>
      </c>
      <c r="G592" t="s">
        <v>22</v>
      </c>
      <c r="H592" t="s">
        <v>22</v>
      </c>
      <c r="I592" t="s">
        <v>22</v>
      </c>
      <c r="J592" t="s">
        <v>523</v>
      </c>
      <c r="K592" t="s">
        <v>22</v>
      </c>
      <c r="L592" t="s">
        <v>524</v>
      </c>
      <c r="N592" t="s">
        <v>588</v>
      </c>
      <c r="O592" t="s">
        <v>551</v>
      </c>
      <c r="P592" t="s">
        <v>22</v>
      </c>
      <c r="Q592" t="s">
        <v>527</v>
      </c>
      <c r="R592">
        <v>9545853</v>
      </c>
      <c r="S592">
        <v>0</v>
      </c>
      <c r="T592">
        <v>0</v>
      </c>
      <c r="U592">
        <v>1048985</v>
      </c>
      <c r="V592">
        <v>0</v>
      </c>
      <c r="W592">
        <v>0</v>
      </c>
      <c r="X592">
        <v>0</v>
      </c>
      <c r="Y592">
        <v>10594838</v>
      </c>
      <c r="Z592">
        <v>10474201</v>
      </c>
      <c r="AA592">
        <v>10474201</v>
      </c>
      <c r="AB592">
        <v>10474201</v>
      </c>
      <c r="AC592">
        <v>10474201</v>
      </c>
      <c r="AD592">
        <v>120637</v>
      </c>
      <c r="AE592">
        <v>98.86</v>
      </c>
    </row>
    <row r="593" spans="1:31" x14ac:dyDescent="0.2">
      <c r="A593" t="s">
        <v>1725</v>
      </c>
      <c r="B593" t="s">
        <v>519</v>
      </c>
      <c r="C593" t="s">
        <v>22</v>
      </c>
      <c r="D593" t="s">
        <v>520</v>
      </c>
      <c r="E593" t="s">
        <v>521</v>
      </c>
      <c r="F593" t="s">
        <v>522</v>
      </c>
      <c r="G593" t="s">
        <v>22</v>
      </c>
      <c r="H593" t="s">
        <v>22</v>
      </c>
      <c r="I593" t="s">
        <v>22</v>
      </c>
      <c r="J593" t="s">
        <v>523</v>
      </c>
      <c r="K593" t="s">
        <v>22</v>
      </c>
      <c r="L593" t="s">
        <v>524</v>
      </c>
      <c r="N593" t="s">
        <v>591</v>
      </c>
      <c r="O593" t="s">
        <v>592</v>
      </c>
      <c r="P593" t="s">
        <v>48</v>
      </c>
      <c r="Q593" t="s">
        <v>540</v>
      </c>
      <c r="R593">
        <v>9000000</v>
      </c>
      <c r="S593">
        <v>0</v>
      </c>
      <c r="T593">
        <v>0</v>
      </c>
      <c r="U593">
        <v>1048985</v>
      </c>
      <c r="V593">
        <v>0</v>
      </c>
      <c r="W593">
        <v>0</v>
      </c>
      <c r="X593">
        <v>0</v>
      </c>
      <c r="Y593">
        <v>10048985</v>
      </c>
      <c r="Z593">
        <v>10048985</v>
      </c>
      <c r="AA593">
        <v>10048985</v>
      </c>
      <c r="AB593">
        <v>10048985</v>
      </c>
      <c r="AC593">
        <v>10048985</v>
      </c>
      <c r="AD593">
        <v>0</v>
      </c>
      <c r="AE593">
        <v>100</v>
      </c>
    </row>
    <row r="594" spans="1:31" x14ac:dyDescent="0.2">
      <c r="A594" t="s">
        <v>1725</v>
      </c>
      <c r="B594" t="s">
        <v>519</v>
      </c>
      <c r="C594" t="s">
        <v>22</v>
      </c>
      <c r="D594" t="s">
        <v>520</v>
      </c>
      <c r="E594" t="s">
        <v>521</v>
      </c>
      <c r="F594" t="s">
        <v>522</v>
      </c>
      <c r="G594" t="s">
        <v>22</v>
      </c>
      <c r="H594" t="s">
        <v>22</v>
      </c>
      <c r="I594" t="s">
        <v>22</v>
      </c>
      <c r="J594" t="s">
        <v>523</v>
      </c>
      <c r="K594" t="s">
        <v>22</v>
      </c>
      <c r="L594" t="s">
        <v>524</v>
      </c>
      <c r="N594" t="s">
        <v>593</v>
      </c>
      <c r="O594" t="s">
        <v>594</v>
      </c>
      <c r="P594" t="s">
        <v>48</v>
      </c>
      <c r="Q594" t="s">
        <v>540</v>
      </c>
      <c r="R594">
        <v>545853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545853</v>
      </c>
      <c r="Z594">
        <v>425216</v>
      </c>
      <c r="AA594">
        <v>425216</v>
      </c>
      <c r="AB594">
        <v>425216</v>
      </c>
      <c r="AC594">
        <v>425216</v>
      </c>
      <c r="AD594">
        <v>120637</v>
      </c>
      <c r="AE594">
        <v>77.900000000000006</v>
      </c>
    </row>
    <row r="595" spans="1:31" x14ac:dyDescent="0.2">
      <c r="A595" t="s">
        <v>1725</v>
      </c>
      <c r="B595" t="s">
        <v>519</v>
      </c>
      <c r="C595" t="s">
        <v>22</v>
      </c>
      <c r="D595" t="s">
        <v>520</v>
      </c>
      <c r="E595" t="s">
        <v>521</v>
      </c>
      <c r="F595" t="s">
        <v>522</v>
      </c>
      <c r="G595" t="s">
        <v>22</v>
      </c>
      <c r="H595" t="s">
        <v>22</v>
      </c>
      <c r="I595" t="s">
        <v>22</v>
      </c>
      <c r="J595" t="s">
        <v>523</v>
      </c>
      <c r="K595" t="s">
        <v>22</v>
      </c>
      <c r="L595" t="s">
        <v>524</v>
      </c>
      <c r="N595" t="s">
        <v>601</v>
      </c>
      <c r="O595" t="s">
        <v>602</v>
      </c>
      <c r="P595" t="s">
        <v>22</v>
      </c>
      <c r="Q595" t="s">
        <v>527</v>
      </c>
      <c r="R595">
        <v>44347133</v>
      </c>
      <c r="S595">
        <v>0</v>
      </c>
      <c r="T595">
        <v>0</v>
      </c>
      <c r="U595">
        <v>1822480</v>
      </c>
      <c r="V595">
        <v>1822480</v>
      </c>
      <c r="W595">
        <v>0</v>
      </c>
      <c r="X595">
        <v>0</v>
      </c>
      <c r="Y595">
        <v>44347133</v>
      </c>
      <c r="Z595">
        <v>35872500</v>
      </c>
      <c r="AA595">
        <v>35872500</v>
      </c>
      <c r="AB595">
        <v>28372500</v>
      </c>
      <c r="AC595">
        <v>28372500</v>
      </c>
      <c r="AD595">
        <v>8474633</v>
      </c>
      <c r="AE595">
        <v>80.89</v>
      </c>
    </row>
    <row r="596" spans="1:31" x14ac:dyDescent="0.2">
      <c r="A596" t="s">
        <v>1725</v>
      </c>
      <c r="B596" t="s">
        <v>519</v>
      </c>
      <c r="C596" t="s">
        <v>22</v>
      </c>
      <c r="D596" t="s">
        <v>520</v>
      </c>
      <c r="E596" t="s">
        <v>521</v>
      </c>
      <c r="F596" t="s">
        <v>522</v>
      </c>
      <c r="G596" t="s">
        <v>22</v>
      </c>
      <c r="H596" t="s">
        <v>22</v>
      </c>
      <c r="I596" t="s">
        <v>22</v>
      </c>
      <c r="J596" t="s">
        <v>523</v>
      </c>
      <c r="K596" t="s">
        <v>22</v>
      </c>
      <c r="L596" t="s">
        <v>524</v>
      </c>
      <c r="N596" t="s">
        <v>625</v>
      </c>
      <c r="O596" t="s">
        <v>626</v>
      </c>
      <c r="P596" t="s">
        <v>22</v>
      </c>
      <c r="Q596" t="s">
        <v>527</v>
      </c>
      <c r="R596">
        <v>44347133</v>
      </c>
      <c r="S596">
        <v>0</v>
      </c>
      <c r="T596">
        <v>0</v>
      </c>
      <c r="U596">
        <v>1822480</v>
      </c>
      <c r="V596">
        <v>1822480</v>
      </c>
      <c r="W596">
        <v>0</v>
      </c>
      <c r="X596">
        <v>0</v>
      </c>
      <c r="Y596">
        <v>44347133</v>
      </c>
      <c r="Z596">
        <v>35872500</v>
      </c>
      <c r="AA596">
        <v>35872500</v>
      </c>
      <c r="AB596">
        <v>28372500</v>
      </c>
      <c r="AC596">
        <v>28372500</v>
      </c>
      <c r="AD596">
        <v>8474633</v>
      </c>
      <c r="AE596">
        <v>80.89</v>
      </c>
    </row>
    <row r="597" spans="1:31" x14ac:dyDescent="0.2">
      <c r="A597" t="s">
        <v>1725</v>
      </c>
      <c r="B597" t="s">
        <v>519</v>
      </c>
      <c r="C597" t="s">
        <v>22</v>
      </c>
      <c r="D597" t="s">
        <v>520</v>
      </c>
      <c r="E597" t="s">
        <v>521</v>
      </c>
      <c r="F597" t="s">
        <v>522</v>
      </c>
      <c r="G597" t="s">
        <v>22</v>
      </c>
      <c r="H597" t="s">
        <v>22</v>
      </c>
      <c r="I597" t="s">
        <v>22</v>
      </c>
      <c r="J597" t="s">
        <v>523</v>
      </c>
      <c r="K597" t="s">
        <v>22</v>
      </c>
      <c r="L597" t="s">
        <v>524</v>
      </c>
      <c r="N597" t="s">
        <v>627</v>
      </c>
      <c r="O597" t="s">
        <v>628</v>
      </c>
      <c r="P597" t="s">
        <v>22</v>
      </c>
      <c r="Q597" t="s">
        <v>527</v>
      </c>
      <c r="R597">
        <v>3969980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3969980</v>
      </c>
      <c r="Z597">
        <v>0</v>
      </c>
      <c r="AA597">
        <v>0</v>
      </c>
      <c r="AB597">
        <v>0</v>
      </c>
      <c r="AC597">
        <v>0</v>
      </c>
      <c r="AD597">
        <v>3969980</v>
      </c>
      <c r="AE597">
        <v>0</v>
      </c>
    </row>
    <row r="598" spans="1:31" x14ac:dyDescent="0.2">
      <c r="A598" t="s">
        <v>1725</v>
      </c>
      <c r="B598" t="s">
        <v>519</v>
      </c>
      <c r="C598" t="s">
        <v>22</v>
      </c>
      <c r="D598" t="s">
        <v>520</v>
      </c>
      <c r="E598" t="s">
        <v>521</v>
      </c>
      <c r="F598" t="s">
        <v>522</v>
      </c>
      <c r="G598" t="s">
        <v>1726</v>
      </c>
      <c r="H598" t="s">
        <v>1726</v>
      </c>
      <c r="I598" t="s">
        <v>631</v>
      </c>
      <c r="J598" t="s">
        <v>632</v>
      </c>
      <c r="K598" t="s">
        <v>22</v>
      </c>
      <c r="L598" t="s">
        <v>524</v>
      </c>
      <c r="N598" t="s">
        <v>633</v>
      </c>
      <c r="O598" t="s">
        <v>634</v>
      </c>
      <c r="P598" t="s">
        <v>48</v>
      </c>
      <c r="Q598" t="s">
        <v>540</v>
      </c>
      <c r="R598">
        <v>1969980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1969980</v>
      </c>
      <c r="Z598">
        <v>0</v>
      </c>
      <c r="AA598">
        <v>0</v>
      </c>
      <c r="AB598">
        <v>0</v>
      </c>
      <c r="AC598">
        <v>0</v>
      </c>
      <c r="AD598">
        <v>1969980</v>
      </c>
      <c r="AE598">
        <v>0</v>
      </c>
    </row>
    <row r="599" spans="1:31" x14ac:dyDescent="0.2">
      <c r="A599" t="s">
        <v>1725</v>
      </c>
      <c r="B599" t="s">
        <v>519</v>
      </c>
      <c r="C599" t="s">
        <v>22</v>
      </c>
      <c r="D599" t="s">
        <v>520</v>
      </c>
      <c r="E599" t="s">
        <v>521</v>
      </c>
      <c r="F599" t="s">
        <v>522</v>
      </c>
      <c r="G599" t="s">
        <v>22</v>
      </c>
      <c r="H599" t="s">
        <v>22</v>
      </c>
      <c r="I599" t="s">
        <v>22</v>
      </c>
      <c r="J599" t="s">
        <v>523</v>
      </c>
      <c r="K599" t="s">
        <v>22</v>
      </c>
      <c r="L599" t="s">
        <v>524</v>
      </c>
      <c r="N599" t="s">
        <v>639</v>
      </c>
      <c r="O599" t="s">
        <v>636</v>
      </c>
      <c r="P599" t="s">
        <v>48</v>
      </c>
      <c r="Q599" t="s">
        <v>540</v>
      </c>
      <c r="R599">
        <v>2000000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2000000</v>
      </c>
      <c r="Z599">
        <v>0</v>
      </c>
      <c r="AA599">
        <v>0</v>
      </c>
      <c r="AB599">
        <v>0</v>
      </c>
      <c r="AC599">
        <v>0</v>
      </c>
      <c r="AD599">
        <v>2000000</v>
      </c>
      <c r="AE599">
        <v>0</v>
      </c>
    </row>
    <row r="600" spans="1:31" x14ac:dyDescent="0.2">
      <c r="A600" t="s">
        <v>1725</v>
      </c>
      <c r="B600" t="s">
        <v>519</v>
      </c>
      <c r="C600" t="s">
        <v>22</v>
      </c>
      <c r="D600" t="s">
        <v>520</v>
      </c>
      <c r="E600" t="s">
        <v>521</v>
      </c>
      <c r="F600" t="s">
        <v>522</v>
      </c>
      <c r="G600" t="s">
        <v>22</v>
      </c>
      <c r="H600" t="s">
        <v>22</v>
      </c>
      <c r="I600" t="s">
        <v>22</v>
      </c>
      <c r="J600" t="s">
        <v>523</v>
      </c>
      <c r="K600" t="s">
        <v>22</v>
      </c>
      <c r="L600" t="s">
        <v>524</v>
      </c>
      <c r="N600" t="s">
        <v>649</v>
      </c>
      <c r="O600" t="s">
        <v>650</v>
      </c>
      <c r="P600" t="s">
        <v>22</v>
      </c>
      <c r="Q600" t="s">
        <v>527</v>
      </c>
      <c r="R600">
        <v>40377153</v>
      </c>
      <c r="S600">
        <v>0</v>
      </c>
      <c r="T600">
        <v>0</v>
      </c>
      <c r="U600">
        <v>1822480</v>
      </c>
      <c r="V600">
        <v>1822480</v>
      </c>
      <c r="W600">
        <v>0</v>
      </c>
      <c r="X600">
        <v>0</v>
      </c>
      <c r="Y600">
        <v>40377153</v>
      </c>
      <c r="Z600">
        <v>35872500</v>
      </c>
      <c r="AA600">
        <v>35872500</v>
      </c>
      <c r="AB600">
        <v>28372500</v>
      </c>
      <c r="AC600">
        <v>28372500</v>
      </c>
      <c r="AD600">
        <v>4504653</v>
      </c>
      <c r="AE600">
        <v>88.84</v>
      </c>
    </row>
    <row r="601" spans="1:31" x14ac:dyDescent="0.2">
      <c r="A601" t="s">
        <v>1725</v>
      </c>
      <c r="B601" t="s">
        <v>519</v>
      </c>
      <c r="C601" t="s">
        <v>22</v>
      </c>
      <c r="D601" t="s">
        <v>520</v>
      </c>
      <c r="E601" t="s">
        <v>521</v>
      </c>
      <c r="F601" t="s">
        <v>522</v>
      </c>
      <c r="G601" t="s">
        <v>22</v>
      </c>
      <c r="H601" t="s">
        <v>22</v>
      </c>
      <c r="I601" t="s">
        <v>22</v>
      </c>
      <c r="J601" t="s">
        <v>523</v>
      </c>
      <c r="K601" t="s">
        <v>22</v>
      </c>
      <c r="L601" t="s">
        <v>524</v>
      </c>
      <c r="N601" t="s">
        <v>701</v>
      </c>
      <c r="O601" t="s">
        <v>702</v>
      </c>
      <c r="P601" t="s">
        <v>22</v>
      </c>
      <c r="Q601" t="s">
        <v>527</v>
      </c>
      <c r="R601">
        <v>0</v>
      </c>
      <c r="S601">
        <v>0</v>
      </c>
      <c r="T601">
        <v>0</v>
      </c>
      <c r="U601">
        <v>1822480</v>
      </c>
      <c r="V601">
        <v>0</v>
      </c>
      <c r="W601">
        <v>0</v>
      </c>
      <c r="X601">
        <v>0</v>
      </c>
      <c r="Y601">
        <v>1822480</v>
      </c>
      <c r="Z601">
        <v>1822480</v>
      </c>
      <c r="AA601">
        <v>1822480</v>
      </c>
      <c r="AB601">
        <v>1822480</v>
      </c>
      <c r="AC601">
        <v>1822480</v>
      </c>
      <c r="AD601">
        <v>0</v>
      </c>
      <c r="AE601">
        <v>100</v>
      </c>
    </row>
    <row r="602" spans="1:31" x14ac:dyDescent="0.2">
      <c r="A602" t="s">
        <v>1725</v>
      </c>
      <c r="B602" t="s">
        <v>519</v>
      </c>
      <c r="C602" t="s">
        <v>22</v>
      </c>
      <c r="D602" t="s">
        <v>520</v>
      </c>
      <c r="E602" t="s">
        <v>521</v>
      </c>
      <c r="F602" t="s">
        <v>522</v>
      </c>
      <c r="G602" t="s">
        <v>1726</v>
      </c>
      <c r="H602" t="s">
        <v>1726</v>
      </c>
      <c r="I602" t="s">
        <v>715</v>
      </c>
      <c r="J602" t="s">
        <v>716</v>
      </c>
      <c r="K602" t="s">
        <v>22</v>
      </c>
      <c r="L602" t="s">
        <v>524</v>
      </c>
      <c r="N602" t="s">
        <v>705</v>
      </c>
      <c r="O602" t="s">
        <v>1727</v>
      </c>
      <c r="P602" t="s">
        <v>48</v>
      </c>
      <c r="Q602" t="s">
        <v>540</v>
      </c>
      <c r="R602">
        <v>20000000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20000000</v>
      </c>
      <c r="Z602">
        <v>20000000</v>
      </c>
      <c r="AA602">
        <v>20000000</v>
      </c>
      <c r="AB602">
        <v>12500000</v>
      </c>
      <c r="AC602">
        <v>12500000</v>
      </c>
      <c r="AD602">
        <v>0</v>
      </c>
      <c r="AE602">
        <v>100</v>
      </c>
    </row>
    <row r="603" spans="1:31" x14ac:dyDescent="0.2">
      <c r="A603" t="s">
        <v>1725</v>
      </c>
      <c r="B603" t="s">
        <v>519</v>
      </c>
      <c r="C603" t="s">
        <v>22</v>
      </c>
      <c r="D603" t="s">
        <v>520</v>
      </c>
      <c r="E603" t="s">
        <v>521</v>
      </c>
      <c r="F603" t="s">
        <v>522</v>
      </c>
      <c r="G603" t="s">
        <v>22</v>
      </c>
      <c r="H603" t="s">
        <v>22</v>
      </c>
      <c r="I603" t="s">
        <v>715</v>
      </c>
      <c r="J603" t="s">
        <v>716</v>
      </c>
      <c r="K603" t="s">
        <v>22</v>
      </c>
      <c r="L603" t="s">
        <v>524</v>
      </c>
      <c r="N603" t="s">
        <v>709</v>
      </c>
      <c r="O603" t="s">
        <v>1728</v>
      </c>
      <c r="P603" t="s">
        <v>48</v>
      </c>
      <c r="Q603" t="s">
        <v>540</v>
      </c>
      <c r="R603">
        <v>0</v>
      </c>
      <c r="S603">
        <v>0</v>
      </c>
      <c r="T603">
        <v>0</v>
      </c>
      <c r="U603">
        <v>1822480</v>
      </c>
      <c r="V603">
        <v>0</v>
      </c>
      <c r="W603">
        <v>0</v>
      </c>
      <c r="X603">
        <v>0</v>
      </c>
      <c r="Y603">
        <v>1822480</v>
      </c>
      <c r="Z603">
        <v>1822480</v>
      </c>
      <c r="AA603">
        <v>1822480</v>
      </c>
      <c r="AB603">
        <v>1822480</v>
      </c>
      <c r="AC603">
        <v>1822480</v>
      </c>
      <c r="AD603">
        <v>0</v>
      </c>
      <c r="AE603">
        <v>100</v>
      </c>
    </row>
    <row r="604" spans="1:31" x14ac:dyDescent="0.2">
      <c r="A604" t="s">
        <v>1725</v>
      </c>
      <c r="B604" t="s">
        <v>519</v>
      </c>
      <c r="C604" t="s">
        <v>22</v>
      </c>
      <c r="D604" t="s">
        <v>520</v>
      </c>
      <c r="E604" t="s">
        <v>521</v>
      </c>
      <c r="F604" t="s">
        <v>522</v>
      </c>
      <c r="G604" t="s">
        <v>22</v>
      </c>
      <c r="H604" t="s">
        <v>22</v>
      </c>
      <c r="I604" t="s">
        <v>22</v>
      </c>
      <c r="J604" t="s">
        <v>523</v>
      </c>
      <c r="K604" t="s">
        <v>22</v>
      </c>
      <c r="L604" t="s">
        <v>524</v>
      </c>
      <c r="N604" t="s">
        <v>723</v>
      </c>
      <c r="O604" t="s">
        <v>1729</v>
      </c>
      <c r="P604" t="s">
        <v>48</v>
      </c>
      <c r="Q604" t="s">
        <v>540</v>
      </c>
      <c r="R604">
        <v>20377153</v>
      </c>
      <c r="S604">
        <v>0</v>
      </c>
      <c r="T604">
        <v>0</v>
      </c>
      <c r="U604">
        <v>0</v>
      </c>
      <c r="V604">
        <v>1822480</v>
      </c>
      <c r="W604">
        <v>0</v>
      </c>
      <c r="X604">
        <v>0</v>
      </c>
      <c r="Y604">
        <v>18554673</v>
      </c>
      <c r="Z604">
        <v>14050020</v>
      </c>
      <c r="AA604">
        <v>14050020</v>
      </c>
      <c r="AB604">
        <v>14050020</v>
      </c>
      <c r="AC604">
        <v>14050020</v>
      </c>
      <c r="AD604">
        <v>4504653</v>
      </c>
      <c r="AE604">
        <v>75.72</v>
      </c>
    </row>
    <row r="605" spans="1:31" x14ac:dyDescent="0.2">
      <c r="A605" t="s">
        <v>1730</v>
      </c>
      <c r="B605" t="s">
        <v>519</v>
      </c>
      <c r="C605" t="s">
        <v>22</v>
      </c>
      <c r="D605" t="s">
        <v>520</v>
      </c>
      <c r="E605" t="s">
        <v>521</v>
      </c>
      <c r="F605" t="s">
        <v>522</v>
      </c>
      <c r="G605" t="s">
        <v>22</v>
      </c>
      <c r="H605" t="s">
        <v>22</v>
      </c>
      <c r="I605" t="s">
        <v>22</v>
      </c>
      <c r="J605" t="s">
        <v>523</v>
      </c>
      <c r="K605" t="s">
        <v>22</v>
      </c>
      <c r="L605" t="s">
        <v>524</v>
      </c>
      <c r="N605" t="s">
        <v>525</v>
      </c>
      <c r="O605" t="s">
        <v>526</v>
      </c>
      <c r="P605" t="s">
        <v>22</v>
      </c>
      <c r="Q605" t="s">
        <v>527</v>
      </c>
      <c r="R605">
        <v>580762021</v>
      </c>
      <c r="S605">
        <v>5185550</v>
      </c>
      <c r="T605">
        <v>0</v>
      </c>
      <c r="U605">
        <v>15935182</v>
      </c>
      <c r="V605">
        <v>15935182</v>
      </c>
      <c r="W605">
        <v>0</v>
      </c>
      <c r="X605">
        <v>0</v>
      </c>
      <c r="Y605">
        <v>585947571</v>
      </c>
      <c r="Z605">
        <v>298731007.42000002</v>
      </c>
      <c r="AA605">
        <v>298730136.42000002</v>
      </c>
      <c r="AB605">
        <v>206610124.41999999</v>
      </c>
      <c r="AC605">
        <v>206610124.41999999</v>
      </c>
      <c r="AD605">
        <v>287216563.57999998</v>
      </c>
      <c r="AE605">
        <v>50.98</v>
      </c>
    </row>
    <row r="606" spans="1:31" x14ac:dyDescent="0.2">
      <c r="A606" t="s">
        <v>1730</v>
      </c>
      <c r="B606" t="s">
        <v>519</v>
      </c>
      <c r="C606" t="s">
        <v>22</v>
      </c>
      <c r="D606" t="s">
        <v>520</v>
      </c>
      <c r="E606" t="s">
        <v>521</v>
      </c>
      <c r="F606" t="s">
        <v>522</v>
      </c>
      <c r="G606" t="s">
        <v>22</v>
      </c>
      <c r="H606" t="s">
        <v>22</v>
      </c>
      <c r="I606" t="s">
        <v>22</v>
      </c>
      <c r="J606" t="s">
        <v>523</v>
      </c>
      <c r="K606" t="s">
        <v>22</v>
      </c>
      <c r="L606" t="s">
        <v>524</v>
      </c>
      <c r="N606" t="s">
        <v>528</v>
      </c>
      <c r="O606" t="s">
        <v>529</v>
      </c>
      <c r="P606" t="s">
        <v>22</v>
      </c>
      <c r="Q606" t="s">
        <v>527</v>
      </c>
      <c r="R606">
        <v>580762021</v>
      </c>
      <c r="S606">
        <v>5185550</v>
      </c>
      <c r="T606">
        <v>0</v>
      </c>
      <c r="U606">
        <v>15935182</v>
      </c>
      <c r="V606">
        <v>15935182</v>
      </c>
      <c r="W606">
        <v>0</v>
      </c>
      <c r="X606">
        <v>0</v>
      </c>
      <c r="Y606">
        <v>585947571</v>
      </c>
      <c r="Z606">
        <v>298731007.42000002</v>
      </c>
      <c r="AA606">
        <v>298730136.42000002</v>
      </c>
      <c r="AB606">
        <v>206610124.41999999</v>
      </c>
      <c r="AC606">
        <v>206610124.41999999</v>
      </c>
      <c r="AD606">
        <v>287216563.57999998</v>
      </c>
      <c r="AE606">
        <v>50.98</v>
      </c>
    </row>
    <row r="607" spans="1:31" x14ac:dyDescent="0.2">
      <c r="A607" t="s">
        <v>1730</v>
      </c>
      <c r="B607" t="s">
        <v>519</v>
      </c>
      <c r="C607" t="s">
        <v>22</v>
      </c>
      <c r="D607" t="s">
        <v>520</v>
      </c>
      <c r="E607" t="s">
        <v>521</v>
      </c>
      <c r="F607" t="s">
        <v>522</v>
      </c>
      <c r="G607" t="s">
        <v>22</v>
      </c>
      <c r="H607" t="s">
        <v>22</v>
      </c>
      <c r="I607" t="s">
        <v>22</v>
      </c>
      <c r="J607" t="s">
        <v>523</v>
      </c>
      <c r="K607" t="s">
        <v>22</v>
      </c>
      <c r="L607" t="s">
        <v>524</v>
      </c>
      <c r="N607" t="s">
        <v>530</v>
      </c>
      <c r="O607" t="s">
        <v>531</v>
      </c>
      <c r="P607" t="s">
        <v>22</v>
      </c>
      <c r="Q607" t="s">
        <v>527</v>
      </c>
      <c r="R607">
        <v>138894640</v>
      </c>
      <c r="S607">
        <v>0</v>
      </c>
      <c r="T607">
        <v>0</v>
      </c>
      <c r="U607">
        <v>25382</v>
      </c>
      <c r="V607">
        <v>25382</v>
      </c>
      <c r="W607">
        <v>0</v>
      </c>
      <c r="X607">
        <v>0</v>
      </c>
      <c r="Y607">
        <v>138894640</v>
      </c>
      <c r="Z607">
        <v>61828506</v>
      </c>
      <c r="AA607">
        <v>61828506</v>
      </c>
      <c r="AB607">
        <v>61828506</v>
      </c>
      <c r="AC607">
        <v>61828506</v>
      </c>
      <c r="AD607">
        <v>77066134</v>
      </c>
      <c r="AE607">
        <v>44.51</v>
      </c>
    </row>
    <row r="608" spans="1:31" x14ac:dyDescent="0.2">
      <c r="A608" t="s">
        <v>1730</v>
      </c>
      <c r="B608" t="s">
        <v>519</v>
      </c>
      <c r="C608" t="s">
        <v>22</v>
      </c>
      <c r="D608" t="s">
        <v>520</v>
      </c>
      <c r="E608" t="s">
        <v>521</v>
      </c>
      <c r="F608" t="s">
        <v>522</v>
      </c>
      <c r="G608" t="s">
        <v>22</v>
      </c>
      <c r="H608" t="s">
        <v>22</v>
      </c>
      <c r="I608" t="s">
        <v>22</v>
      </c>
      <c r="J608" t="s">
        <v>523</v>
      </c>
      <c r="K608" t="s">
        <v>22</v>
      </c>
      <c r="L608" t="s">
        <v>524</v>
      </c>
      <c r="N608" t="s">
        <v>532</v>
      </c>
      <c r="O608" t="s">
        <v>533</v>
      </c>
      <c r="P608" t="s">
        <v>22</v>
      </c>
      <c r="Q608" t="s">
        <v>527</v>
      </c>
      <c r="R608">
        <v>138894640</v>
      </c>
      <c r="S608">
        <v>0</v>
      </c>
      <c r="T608">
        <v>0</v>
      </c>
      <c r="U608">
        <v>25382</v>
      </c>
      <c r="V608">
        <v>25382</v>
      </c>
      <c r="W608">
        <v>0</v>
      </c>
      <c r="X608">
        <v>0</v>
      </c>
      <c r="Y608">
        <v>138894640</v>
      </c>
      <c r="Z608">
        <v>61828506</v>
      </c>
      <c r="AA608">
        <v>61828506</v>
      </c>
      <c r="AB608">
        <v>61828506</v>
      </c>
      <c r="AC608">
        <v>61828506</v>
      </c>
      <c r="AD608">
        <v>77066134</v>
      </c>
      <c r="AE608">
        <v>44.51</v>
      </c>
    </row>
    <row r="609" spans="1:31" x14ac:dyDescent="0.2">
      <c r="A609" t="s">
        <v>1730</v>
      </c>
      <c r="B609" t="s">
        <v>519</v>
      </c>
      <c r="C609" t="s">
        <v>22</v>
      </c>
      <c r="D609" t="s">
        <v>520</v>
      </c>
      <c r="E609" t="s">
        <v>521</v>
      </c>
      <c r="F609" t="s">
        <v>522</v>
      </c>
      <c r="G609" t="s">
        <v>22</v>
      </c>
      <c r="H609" t="s">
        <v>22</v>
      </c>
      <c r="I609" t="s">
        <v>22</v>
      </c>
      <c r="J609" t="s">
        <v>523</v>
      </c>
      <c r="K609" t="s">
        <v>22</v>
      </c>
      <c r="L609" t="s">
        <v>524</v>
      </c>
      <c r="N609" t="s">
        <v>534</v>
      </c>
      <c r="O609" t="s">
        <v>535</v>
      </c>
      <c r="P609" t="s">
        <v>22</v>
      </c>
      <c r="Q609" t="s">
        <v>527</v>
      </c>
      <c r="R609">
        <v>100416399</v>
      </c>
      <c r="S609">
        <v>0</v>
      </c>
      <c r="T609">
        <v>0</v>
      </c>
      <c r="U609">
        <v>25382</v>
      </c>
      <c r="V609">
        <v>25382</v>
      </c>
      <c r="W609">
        <v>0</v>
      </c>
      <c r="X609">
        <v>0</v>
      </c>
      <c r="Y609">
        <v>100416399</v>
      </c>
      <c r="Z609">
        <v>39398035</v>
      </c>
      <c r="AA609">
        <v>39398035</v>
      </c>
      <c r="AB609">
        <v>39398035</v>
      </c>
      <c r="AC609">
        <v>39398035</v>
      </c>
      <c r="AD609">
        <v>61018364</v>
      </c>
      <c r="AE609">
        <v>39.229999999999997</v>
      </c>
    </row>
    <row r="610" spans="1:31" x14ac:dyDescent="0.2">
      <c r="A610" t="s">
        <v>1730</v>
      </c>
      <c r="B610" t="s">
        <v>519</v>
      </c>
      <c r="C610" t="s">
        <v>22</v>
      </c>
      <c r="D610" t="s">
        <v>520</v>
      </c>
      <c r="E610" t="s">
        <v>521</v>
      </c>
      <c r="F610" t="s">
        <v>522</v>
      </c>
      <c r="G610" t="s">
        <v>22</v>
      </c>
      <c r="H610" t="s">
        <v>22</v>
      </c>
      <c r="I610" t="s">
        <v>22</v>
      </c>
      <c r="J610" t="s">
        <v>523</v>
      </c>
      <c r="K610" t="s">
        <v>22</v>
      </c>
      <c r="L610" t="s">
        <v>524</v>
      </c>
      <c r="N610" t="s">
        <v>536</v>
      </c>
      <c r="O610" t="s">
        <v>537</v>
      </c>
      <c r="P610" t="s">
        <v>22</v>
      </c>
      <c r="Q610" t="s">
        <v>527</v>
      </c>
      <c r="R610">
        <v>100416399</v>
      </c>
      <c r="S610">
        <v>0</v>
      </c>
      <c r="T610">
        <v>0</v>
      </c>
      <c r="U610">
        <v>25382</v>
      </c>
      <c r="V610">
        <v>25382</v>
      </c>
      <c r="W610">
        <v>0</v>
      </c>
      <c r="X610">
        <v>0</v>
      </c>
      <c r="Y610">
        <v>100416399</v>
      </c>
      <c r="Z610">
        <v>39398035</v>
      </c>
      <c r="AA610">
        <v>39398035</v>
      </c>
      <c r="AB610">
        <v>39398035</v>
      </c>
      <c r="AC610">
        <v>39398035</v>
      </c>
      <c r="AD610">
        <v>61018364</v>
      </c>
      <c r="AE610">
        <v>39.229999999999997</v>
      </c>
    </row>
    <row r="611" spans="1:31" x14ac:dyDescent="0.2">
      <c r="A611" t="s">
        <v>1730</v>
      </c>
      <c r="B611" t="s">
        <v>519</v>
      </c>
      <c r="C611" t="s">
        <v>22</v>
      </c>
      <c r="D611" t="s">
        <v>520</v>
      </c>
      <c r="E611" t="s">
        <v>521</v>
      </c>
      <c r="F611" t="s">
        <v>522</v>
      </c>
      <c r="G611" t="s">
        <v>22</v>
      </c>
      <c r="H611" t="s">
        <v>22</v>
      </c>
      <c r="I611" t="s">
        <v>22</v>
      </c>
      <c r="J611" t="s">
        <v>523</v>
      </c>
      <c r="K611" t="s">
        <v>22</v>
      </c>
      <c r="L611" t="s">
        <v>524</v>
      </c>
      <c r="N611" t="s">
        <v>538</v>
      </c>
      <c r="O611" t="s">
        <v>539</v>
      </c>
      <c r="P611" t="s">
        <v>22</v>
      </c>
      <c r="Q611" t="s">
        <v>527</v>
      </c>
      <c r="R611">
        <v>79956134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79956134</v>
      </c>
      <c r="Z611">
        <v>31605752</v>
      </c>
      <c r="AA611">
        <v>31605752</v>
      </c>
      <c r="AB611">
        <v>31605752</v>
      </c>
      <c r="AC611">
        <v>31605752</v>
      </c>
      <c r="AD611">
        <v>48350382</v>
      </c>
      <c r="AE611">
        <v>39.53</v>
      </c>
    </row>
    <row r="612" spans="1:31" x14ac:dyDescent="0.2">
      <c r="A612" t="s">
        <v>1730</v>
      </c>
      <c r="B612" t="s">
        <v>519</v>
      </c>
      <c r="C612" t="s">
        <v>22</v>
      </c>
      <c r="D612" t="s">
        <v>520</v>
      </c>
      <c r="E612" t="s">
        <v>521</v>
      </c>
      <c r="F612" t="s">
        <v>522</v>
      </c>
      <c r="G612" t="s">
        <v>22</v>
      </c>
      <c r="H612" t="s">
        <v>22</v>
      </c>
      <c r="I612" t="s">
        <v>22</v>
      </c>
      <c r="J612" t="s">
        <v>523</v>
      </c>
      <c r="K612" t="s">
        <v>22</v>
      </c>
      <c r="L612" t="s">
        <v>524</v>
      </c>
      <c r="N612" t="s">
        <v>1731</v>
      </c>
      <c r="O612" t="s">
        <v>1732</v>
      </c>
      <c r="P612" t="s">
        <v>176</v>
      </c>
      <c r="Q612" t="s">
        <v>1733</v>
      </c>
      <c r="R612">
        <v>44194131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44194131</v>
      </c>
      <c r="Z612">
        <v>19399552</v>
      </c>
      <c r="AA612">
        <v>19399552</v>
      </c>
      <c r="AB612">
        <v>19399552</v>
      </c>
      <c r="AC612">
        <v>19399552</v>
      </c>
      <c r="AD612">
        <v>24794579</v>
      </c>
      <c r="AE612">
        <v>43.9</v>
      </c>
    </row>
    <row r="613" spans="1:31" x14ac:dyDescent="0.2">
      <c r="A613" t="s">
        <v>1730</v>
      </c>
      <c r="B613" t="s">
        <v>519</v>
      </c>
      <c r="C613" t="s">
        <v>22</v>
      </c>
      <c r="D613" t="s">
        <v>520</v>
      </c>
      <c r="E613" t="s">
        <v>521</v>
      </c>
      <c r="F613" t="s">
        <v>522</v>
      </c>
      <c r="G613" t="s">
        <v>22</v>
      </c>
      <c r="H613" t="s">
        <v>22</v>
      </c>
      <c r="I613" t="s">
        <v>22</v>
      </c>
      <c r="J613" t="s">
        <v>523</v>
      </c>
      <c r="K613" t="s">
        <v>22</v>
      </c>
      <c r="L613" t="s">
        <v>524</v>
      </c>
      <c r="N613" t="s">
        <v>1734</v>
      </c>
      <c r="O613" t="s">
        <v>1732</v>
      </c>
      <c r="P613" t="s">
        <v>165</v>
      </c>
      <c r="Q613" t="s">
        <v>1735</v>
      </c>
      <c r="R613">
        <v>21600717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21600717</v>
      </c>
      <c r="Z613">
        <v>0</v>
      </c>
      <c r="AA613">
        <v>0</v>
      </c>
      <c r="AB613">
        <v>0</v>
      </c>
      <c r="AC613">
        <v>0</v>
      </c>
      <c r="AD613">
        <v>21600717</v>
      </c>
      <c r="AE613">
        <v>0</v>
      </c>
    </row>
    <row r="614" spans="1:31" x14ac:dyDescent="0.2">
      <c r="A614" t="s">
        <v>1730</v>
      </c>
      <c r="B614" t="s">
        <v>519</v>
      </c>
      <c r="C614" t="s">
        <v>22</v>
      </c>
      <c r="D614" t="s">
        <v>520</v>
      </c>
      <c r="E614" t="s">
        <v>521</v>
      </c>
      <c r="F614" t="s">
        <v>522</v>
      </c>
      <c r="G614" t="s">
        <v>22</v>
      </c>
      <c r="H614" t="s">
        <v>22</v>
      </c>
      <c r="I614" t="s">
        <v>22</v>
      </c>
      <c r="J614" t="s">
        <v>523</v>
      </c>
      <c r="K614" t="s">
        <v>22</v>
      </c>
      <c r="L614" t="s">
        <v>524</v>
      </c>
      <c r="N614" t="s">
        <v>1736</v>
      </c>
      <c r="O614" t="s">
        <v>1737</v>
      </c>
      <c r="P614" t="s">
        <v>181</v>
      </c>
      <c r="Q614" t="s">
        <v>1738</v>
      </c>
      <c r="R614">
        <v>14161286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14161286</v>
      </c>
      <c r="Z614">
        <v>12206200</v>
      </c>
      <c r="AA614">
        <v>12206200</v>
      </c>
      <c r="AB614">
        <v>12206200</v>
      </c>
      <c r="AC614">
        <v>12206200</v>
      </c>
      <c r="AD614">
        <v>1955086</v>
      </c>
      <c r="AE614">
        <v>86.19</v>
      </c>
    </row>
    <row r="615" spans="1:31" x14ac:dyDescent="0.2">
      <c r="A615" t="s">
        <v>1730</v>
      </c>
      <c r="B615" t="s">
        <v>519</v>
      </c>
      <c r="C615" t="s">
        <v>22</v>
      </c>
      <c r="D615" t="s">
        <v>520</v>
      </c>
      <c r="E615" t="s">
        <v>521</v>
      </c>
      <c r="F615" t="s">
        <v>522</v>
      </c>
      <c r="G615" t="s">
        <v>22</v>
      </c>
      <c r="H615" t="s">
        <v>22</v>
      </c>
      <c r="I615" t="s">
        <v>22</v>
      </c>
      <c r="J615" t="s">
        <v>523</v>
      </c>
      <c r="K615" t="s">
        <v>22</v>
      </c>
      <c r="L615" t="s">
        <v>524</v>
      </c>
      <c r="N615" t="s">
        <v>542</v>
      </c>
      <c r="O615" t="s">
        <v>543</v>
      </c>
      <c r="P615" t="s">
        <v>22</v>
      </c>
      <c r="Q615" t="s">
        <v>527</v>
      </c>
      <c r="R615">
        <v>1382304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1382304</v>
      </c>
      <c r="Z615">
        <v>529285</v>
      </c>
      <c r="AA615">
        <v>529285</v>
      </c>
      <c r="AB615">
        <v>529285</v>
      </c>
      <c r="AC615">
        <v>529285</v>
      </c>
      <c r="AD615">
        <v>853019</v>
      </c>
      <c r="AE615">
        <v>38.29</v>
      </c>
    </row>
    <row r="616" spans="1:31" x14ac:dyDescent="0.2">
      <c r="A616" t="s">
        <v>1730</v>
      </c>
      <c r="B616" t="s">
        <v>519</v>
      </c>
      <c r="C616" t="s">
        <v>22</v>
      </c>
      <c r="D616" t="s">
        <v>520</v>
      </c>
      <c r="E616" t="s">
        <v>521</v>
      </c>
      <c r="F616" t="s">
        <v>522</v>
      </c>
      <c r="G616" t="s">
        <v>22</v>
      </c>
      <c r="H616" t="s">
        <v>22</v>
      </c>
      <c r="I616" t="s">
        <v>22</v>
      </c>
      <c r="J616" t="s">
        <v>523</v>
      </c>
      <c r="K616" t="s">
        <v>22</v>
      </c>
      <c r="L616" t="s">
        <v>524</v>
      </c>
      <c r="N616" t="s">
        <v>1739</v>
      </c>
      <c r="O616" t="s">
        <v>1740</v>
      </c>
      <c r="P616" t="s">
        <v>186</v>
      </c>
      <c r="Q616" t="s">
        <v>1741</v>
      </c>
      <c r="R616">
        <v>1382304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1382304</v>
      </c>
      <c r="Z616">
        <v>529285</v>
      </c>
      <c r="AA616">
        <v>529285</v>
      </c>
      <c r="AB616">
        <v>529285</v>
      </c>
      <c r="AC616">
        <v>529285</v>
      </c>
      <c r="AD616">
        <v>853019</v>
      </c>
      <c r="AE616">
        <v>38.29</v>
      </c>
    </row>
    <row r="617" spans="1:31" x14ac:dyDescent="0.2">
      <c r="A617" t="s">
        <v>1730</v>
      </c>
      <c r="B617" t="s">
        <v>519</v>
      </c>
      <c r="C617" t="s">
        <v>22</v>
      </c>
      <c r="D617" t="s">
        <v>520</v>
      </c>
      <c r="E617" t="s">
        <v>521</v>
      </c>
      <c r="F617" t="s">
        <v>522</v>
      </c>
      <c r="G617" t="s">
        <v>22</v>
      </c>
      <c r="H617" t="s">
        <v>22</v>
      </c>
      <c r="I617" t="s">
        <v>22</v>
      </c>
      <c r="J617" t="s">
        <v>523</v>
      </c>
      <c r="K617" t="s">
        <v>22</v>
      </c>
      <c r="L617" t="s">
        <v>524</v>
      </c>
      <c r="N617" t="s">
        <v>544</v>
      </c>
      <c r="O617" t="s">
        <v>545</v>
      </c>
      <c r="P617" t="s">
        <v>22</v>
      </c>
      <c r="Q617" t="s">
        <v>527</v>
      </c>
      <c r="R617">
        <v>2395008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2395008</v>
      </c>
      <c r="Z617">
        <v>1245475</v>
      </c>
      <c r="AA617">
        <v>1245475</v>
      </c>
      <c r="AB617">
        <v>1245475</v>
      </c>
      <c r="AC617">
        <v>1245475</v>
      </c>
      <c r="AD617">
        <v>1149533</v>
      </c>
      <c r="AE617">
        <v>52</v>
      </c>
    </row>
    <row r="618" spans="1:31" x14ac:dyDescent="0.2">
      <c r="A618" t="s">
        <v>1730</v>
      </c>
      <c r="B618" t="s">
        <v>519</v>
      </c>
      <c r="C618" t="s">
        <v>22</v>
      </c>
      <c r="D618" t="s">
        <v>520</v>
      </c>
      <c r="E618" t="s">
        <v>521</v>
      </c>
      <c r="F618" t="s">
        <v>522</v>
      </c>
      <c r="G618" t="s">
        <v>22</v>
      </c>
      <c r="H618" t="s">
        <v>22</v>
      </c>
      <c r="I618" t="s">
        <v>22</v>
      </c>
      <c r="J618" t="s">
        <v>523</v>
      </c>
      <c r="K618" t="s">
        <v>22</v>
      </c>
      <c r="L618" t="s">
        <v>524</v>
      </c>
      <c r="N618" t="s">
        <v>1742</v>
      </c>
      <c r="O618" t="s">
        <v>1743</v>
      </c>
      <c r="P618" t="s">
        <v>176</v>
      </c>
      <c r="Q618" t="s">
        <v>1733</v>
      </c>
      <c r="R618">
        <v>2395008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2395008</v>
      </c>
      <c r="Z618">
        <v>1245475</v>
      </c>
      <c r="AA618">
        <v>1245475</v>
      </c>
      <c r="AB618">
        <v>1245475</v>
      </c>
      <c r="AC618">
        <v>1245475</v>
      </c>
      <c r="AD618">
        <v>1149533</v>
      </c>
      <c r="AE618">
        <v>52</v>
      </c>
    </row>
    <row r="619" spans="1:31" x14ac:dyDescent="0.2">
      <c r="A619" t="s">
        <v>1730</v>
      </c>
      <c r="B619" t="s">
        <v>519</v>
      </c>
      <c r="C619" t="s">
        <v>22</v>
      </c>
      <c r="D619" t="s">
        <v>520</v>
      </c>
      <c r="E619" t="s">
        <v>521</v>
      </c>
      <c r="F619" t="s">
        <v>522</v>
      </c>
      <c r="G619" t="s">
        <v>22</v>
      </c>
      <c r="H619" t="s">
        <v>22</v>
      </c>
      <c r="I619" t="s">
        <v>22</v>
      </c>
      <c r="J619" t="s">
        <v>523</v>
      </c>
      <c r="K619" t="s">
        <v>22</v>
      </c>
      <c r="L619" t="s">
        <v>524</v>
      </c>
      <c r="N619" t="s">
        <v>546</v>
      </c>
      <c r="O619" t="s">
        <v>547</v>
      </c>
      <c r="P619" t="s">
        <v>22</v>
      </c>
      <c r="Q619" t="s">
        <v>527</v>
      </c>
      <c r="R619">
        <v>3492086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3492086</v>
      </c>
      <c r="Z619">
        <v>1036624</v>
      </c>
      <c r="AA619">
        <v>1036624</v>
      </c>
      <c r="AB619">
        <v>1036624</v>
      </c>
      <c r="AC619">
        <v>1036624</v>
      </c>
      <c r="AD619">
        <v>2455462</v>
      </c>
      <c r="AE619">
        <v>29.68</v>
      </c>
    </row>
    <row r="620" spans="1:31" x14ac:dyDescent="0.2">
      <c r="A620" t="s">
        <v>1730</v>
      </c>
      <c r="B620" t="s">
        <v>519</v>
      </c>
      <c r="C620" t="s">
        <v>22</v>
      </c>
      <c r="D620" t="s">
        <v>520</v>
      </c>
      <c r="E620" t="s">
        <v>521</v>
      </c>
      <c r="F620" t="s">
        <v>522</v>
      </c>
      <c r="G620" t="s">
        <v>22</v>
      </c>
      <c r="H620" t="s">
        <v>22</v>
      </c>
      <c r="I620" t="s">
        <v>22</v>
      </c>
      <c r="J620" t="s">
        <v>523</v>
      </c>
      <c r="K620" t="s">
        <v>22</v>
      </c>
      <c r="L620" t="s">
        <v>524</v>
      </c>
      <c r="N620" t="s">
        <v>1744</v>
      </c>
      <c r="O620" t="s">
        <v>1745</v>
      </c>
      <c r="P620" t="s">
        <v>165</v>
      </c>
      <c r="Q620" t="s">
        <v>1735</v>
      </c>
      <c r="R620">
        <v>2052515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2052515</v>
      </c>
      <c r="Z620">
        <v>1036624</v>
      </c>
      <c r="AA620">
        <v>1036624</v>
      </c>
      <c r="AB620">
        <v>1036624</v>
      </c>
      <c r="AC620">
        <v>1036624</v>
      </c>
      <c r="AD620">
        <v>1015891</v>
      </c>
      <c r="AE620">
        <v>50.51</v>
      </c>
    </row>
    <row r="621" spans="1:31" x14ac:dyDescent="0.2">
      <c r="A621" t="s">
        <v>1730</v>
      </c>
      <c r="B621" t="s">
        <v>519</v>
      </c>
      <c r="C621" t="s">
        <v>22</v>
      </c>
      <c r="D621" t="s">
        <v>520</v>
      </c>
      <c r="E621" t="s">
        <v>521</v>
      </c>
      <c r="F621" t="s">
        <v>522</v>
      </c>
      <c r="G621" t="s">
        <v>22</v>
      </c>
      <c r="H621" t="s">
        <v>22</v>
      </c>
      <c r="I621" t="s">
        <v>22</v>
      </c>
      <c r="J621" t="s">
        <v>523</v>
      </c>
      <c r="K621" t="s">
        <v>22</v>
      </c>
      <c r="L621" t="s">
        <v>524</v>
      </c>
      <c r="N621" t="s">
        <v>1746</v>
      </c>
      <c r="O621" t="s">
        <v>1747</v>
      </c>
      <c r="P621" t="s">
        <v>176</v>
      </c>
      <c r="Q621" t="s">
        <v>1733</v>
      </c>
      <c r="R621">
        <v>1439571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1439571</v>
      </c>
      <c r="Z621">
        <v>0</v>
      </c>
      <c r="AA621">
        <v>0</v>
      </c>
      <c r="AB621">
        <v>0</v>
      </c>
      <c r="AC621">
        <v>0</v>
      </c>
      <c r="AD621">
        <v>1439571</v>
      </c>
      <c r="AE621">
        <v>0</v>
      </c>
    </row>
    <row r="622" spans="1:31" x14ac:dyDescent="0.2">
      <c r="A622" t="s">
        <v>1730</v>
      </c>
      <c r="B622" t="s">
        <v>519</v>
      </c>
      <c r="C622" t="s">
        <v>22</v>
      </c>
      <c r="D622" t="s">
        <v>520</v>
      </c>
      <c r="E622" t="s">
        <v>521</v>
      </c>
      <c r="F622" t="s">
        <v>522</v>
      </c>
      <c r="G622" t="s">
        <v>22</v>
      </c>
      <c r="H622" t="s">
        <v>22</v>
      </c>
      <c r="I622" t="s">
        <v>22</v>
      </c>
      <c r="J622" t="s">
        <v>523</v>
      </c>
      <c r="K622" t="s">
        <v>22</v>
      </c>
      <c r="L622" t="s">
        <v>524</v>
      </c>
      <c r="N622" t="s">
        <v>548</v>
      </c>
      <c r="O622" t="s">
        <v>549</v>
      </c>
      <c r="P622" t="s">
        <v>22</v>
      </c>
      <c r="Q622" t="s">
        <v>527</v>
      </c>
      <c r="R622">
        <v>2724830</v>
      </c>
      <c r="S622">
        <v>0</v>
      </c>
      <c r="T622">
        <v>0</v>
      </c>
      <c r="U622">
        <v>25382</v>
      </c>
      <c r="V622">
        <v>25382</v>
      </c>
      <c r="W622">
        <v>0</v>
      </c>
      <c r="X622">
        <v>0</v>
      </c>
      <c r="Y622">
        <v>2724830</v>
      </c>
      <c r="Z622">
        <v>2715283</v>
      </c>
      <c r="AA622">
        <v>2715283</v>
      </c>
      <c r="AB622">
        <v>2715283</v>
      </c>
      <c r="AC622">
        <v>2715283</v>
      </c>
      <c r="AD622">
        <v>9547</v>
      </c>
      <c r="AE622">
        <v>99.65</v>
      </c>
    </row>
    <row r="623" spans="1:31" x14ac:dyDescent="0.2">
      <c r="A623" t="s">
        <v>1730</v>
      </c>
      <c r="B623" t="s">
        <v>519</v>
      </c>
      <c r="C623" t="s">
        <v>22</v>
      </c>
      <c r="D623" t="s">
        <v>520</v>
      </c>
      <c r="E623" t="s">
        <v>521</v>
      </c>
      <c r="F623" t="s">
        <v>522</v>
      </c>
      <c r="G623" t="s">
        <v>22</v>
      </c>
      <c r="H623" t="s">
        <v>22</v>
      </c>
      <c r="I623" t="s">
        <v>22</v>
      </c>
      <c r="J623" t="s">
        <v>523</v>
      </c>
      <c r="K623" t="s">
        <v>22</v>
      </c>
      <c r="L623" t="s">
        <v>524</v>
      </c>
      <c r="N623" t="s">
        <v>1748</v>
      </c>
      <c r="O623" t="s">
        <v>1749</v>
      </c>
      <c r="P623" t="s">
        <v>176</v>
      </c>
      <c r="Q623" t="s">
        <v>1733</v>
      </c>
      <c r="R623">
        <v>1396043</v>
      </c>
      <c r="S623">
        <v>0</v>
      </c>
      <c r="T623">
        <v>0</v>
      </c>
      <c r="U623">
        <v>25382</v>
      </c>
      <c r="V623">
        <v>0</v>
      </c>
      <c r="W623">
        <v>0</v>
      </c>
      <c r="X623">
        <v>0</v>
      </c>
      <c r="Y623">
        <v>1421425</v>
      </c>
      <c r="Z623">
        <v>1421425</v>
      </c>
      <c r="AA623">
        <v>1421425</v>
      </c>
      <c r="AB623">
        <v>1421425</v>
      </c>
      <c r="AC623">
        <v>1421425</v>
      </c>
      <c r="AD623">
        <v>0</v>
      </c>
      <c r="AE623">
        <v>100</v>
      </c>
    </row>
    <row r="624" spans="1:31" x14ac:dyDescent="0.2">
      <c r="A624" t="s">
        <v>1730</v>
      </c>
      <c r="B624" t="s">
        <v>519</v>
      </c>
      <c r="C624" t="s">
        <v>22</v>
      </c>
      <c r="D624" t="s">
        <v>520</v>
      </c>
      <c r="E624" t="s">
        <v>521</v>
      </c>
      <c r="F624" t="s">
        <v>522</v>
      </c>
      <c r="G624" t="s">
        <v>22</v>
      </c>
      <c r="H624" t="s">
        <v>22</v>
      </c>
      <c r="I624" t="s">
        <v>22</v>
      </c>
      <c r="J624" t="s">
        <v>523</v>
      </c>
      <c r="K624" t="s">
        <v>22</v>
      </c>
      <c r="L624" t="s">
        <v>524</v>
      </c>
      <c r="N624" t="s">
        <v>1750</v>
      </c>
      <c r="O624" t="s">
        <v>1751</v>
      </c>
      <c r="P624" t="s">
        <v>176</v>
      </c>
      <c r="Q624" t="s">
        <v>1733</v>
      </c>
      <c r="R624">
        <v>1328787</v>
      </c>
      <c r="S624">
        <v>0</v>
      </c>
      <c r="T624">
        <v>0</v>
      </c>
      <c r="U624">
        <v>0</v>
      </c>
      <c r="V624">
        <v>25382</v>
      </c>
      <c r="W624">
        <v>0</v>
      </c>
      <c r="X624">
        <v>0</v>
      </c>
      <c r="Y624">
        <v>1303405</v>
      </c>
      <c r="Z624">
        <v>1293858</v>
      </c>
      <c r="AA624">
        <v>1293858</v>
      </c>
      <c r="AB624">
        <v>1293858</v>
      </c>
      <c r="AC624">
        <v>1293858</v>
      </c>
      <c r="AD624">
        <v>9547</v>
      </c>
      <c r="AE624">
        <v>99.27</v>
      </c>
    </row>
    <row r="625" spans="1:31" x14ac:dyDescent="0.2">
      <c r="A625" t="s">
        <v>1730</v>
      </c>
      <c r="B625" t="s">
        <v>519</v>
      </c>
      <c r="C625" t="s">
        <v>22</v>
      </c>
      <c r="D625" t="s">
        <v>520</v>
      </c>
      <c r="E625" t="s">
        <v>521</v>
      </c>
      <c r="F625" t="s">
        <v>522</v>
      </c>
      <c r="G625" t="s">
        <v>22</v>
      </c>
      <c r="H625" t="s">
        <v>22</v>
      </c>
      <c r="I625" t="s">
        <v>22</v>
      </c>
      <c r="J625" t="s">
        <v>523</v>
      </c>
      <c r="K625" t="s">
        <v>22</v>
      </c>
      <c r="L625" t="s">
        <v>524</v>
      </c>
      <c r="N625" t="s">
        <v>550</v>
      </c>
      <c r="O625" t="s">
        <v>551</v>
      </c>
      <c r="P625" t="s">
        <v>22</v>
      </c>
      <c r="Q625" t="s">
        <v>527</v>
      </c>
      <c r="R625">
        <v>10466037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10466037</v>
      </c>
      <c r="Z625">
        <v>2265616</v>
      </c>
      <c r="AA625">
        <v>2265616</v>
      </c>
      <c r="AB625">
        <v>2265616</v>
      </c>
      <c r="AC625">
        <v>2265616</v>
      </c>
      <c r="AD625">
        <v>8200421</v>
      </c>
      <c r="AE625">
        <v>21.65</v>
      </c>
    </row>
    <row r="626" spans="1:31" x14ac:dyDescent="0.2">
      <c r="A626" t="s">
        <v>1730</v>
      </c>
      <c r="B626" t="s">
        <v>519</v>
      </c>
      <c r="C626" t="s">
        <v>22</v>
      </c>
      <c r="D626" t="s">
        <v>520</v>
      </c>
      <c r="E626" t="s">
        <v>521</v>
      </c>
      <c r="F626" t="s">
        <v>522</v>
      </c>
      <c r="G626" t="s">
        <v>22</v>
      </c>
      <c r="H626" t="s">
        <v>22</v>
      </c>
      <c r="I626" t="s">
        <v>22</v>
      </c>
      <c r="J626" t="s">
        <v>523</v>
      </c>
      <c r="K626" t="s">
        <v>22</v>
      </c>
      <c r="L626" t="s">
        <v>524</v>
      </c>
      <c r="N626" t="s">
        <v>552</v>
      </c>
      <c r="O626" t="s">
        <v>553</v>
      </c>
      <c r="P626" t="s">
        <v>22</v>
      </c>
      <c r="Q626" t="s">
        <v>527</v>
      </c>
      <c r="R626">
        <v>7045239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7045239</v>
      </c>
      <c r="Z626">
        <v>224762</v>
      </c>
      <c r="AA626">
        <v>224762</v>
      </c>
      <c r="AB626">
        <v>224762</v>
      </c>
      <c r="AC626">
        <v>224762</v>
      </c>
      <c r="AD626">
        <v>6820477</v>
      </c>
      <c r="AE626">
        <v>3.19</v>
      </c>
    </row>
    <row r="627" spans="1:31" x14ac:dyDescent="0.2">
      <c r="A627" t="s">
        <v>1730</v>
      </c>
      <c r="B627" t="s">
        <v>519</v>
      </c>
      <c r="C627" t="s">
        <v>22</v>
      </c>
      <c r="D627" t="s">
        <v>520</v>
      </c>
      <c r="E627" t="s">
        <v>521</v>
      </c>
      <c r="F627" t="s">
        <v>522</v>
      </c>
      <c r="G627" t="s">
        <v>22</v>
      </c>
      <c r="H627" t="s">
        <v>22</v>
      </c>
      <c r="I627" t="s">
        <v>22</v>
      </c>
      <c r="J627" t="s">
        <v>523</v>
      </c>
      <c r="K627" t="s">
        <v>22</v>
      </c>
      <c r="L627" t="s">
        <v>524</v>
      </c>
      <c r="N627" t="s">
        <v>1752</v>
      </c>
      <c r="O627" t="s">
        <v>1753</v>
      </c>
      <c r="P627" t="s">
        <v>165</v>
      </c>
      <c r="Q627" t="s">
        <v>1735</v>
      </c>
      <c r="R627">
        <v>4196125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4196125</v>
      </c>
      <c r="Z627">
        <v>224762</v>
      </c>
      <c r="AA627">
        <v>224762</v>
      </c>
      <c r="AB627">
        <v>224762</v>
      </c>
      <c r="AC627">
        <v>224762</v>
      </c>
      <c r="AD627">
        <v>3971363</v>
      </c>
      <c r="AE627">
        <v>5.36</v>
      </c>
    </row>
    <row r="628" spans="1:31" x14ac:dyDescent="0.2">
      <c r="A628" t="s">
        <v>1730</v>
      </c>
      <c r="B628" t="s">
        <v>519</v>
      </c>
      <c r="C628" t="s">
        <v>22</v>
      </c>
      <c r="D628" t="s">
        <v>520</v>
      </c>
      <c r="E628" t="s">
        <v>521</v>
      </c>
      <c r="F628" t="s">
        <v>522</v>
      </c>
      <c r="G628" t="s">
        <v>22</v>
      </c>
      <c r="H628" t="s">
        <v>22</v>
      </c>
      <c r="I628" t="s">
        <v>22</v>
      </c>
      <c r="J628" t="s">
        <v>523</v>
      </c>
      <c r="K628" t="s">
        <v>22</v>
      </c>
      <c r="L628" t="s">
        <v>524</v>
      </c>
      <c r="N628" t="s">
        <v>1754</v>
      </c>
      <c r="O628" t="s">
        <v>1755</v>
      </c>
      <c r="P628" t="s">
        <v>165</v>
      </c>
      <c r="Q628" t="s">
        <v>1735</v>
      </c>
      <c r="R628">
        <v>2849114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2849114</v>
      </c>
      <c r="Z628">
        <v>0</v>
      </c>
      <c r="AA628">
        <v>0</v>
      </c>
      <c r="AB628">
        <v>0</v>
      </c>
      <c r="AC628">
        <v>0</v>
      </c>
      <c r="AD628">
        <v>2849114</v>
      </c>
      <c r="AE628">
        <v>0</v>
      </c>
    </row>
    <row r="629" spans="1:31" x14ac:dyDescent="0.2">
      <c r="A629" t="s">
        <v>1730</v>
      </c>
      <c r="B629" t="s">
        <v>519</v>
      </c>
      <c r="C629" t="s">
        <v>22</v>
      </c>
      <c r="D629" t="s">
        <v>520</v>
      </c>
      <c r="E629" t="s">
        <v>521</v>
      </c>
      <c r="F629" t="s">
        <v>522</v>
      </c>
      <c r="G629" t="s">
        <v>22</v>
      </c>
      <c r="H629" t="s">
        <v>22</v>
      </c>
      <c r="I629" t="s">
        <v>22</v>
      </c>
      <c r="J629" t="s">
        <v>523</v>
      </c>
      <c r="K629" t="s">
        <v>22</v>
      </c>
      <c r="L629" t="s">
        <v>524</v>
      </c>
      <c r="N629" t="s">
        <v>554</v>
      </c>
      <c r="O629" t="s">
        <v>555</v>
      </c>
      <c r="P629" t="s">
        <v>22</v>
      </c>
      <c r="Q629" t="s">
        <v>527</v>
      </c>
      <c r="R629">
        <v>3420798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3420798</v>
      </c>
      <c r="Z629">
        <v>2040854</v>
      </c>
      <c r="AA629">
        <v>2040854</v>
      </c>
      <c r="AB629">
        <v>2040854</v>
      </c>
      <c r="AC629">
        <v>2040854</v>
      </c>
      <c r="AD629">
        <v>1379944</v>
      </c>
      <c r="AE629">
        <v>59.66</v>
      </c>
    </row>
    <row r="630" spans="1:31" x14ac:dyDescent="0.2">
      <c r="A630" t="s">
        <v>1730</v>
      </c>
      <c r="B630" t="s">
        <v>519</v>
      </c>
      <c r="C630" t="s">
        <v>22</v>
      </c>
      <c r="D630" t="s">
        <v>520</v>
      </c>
      <c r="E630" t="s">
        <v>521</v>
      </c>
      <c r="F630" t="s">
        <v>522</v>
      </c>
      <c r="G630" t="s">
        <v>22</v>
      </c>
      <c r="H630" t="s">
        <v>22</v>
      </c>
      <c r="I630" t="s">
        <v>22</v>
      </c>
      <c r="J630" t="s">
        <v>523</v>
      </c>
      <c r="K630" t="s">
        <v>22</v>
      </c>
      <c r="L630" t="s">
        <v>524</v>
      </c>
      <c r="N630" t="s">
        <v>1756</v>
      </c>
      <c r="O630" t="s">
        <v>1757</v>
      </c>
      <c r="P630" t="s">
        <v>176</v>
      </c>
      <c r="Q630" t="s">
        <v>1733</v>
      </c>
      <c r="R630">
        <v>2090559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2090559</v>
      </c>
      <c r="Z630">
        <v>2040854</v>
      </c>
      <c r="AA630">
        <v>2040854</v>
      </c>
      <c r="AB630">
        <v>2040854</v>
      </c>
      <c r="AC630">
        <v>2040854</v>
      </c>
      <c r="AD630">
        <v>49705</v>
      </c>
      <c r="AE630">
        <v>97.62</v>
      </c>
    </row>
    <row r="631" spans="1:31" x14ac:dyDescent="0.2">
      <c r="A631" t="s">
        <v>1730</v>
      </c>
      <c r="B631" t="s">
        <v>519</v>
      </c>
      <c r="C631" t="s">
        <v>22</v>
      </c>
      <c r="D631" t="s">
        <v>520</v>
      </c>
      <c r="E631" t="s">
        <v>521</v>
      </c>
      <c r="F631" t="s">
        <v>522</v>
      </c>
      <c r="G631" t="s">
        <v>22</v>
      </c>
      <c r="H631" t="s">
        <v>22</v>
      </c>
      <c r="I631" t="s">
        <v>22</v>
      </c>
      <c r="J631" t="s">
        <v>523</v>
      </c>
      <c r="K631" t="s">
        <v>22</v>
      </c>
      <c r="L631" t="s">
        <v>524</v>
      </c>
      <c r="N631" t="s">
        <v>1758</v>
      </c>
      <c r="O631" t="s">
        <v>1759</v>
      </c>
      <c r="P631" t="s">
        <v>176</v>
      </c>
      <c r="Q631" t="s">
        <v>1733</v>
      </c>
      <c r="R631">
        <v>1330239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1330239</v>
      </c>
      <c r="Z631">
        <v>0</v>
      </c>
      <c r="AA631">
        <v>0</v>
      </c>
      <c r="AB631">
        <v>0</v>
      </c>
      <c r="AC631">
        <v>0</v>
      </c>
      <c r="AD631">
        <v>1330239</v>
      </c>
      <c r="AE631">
        <v>0</v>
      </c>
    </row>
    <row r="632" spans="1:31" x14ac:dyDescent="0.2">
      <c r="A632" t="s">
        <v>1730</v>
      </c>
      <c r="B632" t="s">
        <v>519</v>
      </c>
      <c r="C632" t="s">
        <v>22</v>
      </c>
      <c r="D632" t="s">
        <v>520</v>
      </c>
      <c r="E632" t="s">
        <v>521</v>
      </c>
      <c r="F632" t="s">
        <v>522</v>
      </c>
      <c r="G632" t="s">
        <v>22</v>
      </c>
      <c r="H632" t="s">
        <v>22</v>
      </c>
      <c r="I632" t="s">
        <v>22</v>
      </c>
      <c r="J632" t="s">
        <v>523</v>
      </c>
      <c r="K632" t="s">
        <v>22</v>
      </c>
      <c r="L632" t="s">
        <v>524</v>
      </c>
      <c r="N632" t="s">
        <v>556</v>
      </c>
      <c r="O632" t="s">
        <v>557</v>
      </c>
      <c r="P632" t="s">
        <v>22</v>
      </c>
      <c r="Q632" t="s">
        <v>527</v>
      </c>
      <c r="R632">
        <v>33514534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33514534</v>
      </c>
      <c r="Z632">
        <v>19358324</v>
      </c>
      <c r="AA632">
        <v>19358324</v>
      </c>
      <c r="AB632">
        <v>19358324</v>
      </c>
      <c r="AC632">
        <v>19358324</v>
      </c>
      <c r="AD632">
        <v>14156210</v>
      </c>
      <c r="AE632">
        <v>57.76</v>
      </c>
    </row>
    <row r="633" spans="1:31" x14ac:dyDescent="0.2">
      <c r="A633" t="s">
        <v>1730</v>
      </c>
      <c r="B633" t="s">
        <v>519</v>
      </c>
      <c r="C633" t="s">
        <v>22</v>
      </c>
      <c r="D633" t="s">
        <v>520</v>
      </c>
      <c r="E633" t="s">
        <v>521</v>
      </c>
      <c r="F633" t="s">
        <v>522</v>
      </c>
      <c r="G633" t="s">
        <v>22</v>
      </c>
      <c r="H633" t="s">
        <v>22</v>
      </c>
      <c r="I633" t="s">
        <v>22</v>
      </c>
      <c r="J633" t="s">
        <v>523</v>
      </c>
      <c r="K633" t="s">
        <v>22</v>
      </c>
      <c r="L633" t="s">
        <v>524</v>
      </c>
      <c r="N633" t="s">
        <v>558</v>
      </c>
      <c r="O633" t="s">
        <v>559</v>
      </c>
      <c r="P633" t="s">
        <v>22</v>
      </c>
      <c r="Q633" t="s">
        <v>527</v>
      </c>
      <c r="R633">
        <v>9457822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9457822</v>
      </c>
      <c r="Z633">
        <v>4223400</v>
      </c>
      <c r="AA633">
        <v>4223400</v>
      </c>
      <c r="AB633">
        <v>4223400</v>
      </c>
      <c r="AC633">
        <v>4223400</v>
      </c>
      <c r="AD633">
        <v>5234422</v>
      </c>
      <c r="AE633">
        <v>44.66</v>
      </c>
    </row>
    <row r="634" spans="1:31" x14ac:dyDescent="0.2">
      <c r="A634" t="s">
        <v>1730</v>
      </c>
      <c r="B634" t="s">
        <v>519</v>
      </c>
      <c r="C634" t="s">
        <v>22</v>
      </c>
      <c r="D634" t="s">
        <v>520</v>
      </c>
      <c r="E634" t="s">
        <v>521</v>
      </c>
      <c r="F634" t="s">
        <v>522</v>
      </c>
      <c r="G634" t="s">
        <v>22</v>
      </c>
      <c r="H634" t="s">
        <v>22</v>
      </c>
      <c r="I634" t="s">
        <v>22</v>
      </c>
      <c r="J634" t="s">
        <v>523</v>
      </c>
      <c r="K634" t="s">
        <v>22</v>
      </c>
      <c r="L634" t="s">
        <v>524</v>
      </c>
      <c r="N634" t="s">
        <v>1760</v>
      </c>
      <c r="O634" t="s">
        <v>1761</v>
      </c>
      <c r="P634" t="s">
        <v>176</v>
      </c>
      <c r="Q634" t="s">
        <v>1733</v>
      </c>
      <c r="R634">
        <v>5676750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5676750</v>
      </c>
      <c r="Z634">
        <v>2631500</v>
      </c>
      <c r="AA634">
        <v>2631500</v>
      </c>
      <c r="AB634">
        <v>2631500</v>
      </c>
      <c r="AC634">
        <v>2631500</v>
      </c>
      <c r="AD634">
        <v>3045250</v>
      </c>
      <c r="AE634">
        <v>46.36</v>
      </c>
    </row>
    <row r="635" spans="1:31" x14ac:dyDescent="0.2">
      <c r="A635" t="s">
        <v>1730</v>
      </c>
      <c r="B635" t="s">
        <v>519</v>
      </c>
      <c r="C635" t="s">
        <v>22</v>
      </c>
      <c r="D635" t="s">
        <v>520</v>
      </c>
      <c r="E635" t="s">
        <v>521</v>
      </c>
      <c r="F635" t="s">
        <v>522</v>
      </c>
      <c r="G635" t="s">
        <v>22</v>
      </c>
      <c r="H635" t="s">
        <v>22</v>
      </c>
      <c r="I635" t="s">
        <v>22</v>
      </c>
      <c r="J635" t="s">
        <v>523</v>
      </c>
      <c r="K635" t="s">
        <v>22</v>
      </c>
      <c r="L635" t="s">
        <v>524</v>
      </c>
      <c r="N635" t="s">
        <v>1762</v>
      </c>
      <c r="O635" t="s">
        <v>1763</v>
      </c>
      <c r="P635" t="s">
        <v>176</v>
      </c>
      <c r="Q635" t="s">
        <v>1733</v>
      </c>
      <c r="R635">
        <v>3781072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3781072</v>
      </c>
      <c r="Z635">
        <v>1591900</v>
      </c>
      <c r="AA635">
        <v>1591900</v>
      </c>
      <c r="AB635">
        <v>1591900</v>
      </c>
      <c r="AC635">
        <v>1591900</v>
      </c>
      <c r="AD635">
        <v>2189172</v>
      </c>
      <c r="AE635">
        <v>42.1</v>
      </c>
    </row>
    <row r="636" spans="1:31" x14ac:dyDescent="0.2">
      <c r="A636" t="s">
        <v>1730</v>
      </c>
      <c r="B636" t="s">
        <v>519</v>
      </c>
      <c r="C636" t="s">
        <v>22</v>
      </c>
      <c r="D636" t="s">
        <v>520</v>
      </c>
      <c r="E636" t="s">
        <v>521</v>
      </c>
      <c r="F636" t="s">
        <v>522</v>
      </c>
      <c r="G636" t="s">
        <v>22</v>
      </c>
      <c r="H636" t="s">
        <v>22</v>
      </c>
      <c r="I636" t="s">
        <v>22</v>
      </c>
      <c r="J636" t="s">
        <v>523</v>
      </c>
      <c r="K636" t="s">
        <v>22</v>
      </c>
      <c r="L636" t="s">
        <v>524</v>
      </c>
      <c r="N636" t="s">
        <v>560</v>
      </c>
      <c r="O636" t="s">
        <v>561</v>
      </c>
      <c r="P636" t="s">
        <v>22</v>
      </c>
      <c r="Q636" t="s">
        <v>527</v>
      </c>
      <c r="R636">
        <v>6699290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6699290</v>
      </c>
      <c r="Z636">
        <v>2991700</v>
      </c>
      <c r="AA636">
        <v>2991700</v>
      </c>
      <c r="AB636">
        <v>2991700</v>
      </c>
      <c r="AC636">
        <v>2991700</v>
      </c>
      <c r="AD636">
        <v>3707590</v>
      </c>
      <c r="AE636">
        <v>44.66</v>
      </c>
    </row>
    <row r="637" spans="1:31" x14ac:dyDescent="0.2">
      <c r="A637" t="s">
        <v>1730</v>
      </c>
      <c r="B637" t="s">
        <v>519</v>
      </c>
      <c r="C637" t="s">
        <v>22</v>
      </c>
      <c r="D637" t="s">
        <v>520</v>
      </c>
      <c r="E637" t="s">
        <v>521</v>
      </c>
      <c r="F637" t="s">
        <v>522</v>
      </c>
      <c r="G637" t="s">
        <v>22</v>
      </c>
      <c r="H637" t="s">
        <v>22</v>
      </c>
      <c r="I637" t="s">
        <v>22</v>
      </c>
      <c r="J637" t="s">
        <v>523</v>
      </c>
      <c r="K637" t="s">
        <v>22</v>
      </c>
      <c r="L637" t="s">
        <v>524</v>
      </c>
      <c r="N637" t="s">
        <v>1764</v>
      </c>
      <c r="O637" t="s">
        <v>1765</v>
      </c>
      <c r="P637" t="s">
        <v>165</v>
      </c>
      <c r="Q637" t="s">
        <v>1735</v>
      </c>
      <c r="R637">
        <v>4021031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4021031</v>
      </c>
      <c r="Z637">
        <v>1864000</v>
      </c>
      <c r="AA637">
        <v>1864000</v>
      </c>
      <c r="AB637">
        <v>1864000</v>
      </c>
      <c r="AC637">
        <v>1864000</v>
      </c>
      <c r="AD637">
        <v>2157031</v>
      </c>
      <c r="AE637">
        <v>46.36</v>
      </c>
    </row>
    <row r="638" spans="1:31" x14ac:dyDescent="0.2">
      <c r="A638" t="s">
        <v>1730</v>
      </c>
      <c r="B638" t="s">
        <v>519</v>
      </c>
      <c r="C638" t="s">
        <v>22</v>
      </c>
      <c r="D638" t="s">
        <v>520</v>
      </c>
      <c r="E638" t="s">
        <v>521</v>
      </c>
      <c r="F638" t="s">
        <v>522</v>
      </c>
      <c r="G638" t="s">
        <v>22</v>
      </c>
      <c r="H638" t="s">
        <v>22</v>
      </c>
      <c r="I638" t="s">
        <v>22</v>
      </c>
      <c r="J638" t="s">
        <v>523</v>
      </c>
      <c r="K638" t="s">
        <v>22</v>
      </c>
      <c r="L638" t="s">
        <v>524</v>
      </c>
      <c r="N638" t="s">
        <v>1766</v>
      </c>
      <c r="O638" t="s">
        <v>1767</v>
      </c>
      <c r="P638" t="s">
        <v>176</v>
      </c>
      <c r="Q638" t="s">
        <v>1733</v>
      </c>
      <c r="R638">
        <v>2678259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2678259</v>
      </c>
      <c r="Z638">
        <v>1127700</v>
      </c>
      <c r="AA638">
        <v>1127700</v>
      </c>
      <c r="AB638">
        <v>1127700</v>
      </c>
      <c r="AC638">
        <v>1127700</v>
      </c>
      <c r="AD638">
        <v>1550559</v>
      </c>
      <c r="AE638">
        <v>42.11</v>
      </c>
    </row>
    <row r="639" spans="1:31" x14ac:dyDescent="0.2">
      <c r="A639" t="s">
        <v>1730</v>
      </c>
      <c r="B639" t="s">
        <v>519</v>
      </c>
      <c r="C639" t="s">
        <v>22</v>
      </c>
      <c r="D639" t="s">
        <v>520</v>
      </c>
      <c r="E639" t="s">
        <v>521</v>
      </c>
      <c r="F639" t="s">
        <v>522</v>
      </c>
      <c r="G639" t="s">
        <v>22</v>
      </c>
      <c r="H639" t="s">
        <v>22</v>
      </c>
      <c r="I639" t="s">
        <v>22</v>
      </c>
      <c r="J639" t="s">
        <v>523</v>
      </c>
      <c r="K639" t="s">
        <v>22</v>
      </c>
      <c r="L639" t="s">
        <v>524</v>
      </c>
      <c r="N639" t="s">
        <v>562</v>
      </c>
      <c r="O639" t="s">
        <v>563</v>
      </c>
      <c r="P639" t="s">
        <v>22</v>
      </c>
      <c r="Q639" t="s">
        <v>527</v>
      </c>
      <c r="R639">
        <v>8257024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8257024</v>
      </c>
      <c r="Z639">
        <v>8177624</v>
      </c>
      <c r="AA639">
        <v>8177624</v>
      </c>
      <c r="AB639">
        <v>8177624</v>
      </c>
      <c r="AC639">
        <v>8177624</v>
      </c>
      <c r="AD639">
        <v>79400</v>
      </c>
      <c r="AE639">
        <v>99.04</v>
      </c>
    </row>
    <row r="640" spans="1:31" x14ac:dyDescent="0.2">
      <c r="A640" t="s">
        <v>1730</v>
      </c>
      <c r="B640" t="s">
        <v>519</v>
      </c>
      <c r="C640" t="s">
        <v>22</v>
      </c>
      <c r="D640" t="s">
        <v>520</v>
      </c>
      <c r="E640" t="s">
        <v>521</v>
      </c>
      <c r="F640" t="s">
        <v>522</v>
      </c>
      <c r="G640" t="s">
        <v>22</v>
      </c>
      <c r="H640" t="s">
        <v>22</v>
      </c>
      <c r="I640" t="s">
        <v>22</v>
      </c>
      <c r="J640" t="s">
        <v>523</v>
      </c>
      <c r="K640" t="s">
        <v>22</v>
      </c>
      <c r="L640" t="s">
        <v>524</v>
      </c>
      <c r="N640" t="s">
        <v>564</v>
      </c>
      <c r="O640" t="s">
        <v>563</v>
      </c>
      <c r="P640" t="s">
        <v>22</v>
      </c>
      <c r="Q640" t="s">
        <v>527</v>
      </c>
      <c r="R640">
        <v>7330558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7330558</v>
      </c>
      <c r="Z640">
        <v>7329517</v>
      </c>
      <c r="AA640">
        <v>7329517</v>
      </c>
      <c r="AB640">
        <v>7329517</v>
      </c>
      <c r="AC640">
        <v>7329517</v>
      </c>
      <c r="AD640">
        <v>1041</v>
      </c>
      <c r="AE640">
        <v>99.99</v>
      </c>
    </row>
    <row r="641" spans="1:31" x14ac:dyDescent="0.2">
      <c r="A641" t="s">
        <v>1730</v>
      </c>
      <c r="B641" t="s">
        <v>519</v>
      </c>
      <c r="C641" t="s">
        <v>22</v>
      </c>
      <c r="D641" t="s">
        <v>520</v>
      </c>
      <c r="E641" t="s">
        <v>521</v>
      </c>
      <c r="F641" t="s">
        <v>522</v>
      </c>
      <c r="G641" t="s">
        <v>22</v>
      </c>
      <c r="H641" t="s">
        <v>22</v>
      </c>
      <c r="I641" t="s">
        <v>22</v>
      </c>
      <c r="J641" t="s">
        <v>523</v>
      </c>
      <c r="K641" t="s">
        <v>22</v>
      </c>
      <c r="L641" t="s">
        <v>524</v>
      </c>
      <c r="N641" t="s">
        <v>1768</v>
      </c>
      <c r="O641" t="s">
        <v>1769</v>
      </c>
      <c r="P641" t="s">
        <v>186</v>
      </c>
      <c r="Q641" t="s">
        <v>1741</v>
      </c>
      <c r="R641">
        <v>7329517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7329517</v>
      </c>
      <c r="Z641">
        <v>7329517</v>
      </c>
      <c r="AA641">
        <v>7329517</v>
      </c>
      <c r="AB641">
        <v>7329517</v>
      </c>
      <c r="AC641">
        <v>7329517</v>
      </c>
      <c r="AD641">
        <v>0</v>
      </c>
      <c r="AE641">
        <v>100</v>
      </c>
    </row>
    <row r="642" spans="1:31" x14ac:dyDescent="0.2">
      <c r="A642" t="s">
        <v>1730</v>
      </c>
      <c r="B642" t="s">
        <v>519</v>
      </c>
      <c r="C642" t="s">
        <v>22</v>
      </c>
      <c r="D642" t="s">
        <v>520</v>
      </c>
      <c r="E642" t="s">
        <v>521</v>
      </c>
      <c r="F642" t="s">
        <v>522</v>
      </c>
      <c r="G642" t="s">
        <v>22</v>
      </c>
      <c r="H642" t="s">
        <v>22</v>
      </c>
      <c r="I642" t="s">
        <v>22</v>
      </c>
      <c r="J642" t="s">
        <v>523</v>
      </c>
      <c r="K642" t="s">
        <v>22</v>
      </c>
      <c r="L642" t="s">
        <v>524</v>
      </c>
      <c r="N642" t="s">
        <v>1770</v>
      </c>
      <c r="O642" t="s">
        <v>1771</v>
      </c>
      <c r="P642" t="s">
        <v>165</v>
      </c>
      <c r="Q642" t="s">
        <v>1735</v>
      </c>
      <c r="R642">
        <v>1041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1041</v>
      </c>
      <c r="Z642">
        <v>0</v>
      </c>
      <c r="AA642">
        <v>0</v>
      </c>
      <c r="AB642">
        <v>0</v>
      </c>
      <c r="AC642">
        <v>0</v>
      </c>
      <c r="AD642">
        <v>1041</v>
      </c>
      <c r="AE642">
        <v>0</v>
      </c>
    </row>
    <row r="643" spans="1:31" x14ac:dyDescent="0.2">
      <c r="A643" t="s">
        <v>1730</v>
      </c>
      <c r="B643" t="s">
        <v>519</v>
      </c>
      <c r="C643" t="s">
        <v>22</v>
      </c>
      <c r="D643" t="s">
        <v>520</v>
      </c>
      <c r="E643" t="s">
        <v>521</v>
      </c>
      <c r="F643" t="s">
        <v>522</v>
      </c>
      <c r="G643" t="s">
        <v>22</v>
      </c>
      <c r="H643" t="s">
        <v>22</v>
      </c>
      <c r="I643" t="s">
        <v>22</v>
      </c>
      <c r="J643" t="s">
        <v>523</v>
      </c>
      <c r="K643" t="s">
        <v>22</v>
      </c>
      <c r="L643" t="s">
        <v>524</v>
      </c>
      <c r="N643" t="s">
        <v>566</v>
      </c>
      <c r="O643" t="s">
        <v>567</v>
      </c>
      <c r="P643" t="s">
        <v>22</v>
      </c>
      <c r="Q643" t="s">
        <v>527</v>
      </c>
      <c r="R643">
        <v>926466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926466</v>
      </c>
      <c r="Z643">
        <v>848107</v>
      </c>
      <c r="AA643">
        <v>848107</v>
      </c>
      <c r="AB643">
        <v>848107</v>
      </c>
      <c r="AC643">
        <v>848107</v>
      </c>
      <c r="AD643">
        <v>78359</v>
      </c>
      <c r="AE643">
        <v>91.54</v>
      </c>
    </row>
    <row r="644" spans="1:31" x14ac:dyDescent="0.2">
      <c r="A644" t="s">
        <v>1730</v>
      </c>
      <c r="B644" t="s">
        <v>519</v>
      </c>
      <c r="C644" t="s">
        <v>22</v>
      </c>
      <c r="D644" t="s">
        <v>520</v>
      </c>
      <c r="E644" t="s">
        <v>521</v>
      </c>
      <c r="F644" t="s">
        <v>522</v>
      </c>
      <c r="G644" t="s">
        <v>22</v>
      </c>
      <c r="H644" t="s">
        <v>22</v>
      </c>
      <c r="I644" t="s">
        <v>22</v>
      </c>
      <c r="J644" t="s">
        <v>523</v>
      </c>
      <c r="K644" t="s">
        <v>22</v>
      </c>
      <c r="L644" t="s">
        <v>524</v>
      </c>
      <c r="N644" t="s">
        <v>1772</v>
      </c>
      <c r="O644" t="s">
        <v>1773</v>
      </c>
      <c r="P644" t="s">
        <v>165</v>
      </c>
      <c r="Q644" t="s">
        <v>1735</v>
      </c>
      <c r="R644">
        <v>556081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556081</v>
      </c>
      <c r="Z644">
        <v>527566</v>
      </c>
      <c r="AA644">
        <v>527566</v>
      </c>
      <c r="AB644">
        <v>527566</v>
      </c>
      <c r="AC644">
        <v>527566</v>
      </c>
      <c r="AD644">
        <v>28515</v>
      </c>
      <c r="AE644">
        <v>94.87</v>
      </c>
    </row>
    <row r="645" spans="1:31" x14ac:dyDescent="0.2">
      <c r="A645" t="s">
        <v>1730</v>
      </c>
      <c r="B645" t="s">
        <v>519</v>
      </c>
      <c r="C645" t="s">
        <v>22</v>
      </c>
      <c r="D645" t="s">
        <v>520</v>
      </c>
      <c r="E645" t="s">
        <v>521</v>
      </c>
      <c r="F645" t="s">
        <v>522</v>
      </c>
      <c r="G645" t="s">
        <v>22</v>
      </c>
      <c r="H645" t="s">
        <v>22</v>
      </c>
      <c r="I645" t="s">
        <v>22</v>
      </c>
      <c r="J645" t="s">
        <v>523</v>
      </c>
      <c r="K645" t="s">
        <v>22</v>
      </c>
      <c r="L645" t="s">
        <v>524</v>
      </c>
      <c r="N645" t="s">
        <v>1774</v>
      </c>
      <c r="O645" t="s">
        <v>1775</v>
      </c>
      <c r="P645" t="s">
        <v>165</v>
      </c>
      <c r="Q645" t="s">
        <v>1735</v>
      </c>
      <c r="R645">
        <v>370385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370385</v>
      </c>
      <c r="Z645">
        <v>320541</v>
      </c>
      <c r="AA645">
        <v>320541</v>
      </c>
      <c r="AB645">
        <v>320541</v>
      </c>
      <c r="AC645">
        <v>320541</v>
      </c>
      <c r="AD645">
        <v>49844</v>
      </c>
      <c r="AE645">
        <v>86.54</v>
      </c>
    </row>
    <row r="646" spans="1:31" x14ac:dyDescent="0.2">
      <c r="A646" t="s">
        <v>1730</v>
      </c>
      <c r="B646" t="s">
        <v>519</v>
      </c>
      <c r="C646" t="s">
        <v>22</v>
      </c>
      <c r="D646" t="s">
        <v>520</v>
      </c>
      <c r="E646" t="s">
        <v>521</v>
      </c>
      <c r="F646" t="s">
        <v>522</v>
      </c>
      <c r="G646" t="s">
        <v>22</v>
      </c>
      <c r="H646" t="s">
        <v>22</v>
      </c>
      <c r="I646" t="s">
        <v>22</v>
      </c>
      <c r="J646" t="s">
        <v>523</v>
      </c>
      <c r="K646" t="s">
        <v>22</v>
      </c>
      <c r="L646" t="s">
        <v>524</v>
      </c>
      <c r="N646" t="s">
        <v>568</v>
      </c>
      <c r="O646" t="s">
        <v>569</v>
      </c>
      <c r="P646" t="s">
        <v>22</v>
      </c>
      <c r="Q646" t="s">
        <v>527</v>
      </c>
      <c r="R646">
        <v>3851260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3851260</v>
      </c>
      <c r="Z646">
        <v>1679800</v>
      </c>
      <c r="AA646">
        <v>1679800</v>
      </c>
      <c r="AB646">
        <v>1679800</v>
      </c>
      <c r="AC646">
        <v>1679800</v>
      </c>
      <c r="AD646">
        <v>2171460</v>
      </c>
      <c r="AE646">
        <v>43.62</v>
      </c>
    </row>
    <row r="647" spans="1:31" x14ac:dyDescent="0.2">
      <c r="A647" t="s">
        <v>1730</v>
      </c>
      <c r="B647" t="s">
        <v>519</v>
      </c>
      <c r="C647" t="s">
        <v>22</v>
      </c>
      <c r="D647" t="s">
        <v>520</v>
      </c>
      <c r="E647" t="s">
        <v>521</v>
      </c>
      <c r="F647" t="s">
        <v>522</v>
      </c>
      <c r="G647" t="s">
        <v>22</v>
      </c>
      <c r="H647" t="s">
        <v>22</v>
      </c>
      <c r="I647" t="s">
        <v>22</v>
      </c>
      <c r="J647" t="s">
        <v>523</v>
      </c>
      <c r="K647" t="s">
        <v>22</v>
      </c>
      <c r="L647" t="s">
        <v>524</v>
      </c>
      <c r="N647" t="s">
        <v>1776</v>
      </c>
      <c r="O647" t="s">
        <v>1777</v>
      </c>
      <c r="P647" t="s">
        <v>165</v>
      </c>
      <c r="Q647" t="s">
        <v>1735</v>
      </c>
      <c r="R647">
        <v>2344781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2344781</v>
      </c>
      <c r="Z647">
        <v>1128700</v>
      </c>
      <c r="AA647">
        <v>1128700</v>
      </c>
      <c r="AB647">
        <v>1128700</v>
      </c>
      <c r="AC647">
        <v>1128700</v>
      </c>
      <c r="AD647">
        <v>1216081</v>
      </c>
      <c r="AE647">
        <v>48.14</v>
      </c>
    </row>
    <row r="648" spans="1:31" x14ac:dyDescent="0.2">
      <c r="A648" t="s">
        <v>1730</v>
      </c>
      <c r="B648" t="s">
        <v>519</v>
      </c>
      <c r="C648" t="s">
        <v>22</v>
      </c>
      <c r="D648" t="s">
        <v>520</v>
      </c>
      <c r="E648" t="s">
        <v>521</v>
      </c>
      <c r="F648" t="s">
        <v>522</v>
      </c>
      <c r="G648" t="s">
        <v>22</v>
      </c>
      <c r="H648" t="s">
        <v>22</v>
      </c>
      <c r="I648" t="s">
        <v>22</v>
      </c>
      <c r="J648" t="s">
        <v>523</v>
      </c>
      <c r="K648" t="s">
        <v>22</v>
      </c>
      <c r="L648" t="s">
        <v>524</v>
      </c>
      <c r="N648" t="s">
        <v>1778</v>
      </c>
      <c r="O648" t="s">
        <v>1779</v>
      </c>
      <c r="P648" t="s">
        <v>186</v>
      </c>
      <c r="Q648" t="s">
        <v>1741</v>
      </c>
      <c r="R648">
        <v>1506479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1506479</v>
      </c>
      <c r="Z648">
        <v>551100</v>
      </c>
      <c r="AA648">
        <v>551100</v>
      </c>
      <c r="AB648">
        <v>551100</v>
      </c>
      <c r="AC648">
        <v>551100</v>
      </c>
      <c r="AD648">
        <v>955379</v>
      </c>
      <c r="AE648">
        <v>36.58</v>
      </c>
    </row>
    <row r="649" spans="1:31" x14ac:dyDescent="0.2">
      <c r="A649" t="s">
        <v>1730</v>
      </c>
      <c r="B649" t="s">
        <v>519</v>
      </c>
      <c r="C649" t="s">
        <v>22</v>
      </c>
      <c r="D649" t="s">
        <v>520</v>
      </c>
      <c r="E649" t="s">
        <v>521</v>
      </c>
      <c r="F649" t="s">
        <v>522</v>
      </c>
      <c r="G649" t="s">
        <v>22</v>
      </c>
      <c r="H649" t="s">
        <v>22</v>
      </c>
      <c r="I649" t="s">
        <v>22</v>
      </c>
      <c r="J649" t="s">
        <v>523</v>
      </c>
      <c r="K649" t="s">
        <v>22</v>
      </c>
      <c r="L649" t="s">
        <v>524</v>
      </c>
      <c r="N649" t="s">
        <v>570</v>
      </c>
      <c r="O649" t="s">
        <v>571</v>
      </c>
      <c r="P649" t="s">
        <v>22</v>
      </c>
      <c r="Q649" t="s">
        <v>527</v>
      </c>
      <c r="R649">
        <v>435061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435061</v>
      </c>
      <c r="Z649">
        <v>184400</v>
      </c>
      <c r="AA649">
        <v>184400</v>
      </c>
      <c r="AB649">
        <v>184400</v>
      </c>
      <c r="AC649">
        <v>184400</v>
      </c>
      <c r="AD649">
        <v>250661</v>
      </c>
      <c r="AE649">
        <v>42.38</v>
      </c>
    </row>
    <row r="650" spans="1:31" x14ac:dyDescent="0.2">
      <c r="A650" t="s">
        <v>1730</v>
      </c>
      <c r="B650" t="s">
        <v>519</v>
      </c>
      <c r="C650" t="s">
        <v>22</v>
      </c>
      <c r="D650" t="s">
        <v>520</v>
      </c>
      <c r="E650" t="s">
        <v>521</v>
      </c>
      <c r="F650" t="s">
        <v>522</v>
      </c>
      <c r="G650" t="s">
        <v>22</v>
      </c>
      <c r="H650" t="s">
        <v>22</v>
      </c>
      <c r="I650" t="s">
        <v>22</v>
      </c>
      <c r="J650" t="s">
        <v>523</v>
      </c>
      <c r="K650" t="s">
        <v>22</v>
      </c>
      <c r="L650" t="s">
        <v>524</v>
      </c>
      <c r="N650" t="s">
        <v>1780</v>
      </c>
      <c r="O650" t="s">
        <v>1781</v>
      </c>
      <c r="P650" t="s">
        <v>165</v>
      </c>
      <c r="Q650" t="s">
        <v>1735</v>
      </c>
      <c r="R650">
        <v>261131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261131</v>
      </c>
      <c r="Z650">
        <v>114800</v>
      </c>
      <c r="AA650">
        <v>114800</v>
      </c>
      <c r="AB650">
        <v>114800</v>
      </c>
      <c r="AC650">
        <v>114800</v>
      </c>
      <c r="AD650">
        <v>146331</v>
      </c>
      <c r="AE650">
        <v>43.96</v>
      </c>
    </row>
    <row r="651" spans="1:31" x14ac:dyDescent="0.2">
      <c r="A651" t="s">
        <v>1730</v>
      </c>
      <c r="B651" t="s">
        <v>519</v>
      </c>
      <c r="C651" t="s">
        <v>22</v>
      </c>
      <c r="D651" t="s">
        <v>520</v>
      </c>
      <c r="E651" t="s">
        <v>521</v>
      </c>
      <c r="F651" t="s">
        <v>522</v>
      </c>
      <c r="G651" t="s">
        <v>22</v>
      </c>
      <c r="H651" t="s">
        <v>22</v>
      </c>
      <c r="I651" t="s">
        <v>22</v>
      </c>
      <c r="J651" t="s">
        <v>523</v>
      </c>
      <c r="K651" t="s">
        <v>22</v>
      </c>
      <c r="L651" t="s">
        <v>524</v>
      </c>
      <c r="N651" t="s">
        <v>1782</v>
      </c>
      <c r="O651" t="s">
        <v>1783</v>
      </c>
      <c r="P651" t="s">
        <v>176</v>
      </c>
      <c r="Q651" t="s">
        <v>1733</v>
      </c>
      <c r="R651">
        <v>173930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173930</v>
      </c>
      <c r="Z651">
        <v>69600</v>
      </c>
      <c r="AA651">
        <v>69600</v>
      </c>
      <c r="AB651">
        <v>69600</v>
      </c>
      <c r="AC651">
        <v>69600</v>
      </c>
      <c r="AD651">
        <v>104330</v>
      </c>
      <c r="AE651">
        <v>40.020000000000003</v>
      </c>
    </row>
    <row r="652" spans="1:31" x14ac:dyDescent="0.2">
      <c r="A652" t="s">
        <v>1730</v>
      </c>
      <c r="B652" t="s">
        <v>519</v>
      </c>
      <c r="C652" t="s">
        <v>22</v>
      </c>
      <c r="D652" t="s">
        <v>520</v>
      </c>
      <c r="E652" t="s">
        <v>521</v>
      </c>
      <c r="F652" t="s">
        <v>522</v>
      </c>
      <c r="G652" t="s">
        <v>22</v>
      </c>
      <c r="H652" t="s">
        <v>22</v>
      </c>
      <c r="I652" t="s">
        <v>22</v>
      </c>
      <c r="J652" t="s">
        <v>523</v>
      </c>
      <c r="K652" t="s">
        <v>22</v>
      </c>
      <c r="L652" t="s">
        <v>524</v>
      </c>
      <c r="N652" t="s">
        <v>572</v>
      </c>
      <c r="O652" t="s">
        <v>573</v>
      </c>
      <c r="P652" t="s">
        <v>22</v>
      </c>
      <c r="Q652" t="s">
        <v>527</v>
      </c>
      <c r="R652">
        <v>2888445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2888445</v>
      </c>
      <c r="Z652">
        <v>1260000</v>
      </c>
      <c r="AA652">
        <v>1260000</v>
      </c>
      <c r="AB652">
        <v>1260000</v>
      </c>
      <c r="AC652">
        <v>1260000</v>
      </c>
      <c r="AD652">
        <v>1628445</v>
      </c>
      <c r="AE652">
        <v>43.62</v>
      </c>
    </row>
    <row r="653" spans="1:31" x14ac:dyDescent="0.2">
      <c r="A653" t="s">
        <v>1730</v>
      </c>
      <c r="B653" t="s">
        <v>519</v>
      </c>
      <c r="C653" t="s">
        <v>22</v>
      </c>
      <c r="D653" t="s">
        <v>520</v>
      </c>
      <c r="E653" t="s">
        <v>521</v>
      </c>
      <c r="F653" t="s">
        <v>522</v>
      </c>
      <c r="G653" t="s">
        <v>22</v>
      </c>
      <c r="H653" t="s">
        <v>22</v>
      </c>
      <c r="I653" t="s">
        <v>22</v>
      </c>
      <c r="J653" t="s">
        <v>523</v>
      </c>
      <c r="K653" t="s">
        <v>22</v>
      </c>
      <c r="L653" t="s">
        <v>524</v>
      </c>
      <c r="N653" t="s">
        <v>1784</v>
      </c>
      <c r="O653" t="s">
        <v>1785</v>
      </c>
      <c r="P653" t="s">
        <v>165</v>
      </c>
      <c r="Q653" t="s">
        <v>1735</v>
      </c>
      <c r="R653">
        <v>1758585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1758585</v>
      </c>
      <c r="Z653">
        <v>846500</v>
      </c>
      <c r="AA653">
        <v>846500</v>
      </c>
      <c r="AB653">
        <v>846500</v>
      </c>
      <c r="AC653">
        <v>846500</v>
      </c>
      <c r="AD653">
        <v>912085</v>
      </c>
      <c r="AE653">
        <v>48.14</v>
      </c>
    </row>
    <row r="654" spans="1:31" x14ac:dyDescent="0.2">
      <c r="A654" t="s">
        <v>1730</v>
      </c>
      <c r="B654" t="s">
        <v>519</v>
      </c>
      <c r="C654" t="s">
        <v>22</v>
      </c>
      <c r="D654" t="s">
        <v>520</v>
      </c>
      <c r="E654" t="s">
        <v>521</v>
      </c>
      <c r="F654" t="s">
        <v>522</v>
      </c>
      <c r="G654" t="s">
        <v>22</v>
      </c>
      <c r="H654" t="s">
        <v>22</v>
      </c>
      <c r="I654" t="s">
        <v>22</v>
      </c>
      <c r="J654" t="s">
        <v>523</v>
      </c>
      <c r="K654" t="s">
        <v>22</v>
      </c>
      <c r="L654" t="s">
        <v>524</v>
      </c>
      <c r="N654" t="s">
        <v>1786</v>
      </c>
      <c r="O654" t="s">
        <v>1787</v>
      </c>
      <c r="P654" t="s">
        <v>181</v>
      </c>
      <c r="Q654" t="s">
        <v>1738</v>
      </c>
      <c r="R654">
        <v>1129860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1129860</v>
      </c>
      <c r="Z654">
        <v>413500</v>
      </c>
      <c r="AA654">
        <v>413500</v>
      </c>
      <c r="AB654">
        <v>413500</v>
      </c>
      <c r="AC654">
        <v>413500</v>
      </c>
      <c r="AD654">
        <v>716360</v>
      </c>
      <c r="AE654">
        <v>36.6</v>
      </c>
    </row>
    <row r="655" spans="1:31" x14ac:dyDescent="0.2">
      <c r="A655" t="s">
        <v>1730</v>
      </c>
      <c r="B655" t="s">
        <v>519</v>
      </c>
      <c r="C655" t="s">
        <v>22</v>
      </c>
      <c r="D655" t="s">
        <v>520</v>
      </c>
      <c r="E655" t="s">
        <v>521</v>
      </c>
      <c r="F655" t="s">
        <v>522</v>
      </c>
      <c r="G655" t="s">
        <v>22</v>
      </c>
      <c r="H655" t="s">
        <v>22</v>
      </c>
      <c r="I655" t="s">
        <v>22</v>
      </c>
      <c r="J655" t="s">
        <v>523</v>
      </c>
      <c r="K655" t="s">
        <v>22</v>
      </c>
      <c r="L655" t="s">
        <v>524</v>
      </c>
      <c r="N655" t="s">
        <v>574</v>
      </c>
      <c r="O655" t="s">
        <v>575</v>
      </c>
      <c r="P655" t="s">
        <v>22</v>
      </c>
      <c r="Q655" t="s">
        <v>527</v>
      </c>
      <c r="R655">
        <v>481408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481408</v>
      </c>
      <c r="Z655">
        <v>210500</v>
      </c>
      <c r="AA655">
        <v>210500</v>
      </c>
      <c r="AB655">
        <v>210500</v>
      </c>
      <c r="AC655">
        <v>210500</v>
      </c>
      <c r="AD655">
        <v>270908</v>
      </c>
      <c r="AE655">
        <v>43.73</v>
      </c>
    </row>
    <row r="656" spans="1:31" x14ac:dyDescent="0.2">
      <c r="A656" t="s">
        <v>1730</v>
      </c>
      <c r="B656" t="s">
        <v>519</v>
      </c>
      <c r="C656" t="s">
        <v>22</v>
      </c>
      <c r="D656" t="s">
        <v>520</v>
      </c>
      <c r="E656" t="s">
        <v>521</v>
      </c>
      <c r="F656" t="s">
        <v>522</v>
      </c>
      <c r="G656" t="s">
        <v>22</v>
      </c>
      <c r="H656" t="s">
        <v>22</v>
      </c>
      <c r="I656" t="s">
        <v>22</v>
      </c>
      <c r="J656" t="s">
        <v>523</v>
      </c>
      <c r="K656" t="s">
        <v>22</v>
      </c>
      <c r="L656" t="s">
        <v>524</v>
      </c>
      <c r="N656" t="s">
        <v>1788</v>
      </c>
      <c r="O656" t="s">
        <v>1789</v>
      </c>
      <c r="P656" t="s">
        <v>165</v>
      </c>
      <c r="Q656" t="s">
        <v>1735</v>
      </c>
      <c r="R656">
        <v>293098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293098</v>
      </c>
      <c r="Z656">
        <v>141200</v>
      </c>
      <c r="AA656">
        <v>141200</v>
      </c>
      <c r="AB656">
        <v>141200</v>
      </c>
      <c r="AC656">
        <v>141200</v>
      </c>
      <c r="AD656">
        <v>151898</v>
      </c>
      <c r="AE656">
        <v>48.18</v>
      </c>
    </row>
    <row r="657" spans="1:31" x14ac:dyDescent="0.2">
      <c r="A657" t="s">
        <v>1730</v>
      </c>
      <c r="B657" t="s">
        <v>519</v>
      </c>
      <c r="C657" t="s">
        <v>22</v>
      </c>
      <c r="D657" t="s">
        <v>520</v>
      </c>
      <c r="E657" t="s">
        <v>521</v>
      </c>
      <c r="F657" t="s">
        <v>522</v>
      </c>
      <c r="G657" t="s">
        <v>22</v>
      </c>
      <c r="H657" t="s">
        <v>22</v>
      </c>
      <c r="I657" t="s">
        <v>22</v>
      </c>
      <c r="J657" t="s">
        <v>523</v>
      </c>
      <c r="K657" t="s">
        <v>22</v>
      </c>
      <c r="L657" t="s">
        <v>524</v>
      </c>
      <c r="N657" t="s">
        <v>1790</v>
      </c>
      <c r="O657" t="s">
        <v>1791</v>
      </c>
      <c r="P657" t="s">
        <v>181</v>
      </c>
      <c r="Q657" t="s">
        <v>1738</v>
      </c>
      <c r="R657">
        <v>188310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188310</v>
      </c>
      <c r="Z657">
        <v>69300</v>
      </c>
      <c r="AA657">
        <v>69300</v>
      </c>
      <c r="AB657">
        <v>69300</v>
      </c>
      <c r="AC657">
        <v>69300</v>
      </c>
      <c r="AD657">
        <v>119010</v>
      </c>
      <c r="AE657">
        <v>36.799999999999997</v>
      </c>
    </row>
    <row r="658" spans="1:31" x14ac:dyDescent="0.2">
      <c r="A658" t="s">
        <v>1730</v>
      </c>
      <c r="B658" t="s">
        <v>519</v>
      </c>
      <c r="C658" t="s">
        <v>22</v>
      </c>
      <c r="D658" t="s">
        <v>520</v>
      </c>
      <c r="E658" t="s">
        <v>521</v>
      </c>
      <c r="F658" t="s">
        <v>522</v>
      </c>
      <c r="G658" t="s">
        <v>22</v>
      </c>
      <c r="H658" t="s">
        <v>22</v>
      </c>
      <c r="I658" t="s">
        <v>22</v>
      </c>
      <c r="J658" t="s">
        <v>523</v>
      </c>
      <c r="K658" t="s">
        <v>22</v>
      </c>
      <c r="L658" t="s">
        <v>524</v>
      </c>
      <c r="N658" t="s">
        <v>576</v>
      </c>
      <c r="O658" t="s">
        <v>577</v>
      </c>
      <c r="P658" t="s">
        <v>22</v>
      </c>
      <c r="Q658" t="s">
        <v>527</v>
      </c>
      <c r="R658">
        <v>481408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481408</v>
      </c>
      <c r="Z658">
        <v>210500</v>
      </c>
      <c r="AA658">
        <v>210500</v>
      </c>
      <c r="AB658">
        <v>210500</v>
      </c>
      <c r="AC658">
        <v>210500</v>
      </c>
      <c r="AD658">
        <v>270908</v>
      </c>
      <c r="AE658">
        <v>43.73</v>
      </c>
    </row>
    <row r="659" spans="1:31" x14ac:dyDescent="0.2">
      <c r="A659" t="s">
        <v>1730</v>
      </c>
      <c r="B659" t="s">
        <v>519</v>
      </c>
      <c r="C659" t="s">
        <v>22</v>
      </c>
      <c r="D659" t="s">
        <v>520</v>
      </c>
      <c r="E659" t="s">
        <v>521</v>
      </c>
      <c r="F659" t="s">
        <v>522</v>
      </c>
      <c r="G659" t="s">
        <v>22</v>
      </c>
      <c r="H659" t="s">
        <v>22</v>
      </c>
      <c r="I659" t="s">
        <v>22</v>
      </c>
      <c r="J659" t="s">
        <v>523</v>
      </c>
      <c r="K659" t="s">
        <v>22</v>
      </c>
      <c r="L659" t="s">
        <v>524</v>
      </c>
      <c r="N659" t="s">
        <v>1792</v>
      </c>
      <c r="O659" t="s">
        <v>1793</v>
      </c>
      <c r="P659" t="s">
        <v>165</v>
      </c>
      <c r="Q659" t="s">
        <v>1735</v>
      </c>
      <c r="R659">
        <v>293098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293098</v>
      </c>
      <c r="Z659">
        <v>141200</v>
      </c>
      <c r="AA659">
        <v>141200</v>
      </c>
      <c r="AB659">
        <v>141200</v>
      </c>
      <c r="AC659">
        <v>141200</v>
      </c>
      <c r="AD659">
        <v>151898</v>
      </c>
      <c r="AE659">
        <v>48.18</v>
      </c>
    </row>
    <row r="660" spans="1:31" x14ac:dyDescent="0.2">
      <c r="A660" t="s">
        <v>1730</v>
      </c>
      <c r="B660" t="s">
        <v>519</v>
      </c>
      <c r="C660" t="s">
        <v>22</v>
      </c>
      <c r="D660" t="s">
        <v>520</v>
      </c>
      <c r="E660" t="s">
        <v>521</v>
      </c>
      <c r="F660" t="s">
        <v>522</v>
      </c>
      <c r="G660" t="s">
        <v>22</v>
      </c>
      <c r="H660" t="s">
        <v>22</v>
      </c>
      <c r="I660" t="s">
        <v>22</v>
      </c>
      <c r="J660" t="s">
        <v>523</v>
      </c>
      <c r="K660" t="s">
        <v>22</v>
      </c>
      <c r="L660" t="s">
        <v>524</v>
      </c>
      <c r="N660" t="s">
        <v>1794</v>
      </c>
      <c r="O660" t="s">
        <v>1795</v>
      </c>
      <c r="P660" t="s">
        <v>181</v>
      </c>
      <c r="Q660" t="s">
        <v>1738</v>
      </c>
      <c r="R660">
        <v>188310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188310</v>
      </c>
      <c r="Z660">
        <v>69300</v>
      </c>
      <c r="AA660">
        <v>69300</v>
      </c>
      <c r="AB660">
        <v>69300</v>
      </c>
      <c r="AC660">
        <v>69300</v>
      </c>
      <c r="AD660">
        <v>119010</v>
      </c>
      <c r="AE660">
        <v>36.799999999999997</v>
      </c>
    </row>
    <row r="661" spans="1:31" x14ac:dyDescent="0.2">
      <c r="A661" t="s">
        <v>1730</v>
      </c>
      <c r="B661" t="s">
        <v>519</v>
      </c>
      <c r="C661" t="s">
        <v>22</v>
      </c>
      <c r="D661" t="s">
        <v>520</v>
      </c>
      <c r="E661" t="s">
        <v>521</v>
      </c>
      <c r="F661" t="s">
        <v>522</v>
      </c>
      <c r="G661" t="s">
        <v>22</v>
      </c>
      <c r="H661" t="s">
        <v>22</v>
      </c>
      <c r="I661" t="s">
        <v>22</v>
      </c>
      <c r="J661" t="s">
        <v>523</v>
      </c>
      <c r="K661" t="s">
        <v>22</v>
      </c>
      <c r="L661" t="s">
        <v>524</v>
      </c>
      <c r="N661" t="s">
        <v>578</v>
      </c>
      <c r="O661" t="s">
        <v>579</v>
      </c>
      <c r="P661" t="s">
        <v>22</v>
      </c>
      <c r="Q661" t="s">
        <v>527</v>
      </c>
      <c r="R661">
        <v>962816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962816</v>
      </c>
      <c r="Z661">
        <v>420400</v>
      </c>
      <c r="AA661">
        <v>420400</v>
      </c>
      <c r="AB661">
        <v>420400</v>
      </c>
      <c r="AC661">
        <v>420400</v>
      </c>
      <c r="AD661">
        <v>542416</v>
      </c>
      <c r="AE661">
        <v>43.66</v>
      </c>
    </row>
    <row r="662" spans="1:31" x14ac:dyDescent="0.2">
      <c r="A662" t="s">
        <v>1730</v>
      </c>
      <c r="B662" t="s">
        <v>519</v>
      </c>
      <c r="C662" t="s">
        <v>22</v>
      </c>
      <c r="D662" t="s">
        <v>520</v>
      </c>
      <c r="E662" t="s">
        <v>521</v>
      </c>
      <c r="F662" t="s">
        <v>522</v>
      </c>
      <c r="G662" t="s">
        <v>22</v>
      </c>
      <c r="H662" t="s">
        <v>22</v>
      </c>
      <c r="I662" t="s">
        <v>22</v>
      </c>
      <c r="J662" t="s">
        <v>523</v>
      </c>
      <c r="K662" t="s">
        <v>22</v>
      </c>
      <c r="L662" t="s">
        <v>524</v>
      </c>
      <c r="N662" t="s">
        <v>1796</v>
      </c>
      <c r="O662" t="s">
        <v>1797</v>
      </c>
      <c r="P662" t="s">
        <v>165</v>
      </c>
      <c r="Q662" t="s">
        <v>1735</v>
      </c>
      <c r="R662">
        <v>586196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586196</v>
      </c>
      <c r="Z662">
        <v>282300</v>
      </c>
      <c r="AA662">
        <v>282300</v>
      </c>
      <c r="AB662">
        <v>282300</v>
      </c>
      <c r="AC662">
        <v>282300</v>
      </c>
      <c r="AD662">
        <v>303896</v>
      </c>
      <c r="AE662">
        <v>48.16</v>
      </c>
    </row>
    <row r="663" spans="1:31" x14ac:dyDescent="0.2">
      <c r="A663" t="s">
        <v>1730</v>
      </c>
      <c r="B663" t="s">
        <v>519</v>
      </c>
      <c r="C663" t="s">
        <v>22</v>
      </c>
      <c r="D663" t="s">
        <v>520</v>
      </c>
      <c r="E663" t="s">
        <v>521</v>
      </c>
      <c r="F663" t="s">
        <v>522</v>
      </c>
      <c r="G663" t="s">
        <v>22</v>
      </c>
      <c r="H663" t="s">
        <v>22</v>
      </c>
      <c r="I663" t="s">
        <v>22</v>
      </c>
      <c r="J663" t="s">
        <v>523</v>
      </c>
      <c r="K663" t="s">
        <v>22</v>
      </c>
      <c r="L663" t="s">
        <v>524</v>
      </c>
      <c r="N663" t="s">
        <v>1798</v>
      </c>
      <c r="O663" t="s">
        <v>1799</v>
      </c>
      <c r="P663" t="s">
        <v>181</v>
      </c>
      <c r="Q663" t="s">
        <v>1738</v>
      </c>
      <c r="R663">
        <v>376620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376620</v>
      </c>
      <c r="Z663">
        <v>138100</v>
      </c>
      <c r="AA663">
        <v>138100</v>
      </c>
      <c r="AB663">
        <v>138100</v>
      </c>
      <c r="AC663">
        <v>138100</v>
      </c>
      <c r="AD663">
        <v>238520</v>
      </c>
      <c r="AE663">
        <v>36.67</v>
      </c>
    </row>
    <row r="664" spans="1:31" x14ac:dyDescent="0.2">
      <c r="A664" t="s">
        <v>1730</v>
      </c>
      <c r="B664" t="s">
        <v>519</v>
      </c>
      <c r="C664" t="s">
        <v>22</v>
      </c>
      <c r="D664" t="s">
        <v>520</v>
      </c>
      <c r="E664" t="s">
        <v>521</v>
      </c>
      <c r="F664" t="s">
        <v>522</v>
      </c>
      <c r="G664" t="s">
        <v>22</v>
      </c>
      <c r="H664" t="s">
        <v>22</v>
      </c>
      <c r="I664" t="s">
        <v>22</v>
      </c>
      <c r="J664" t="s">
        <v>523</v>
      </c>
      <c r="K664" t="s">
        <v>22</v>
      </c>
      <c r="L664" t="s">
        <v>524</v>
      </c>
      <c r="N664" t="s">
        <v>586</v>
      </c>
      <c r="O664" t="s">
        <v>587</v>
      </c>
      <c r="P664" t="s">
        <v>22</v>
      </c>
      <c r="Q664" t="s">
        <v>527</v>
      </c>
      <c r="R664">
        <v>4963707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4963707</v>
      </c>
      <c r="Z664">
        <v>3072147</v>
      </c>
      <c r="AA664">
        <v>3072147</v>
      </c>
      <c r="AB664">
        <v>3072147</v>
      </c>
      <c r="AC664">
        <v>3072147</v>
      </c>
      <c r="AD664">
        <v>1891560</v>
      </c>
      <c r="AE664">
        <v>61.89</v>
      </c>
    </row>
    <row r="665" spans="1:31" x14ac:dyDescent="0.2">
      <c r="A665" t="s">
        <v>1730</v>
      </c>
      <c r="B665" t="s">
        <v>519</v>
      </c>
      <c r="C665" t="s">
        <v>22</v>
      </c>
      <c r="D665" t="s">
        <v>520</v>
      </c>
      <c r="E665" t="s">
        <v>521</v>
      </c>
      <c r="F665" t="s">
        <v>522</v>
      </c>
      <c r="G665" t="s">
        <v>22</v>
      </c>
      <c r="H665" t="s">
        <v>22</v>
      </c>
      <c r="I665" t="s">
        <v>22</v>
      </c>
      <c r="J665" t="s">
        <v>523</v>
      </c>
      <c r="K665" t="s">
        <v>22</v>
      </c>
      <c r="L665" t="s">
        <v>524</v>
      </c>
      <c r="N665" t="s">
        <v>588</v>
      </c>
      <c r="O665" t="s">
        <v>551</v>
      </c>
      <c r="P665" t="s">
        <v>22</v>
      </c>
      <c r="Q665" t="s">
        <v>527</v>
      </c>
      <c r="R665">
        <v>4963707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4963707</v>
      </c>
      <c r="Z665">
        <v>3072147</v>
      </c>
      <c r="AA665">
        <v>3072147</v>
      </c>
      <c r="AB665">
        <v>3072147</v>
      </c>
      <c r="AC665">
        <v>3072147</v>
      </c>
      <c r="AD665">
        <v>1891560</v>
      </c>
      <c r="AE665">
        <v>61.89</v>
      </c>
    </row>
    <row r="666" spans="1:31" x14ac:dyDescent="0.2">
      <c r="A666" t="s">
        <v>1730</v>
      </c>
      <c r="B666" t="s">
        <v>519</v>
      </c>
      <c r="C666" t="s">
        <v>22</v>
      </c>
      <c r="D666" t="s">
        <v>520</v>
      </c>
      <c r="E666" t="s">
        <v>521</v>
      </c>
      <c r="F666" t="s">
        <v>522</v>
      </c>
      <c r="G666" t="s">
        <v>22</v>
      </c>
      <c r="H666" t="s">
        <v>22</v>
      </c>
      <c r="I666" t="s">
        <v>22</v>
      </c>
      <c r="J666" t="s">
        <v>523</v>
      </c>
      <c r="K666" t="s">
        <v>22</v>
      </c>
      <c r="L666" t="s">
        <v>524</v>
      </c>
      <c r="N666" t="s">
        <v>589</v>
      </c>
      <c r="O666" t="s">
        <v>590</v>
      </c>
      <c r="P666" t="s">
        <v>22</v>
      </c>
      <c r="Q666" t="s">
        <v>527</v>
      </c>
      <c r="R666">
        <v>4451250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4451250</v>
      </c>
      <c r="Z666">
        <v>2818321</v>
      </c>
      <c r="AA666">
        <v>2818321</v>
      </c>
      <c r="AB666">
        <v>2818321</v>
      </c>
      <c r="AC666">
        <v>2818321</v>
      </c>
      <c r="AD666">
        <v>1632929</v>
      </c>
      <c r="AE666">
        <v>63.32</v>
      </c>
    </row>
    <row r="667" spans="1:31" x14ac:dyDescent="0.2">
      <c r="A667" t="s">
        <v>1730</v>
      </c>
      <c r="B667" t="s">
        <v>519</v>
      </c>
      <c r="C667" t="s">
        <v>22</v>
      </c>
      <c r="D667" t="s">
        <v>520</v>
      </c>
      <c r="E667" t="s">
        <v>521</v>
      </c>
      <c r="F667" t="s">
        <v>522</v>
      </c>
      <c r="G667" t="s">
        <v>22</v>
      </c>
      <c r="H667" t="s">
        <v>22</v>
      </c>
      <c r="I667" t="s">
        <v>22</v>
      </c>
      <c r="J667" t="s">
        <v>523</v>
      </c>
      <c r="K667" t="s">
        <v>22</v>
      </c>
      <c r="L667" t="s">
        <v>524</v>
      </c>
      <c r="N667" t="s">
        <v>1800</v>
      </c>
      <c r="O667" t="s">
        <v>1801</v>
      </c>
      <c r="P667" t="s">
        <v>165</v>
      </c>
      <c r="Q667" t="s">
        <v>1735</v>
      </c>
      <c r="R667">
        <v>3000000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3000000</v>
      </c>
      <c r="Z667">
        <v>2818321</v>
      </c>
      <c r="AA667">
        <v>2818321</v>
      </c>
      <c r="AB667">
        <v>2818321</v>
      </c>
      <c r="AC667">
        <v>2818321</v>
      </c>
      <c r="AD667">
        <v>181679</v>
      </c>
      <c r="AE667">
        <v>93.94</v>
      </c>
    </row>
    <row r="668" spans="1:31" x14ac:dyDescent="0.2">
      <c r="A668" t="s">
        <v>1730</v>
      </c>
      <c r="B668" t="s">
        <v>519</v>
      </c>
      <c r="C668" t="s">
        <v>22</v>
      </c>
      <c r="D668" t="s">
        <v>520</v>
      </c>
      <c r="E668" t="s">
        <v>521</v>
      </c>
      <c r="F668" t="s">
        <v>522</v>
      </c>
      <c r="G668" t="s">
        <v>22</v>
      </c>
      <c r="H668" t="s">
        <v>22</v>
      </c>
      <c r="I668" t="s">
        <v>22</v>
      </c>
      <c r="J668" t="s">
        <v>523</v>
      </c>
      <c r="K668" t="s">
        <v>22</v>
      </c>
      <c r="L668" t="s">
        <v>524</v>
      </c>
      <c r="N668" t="s">
        <v>1802</v>
      </c>
      <c r="O668" t="s">
        <v>1803</v>
      </c>
      <c r="P668" t="s">
        <v>165</v>
      </c>
      <c r="Q668" t="s">
        <v>1735</v>
      </c>
      <c r="R668">
        <v>1451250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1451250</v>
      </c>
      <c r="Z668">
        <v>0</v>
      </c>
      <c r="AA668">
        <v>0</v>
      </c>
      <c r="AB668">
        <v>0</v>
      </c>
      <c r="AC668">
        <v>0</v>
      </c>
      <c r="AD668">
        <v>1451250</v>
      </c>
      <c r="AE668">
        <v>0</v>
      </c>
    </row>
    <row r="669" spans="1:31" x14ac:dyDescent="0.2">
      <c r="A669" t="s">
        <v>1730</v>
      </c>
      <c r="B669" t="s">
        <v>519</v>
      </c>
      <c r="C669" t="s">
        <v>22</v>
      </c>
      <c r="D669" t="s">
        <v>520</v>
      </c>
      <c r="E669" t="s">
        <v>521</v>
      </c>
      <c r="F669" t="s">
        <v>522</v>
      </c>
      <c r="G669" t="s">
        <v>22</v>
      </c>
      <c r="H669" t="s">
        <v>22</v>
      </c>
      <c r="I669" t="s">
        <v>22</v>
      </c>
      <c r="J669" t="s">
        <v>523</v>
      </c>
      <c r="K669" t="s">
        <v>22</v>
      </c>
      <c r="L669" t="s">
        <v>524</v>
      </c>
      <c r="N669" t="s">
        <v>591</v>
      </c>
      <c r="O669" t="s">
        <v>592</v>
      </c>
      <c r="P669" t="s">
        <v>22</v>
      </c>
      <c r="Q669" t="s">
        <v>527</v>
      </c>
      <c r="R669">
        <v>116153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116153</v>
      </c>
      <c r="Z669">
        <v>0</v>
      </c>
      <c r="AA669">
        <v>0</v>
      </c>
      <c r="AB669">
        <v>0</v>
      </c>
      <c r="AC669">
        <v>0</v>
      </c>
      <c r="AD669">
        <v>116153</v>
      </c>
      <c r="AE669">
        <v>0</v>
      </c>
    </row>
    <row r="670" spans="1:31" x14ac:dyDescent="0.2">
      <c r="A670" t="s">
        <v>1730</v>
      </c>
      <c r="B670" t="s">
        <v>519</v>
      </c>
      <c r="C670" t="s">
        <v>22</v>
      </c>
      <c r="D670" t="s">
        <v>520</v>
      </c>
      <c r="E670" t="s">
        <v>521</v>
      </c>
      <c r="F670" t="s">
        <v>522</v>
      </c>
      <c r="G670" t="s">
        <v>22</v>
      </c>
      <c r="H670" t="s">
        <v>22</v>
      </c>
      <c r="I670" t="s">
        <v>22</v>
      </c>
      <c r="J670" t="s">
        <v>523</v>
      </c>
      <c r="K670" t="s">
        <v>22</v>
      </c>
      <c r="L670" t="s">
        <v>524</v>
      </c>
      <c r="N670" t="s">
        <v>1804</v>
      </c>
      <c r="O670" t="s">
        <v>1805</v>
      </c>
      <c r="P670" t="s">
        <v>165</v>
      </c>
      <c r="Q670" t="s">
        <v>1735</v>
      </c>
      <c r="R670">
        <v>66153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66153</v>
      </c>
      <c r="Z670">
        <v>0</v>
      </c>
      <c r="AA670">
        <v>0</v>
      </c>
      <c r="AB670">
        <v>0</v>
      </c>
      <c r="AC670">
        <v>0</v>
      </c>
      <c r="AD670">
        <v>66153</v>
      </c>
      <c r="AE670">
        <v>0</v>
      </c>
    </row>
    <row r="671" spans="1:31" x14ac:dyDescent="0.2">
      <c r="A671" t="s">
        <v>1730</v>
      </c>
      <c r="B671" t="s">
        <v>519</v>
      </c>
      <c r="C671" t="s">
        <v>22</v>
      </c>
      <c r="D671" t="s">
        <v>520</v>
      </c>
      <c r="E671" t="s">
        <v>521</v>
      </c>
      <c r="F671" t="s">
        <v>522</v>
      </c>
      <c r="G671" t="s">
        <v>22</v>
      </c>
      <c r="H671" t="s">
        <v>22</v>
      </c>
      <c r="I671" t="s">
        <v>22</v>
      </c>
      <c r="J671" t="s">
        <v>523</v>
      </c>
      <c r="K671" t="s">
        <v>22</v>
      </c>
      <c r="L671" t="s">
        <v>524</v>
      </c>
      <c r="N671" t="s">
        <v>1806</v>
      </c>
      <c r="O671" t="s">
        <v>1807</v>
      </c>
      <c r="P671" t="s">
        <v>176</v>
      </c>
      <c r="Q671" t="s">
        <v>1733</v>
      </c>
      <c r="R671">
        <v>50000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50000</v>
      </c>
      <c r="Z671">
        <v>0</v>
      </c>
      <c r="AA671">
        <v>0</v>
      </c>
      <c r="AB671">
        <v>0</v>
      </c>
      <c r="AC671">
        <v>0</v>
      </c>
      <c r="AD671">
        <v>50000</v>
      </c>
      <c r="AE671">
        <v>0</v>
      </c>
    </row>
    <row r="672" spans="1:31" x14ac:dyDescent="0.2">
      <c r="A672" t="s">
        <v>1730</v>
      </c>
      <c r="B672" t="s">
        <v>519</v>
      </c>
      <c r="C672" t="s">
        <v>22</v>
      </c>
      <c r="D672" t="s">
        <v>520</v>
      </c>
      <c r="E672" t="s">
        <v>521</v>
      </c>
      <c r="F672" t="s">
        <v>522</v>
      </c>
      <c r="G672" t="s">
        <v>22</v>
      </c>
      <c r="H672" t="s">
        <v>22</v>
      </c>
      <c r="I672" t="s">
        <v>22</v>
      </c>
      <c r="J672" t="s">
        <v>523</v>
      </c>
      <c r="K672" t="s">
        <v>22</v>
      </c>
      <c r="L672" t="s">
        <v>524</v>
      </c>
      <c r="N672" t="s">
        <v>593</v>
      </c>
      <c r="O672" t="s">
        <v>594</v>
      </c>
      <c r="P672" t="s">
        <v>22</v>
      </c>
      <c r="Q672" t="s">
        <v>527</v>
      </c>
      <c r="R672">
        <v>396304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396304</v>
      </c>
      <c r="Z672">
        <v>253826</v>
      </c>
      <c r="AA672">
        <v>253826</v>
      </c>
      <c r="AB672">
        <v>253826</v>
      </c>
      <c r="AC672">
        <v>253826</v>
      </c>
      <c r="AD672">
        <v>142478</v>
      </c>
      <c r="AE672">
        <v>64.05</v>
      </c>
    </row>
    <row r="673" spans="1:31" x14ac:dyDescent="0.2">
      <c r="A673" t="s">
        <v>1730</v>
      </c>
      <c r="B673" t="s">
        <v>519</v>
      </c>
      <c r="C673" t="s">
        <v>22</v>
      </c>
      <c r="D673" t="s">
        <v>520</v>
      </c>
      <c r="E673" t="s">
        <v>521</v>
      </c>
      <c r="F673" t="s">
        <v>522</v>
      </c>
      <c r="G673" t="s">
        <v>22</v>
      </c>
      <c r="H673" t="s">
        <v>22</v>
      </c>
      <c r="I673" t="s">
        <v>22</v>
      </c>
      <c r="J673" t="s">
        <v>523</v>
      </c>
      <c r="K673" t="s">
        <v>22</v>
      </c>
      <c r="L673" t="s">
        <v>524</v>
      </c>
      <c r="N673" t="s">
        <v>1808</v>
      </c>
      <c r="O673" t="s">
        <v>1809</v>
      </c>
      <c r="P673" t="s">
        <v>165</v>
      </c>
      <c r="Q673" t="s">
        <v>1735</v>
      </c>
      <c r="R673">
        <v>265913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265913</v>
      </c>
      <c r="Z673">
        <v>253826</v>
      </c>
      <c r="AA673">
        <v>253826</v>
      </c>
      <c r="AB673">
        <v>253826</v>
      </c>
      <c r="AC673">
        <v>253826</v>
      </c>
      <c r="AD673">
        <v>12087</v>
      </c>
      <c r="AE673">
        <v>95.45</v>
      </c>
    </row>
    <row r="674" spans="1:31" x14ac:dyDescent="0.2">
      <c r="A674" t="s">
        <v>1730</v>
      </c>
      <c r="B674" t="s">
        <v>519</v>
      </c>
      <c r="C674" t="s">
        <v>22</v>
      </c>
      <c r="D674" t="s">
        <v>520</v>
      </c>
      <c r="E674" t="s">
        <v>521</v>
      </c>
      <c r="F674" t="s">
        <v>522</v>
      </c>
      <c r="G674" t="s">
        <v>22</v>
      </c>
      <c r="H674" t="s">
        <v>22</v>
      </c>
      <c r="I674" t="s">
        <v>22</v>
      </c>
      <c r="J674" t="s">
        <v>523</v>
      </c>
      <c r="K674" t="s">
        <v>22</v>
      </c>
      <c r="L674" t="s">
        <v>524</v>
      </c>
      <c r="N674" t="s">
        <v>1810</v>
      </c>
      <c r="O674" t="s">
        <v>1811</v>
      </c>
      <c r="P674" t="s">
        <v>181</v>
      </c>
      <c r="Q674" t="s">
        <v>1738</v>
      </c>
      <c r="R674">
        <v>130391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130391</v>
      </c>
      <c r="Z674">
        <v>0</v>
      </c>
      <c r="AA674">
        <v>0</v>
      </c>
      <c r="AB674">
        <v>0</v>
      </c>
      <c r="AC674">
        <v>0</v>
      </c>
      <c r="AD674">
        <v>130391</v>
      </c>
      <c r="AE674">
        <v>0</v>
      </c>
    </row>
    <row r="675" spans="1:31" x14ac:dyDescent="0.2">
      <c r="A675" t="s">
        <v>1730</v>
      </c>
      <c r="B675" t="s">
        <v>519</v>
      </c>
      <c r="C675" t="s">
        <v>22</v>
      </c>
      <c r="D675" t="s">
        <v>520</v>
      </c>
      <c r="E675" t="s">
        <v>521</v>
      </c>
      <c r="F675" t="s">
        <v>522</v>
      </c>
      <c r="G675" t="s">
        <v>22</v>
      </c>
      <c r="H675" t="s">
        <v>22</v>
      </c>
      <c r="I675" t="s">
        <v>22</v>
      </c>
      <c r="J675" t="s">
        <v>523</v>
      </c>
      <c r="K675" t="s">
        <v>22</v>
      </c>
      <c r="L675" t="s">
        <v>524</v>
      </c>
      <c r="N675" t="s">
        <v>601</v>
      </c>
      <c r="O675" t="s">
        <v>602</v>
      </c>
      <c r="P675" t="s">
        <v>22</v>
      </c>
      <c r="Q675" t="s">
        <v>527</v>
      </c>
      <c r="R675">
        <v>62277292</v>
      </c>
      <c r="S675">
        <v>0</v>
      </c>
      <c r="T675">
        <v>0</v>
      </c>
      <c r="U675">
        <v>0</v>
      </c>
      <c r="V675">
        <v>700000</v>
      </c>
      <c r="W675">
        <v>0</v>
      </c>
      <c r="X675">
        <v>0</v>
      </c>
      <c r="Y675">
        <v>61577292</v>
      </c>
      <c r="Z675">
        <v>12833333</v>
      </c>
      <c r="AA675">
        <v>12833333</v>
      </c>
      <c r="AB675">
        <v>10633333</v>
      </c>
      <c r="AC675">
        <v>10633333</v>
      </c>
      <c r="AD675">
        <v>48743959</v>
      </c>
      <c r="AE675">
        <v>20.84</v>
      </c>
    </row>
    <row r="676" spans="1:31" x14ac:dyDescent="0.2">
      <c r="A676" t="s">
        <v>1730</v>
      </c>
      <c r="B676" t="s">
        <v>519</v>
      </c>
      <c r="C676" t="s">
        <v>22</v>
      </c>
      <c r="D676" t="s">
        <v>520</v>
      </c>
      <c r="E676" t="s">
        <v>521</v>
      </c>
      <c r="F676" t="s">
        <v>522</v>
      </c>
      <c r="G676" t="s">
        <v>22</v>
      </c>
      <c r="H676" t="s">
        <v>22</v>
      </c>
      <c r="I676" t="s">
        <v>22</v>
      </c>
      <c r="J676" t="s">
        <v>523</v>
      </c>
      <c r="K676" t="s">
        <v>22</v>
      </c>
      <c r="L676" t="s">
        <v>524</v>
      </c>
      <c r="N676" t="s">
        <v>625</v>
      </c>
      <c r="O676" t="s">
        <v>626</v>
      </c>
      <c r="P676" t="s">
        <v>22</v>
      </c>
      <c r="Q676" t="s">
        <v>527</v>
      </c>
      <c r="R676">
        <v>62277292</v>
      </c>
      <c r="S676">
        <v>0</v>
      </c>
      <c r="T676">
        <v>0</v>
      </c>
      <c r="U676">
        <v>0</v>
      </c>
      <c r="V676">
        <v>700000</v>
      </c>
      <c r="W676">
        <v>0</v>
      </c>
      <c r="X676">
        <v>0</v>
      </c>
      <c r="Y676">
        <v>61577292</v>
      </c>
      <c r="Z676">
        <v>12833333</v>
      </c>
      <c r="AA676">
        <v>12833333</v>
      </c>
      <c r="AB676">
        <v>10633333</v>
      </c>
      <c r="AC676">
        <v>10633333</v>
      </c>
      <c r="AD676">
        <v>48743959</v>
      </c>
      <c r="AE676">
        <v>20.84</v>
      </c>
    </row>
    <row r="677" spans="1:31" x14ac:dyDescent="0.2">
      <c r="A677" t="s">
        <v>1730</v>
      </c>
      <c r="B677" t="s">
        <v>519</v>
      </c>
      <c r="C677" t="s">
        <v>22</v>
      </c>
      <c r="D677" t="s">
        <v>520</v>
      </c>
      <c r="E677" t="s">
        <v>521</v>
      </c>
      <c r="F677" t="s">
        <v>522</v>
      </c>
      <c r="G677" t="s">
        <v>22</v>
      </c>
      <c r="H677" t="s">
        <v>22</v>
      </c>
      <c r="I677" t="s">
        <v>22</v>
      </c>
      <c r="J677" t="s">
        <v>523</v>
      </c>
      <c r="K677" t="s">
        <v>22</v>
      </c>
      <c r="L677" t="s">
        <v>524</v>
      </c>
      <c r="N677" t="s">
        <v>627</v>
      </c>
      <c r="O677" t="s">
        <v>628</v>
      </c>
      <c r="P677" t="s">
        <v>22</v>
      </c>
      <c r="Q677" t="s">
        <v>527</v>
      </c>
      <c r="R677">
        <v>3638917</v>
      </c>
      <c r="S677">
        <v>0</v>
      </c>
      <c r="T677">
        <v>0</v>
      </c>
      <c r="U677">
        <v>0</v>
      </c>
      <c r="V677">
        <v>700000</v>
      </c>
      <c r="W677">
        <v>0</v>
      </c>
      <c r="X677">
        <v>0</v>
      </c>
      <c r="Y677">
        <v>2938917</v>
      </c>
      <c r="Z677">
        <v>0</v>
      </c>
      <c r="AA677">
        <v>0</v>
      </c>
      <c r="AB677">
        <v>0</v>
      </c>
      <c r="AC677">
        <v>0</v>
      </c>
      <c r="AD677">
        <v>2938917</v>
      </c>
      <c r="AE677">
        <v>0</v>
      </c>
    </row>
    <row r="678" spans="1:31" x14ac:dyDescent="0.2">
      <c r="A678" t="s">
        <v>1730</v>
      </c>
      <c r="B678" t="s">
        <v>519</v>
      </c>
      <c r="C678" t="s">
        <v>22</v>
      </c>
      <c r="D678" t="s">
        <v>520</v>
      </c>
      <c r="E678" t="s">
        <v>521</v>
      </c>
      <c r="F678" t="s">
        <v>522</v>
      </c>
      <c r="G678" t="s">
        <v>22</v>
      </c>
      <c r="H678" t="s">
        <v>22</v>
      </c>
      <c r="I678" t="s">
        <v>22</v>
      </c>
      <c r="J678" t="s">
        <v>523</v>
      </c>
      <c r="K678" t="s">
        <v>22</v>
      </c>
      <c r="L678" t="s">
        <v>524</v>
      </c>
      <c r="N678" t="s">
        <v>635</v>
      </c>
      <c r="O678" t="s">
        <v>636</v>
      </c>
      <c r="P678" t="s">
        <v>22</v>
      </c>
      <c r="Q678" t="s">
        <v>527</v>
      </c>
      <c r="R678">
        <v>3638917</v>
      </c>
      <c r="S678">
        <v>0</v>
      </c>
      <c r="T678">
        <v>0</v>
      </c>
      <c r="U678">
        <v>0</v>
      </c>
      <c r="V678">
        <v>700000</v>
      </c>
      <c r="W678">
        <v>0</v>
      </c>
      <c r="X678">
        <v>0</v>
      </c>
      <c r="Y678">
        <v>2938917</v>
      </c>
      <c r="Z678">
        <v>0</v>
      </c>
      <c r="AA678">
        <v>0</v>
      </c>
      <c r="AB678">
        <v>0</v>
      </c>
      <c r="AC678">
        <v>0</v>
      </c>
      <c r="AD678">
        <v>2938917</v>
      </c>
      <c r="AE678">
        <v>0</v>
      </c>
    </row>
    <row r="679" spans="1:31" x14ac:dyDescent="0.2">
      <c r="A679" t="s">
        <v>1730</v>
      </c>
      <c r="B679" t="s">
        <v>519</v>
      </c>
      <c r="C679" t="s">
        <v>22</v>
      </c>
      <c r="D679" t="s">
        <v>520</v>
      </c>
      <c r="E679" t="s">
        <v>521</v>
      </c>
      <c r="F679" t="s">
        <v>522</v>
      </c>
      <c r="G679" t="s">
        <v>22</v>
      </c>
      <c r="H679" t="s">
        <v>22</v>
      </c>
      <c r="I679" t="s">
        <v>22</v>
      </c>
      <c r="J679" t="s">
        <v>523</v>
      </c>
      <c r="K679" t="s">
        <v>22</v>
      </c>
      <c r="L679" t="s">
        <v>524</v>
      </c>
      <c r="N679" t="s">
        <v>639</v>
      </c>
      <c r="O679" t="s">
        <v>640</v>
      </c>
      <c r="P679" t="s">
        <v>165</v>
      </c>
      <c r="Q679" t="s">
        <v>1735</v>
      </c>
      <c r="R679">
        <v>3638917</v>
      </c>
      <c r="S679">
        <v>0</v>
      </c>
      <c r="T679">
        <v>0</v>
      </c>
      <c r="U679">
        <v>0</v>
      </c>
      <c r="V679">
        <v>700000</v>
      </c>
      <c r="W679">
        <v>0</v>
      </c>
      <c r="X679">
        <v>0</v>
      </c>
      <c r="Y679">
        <v>2938917</v>
      </c>
      <c r="Z679">
        <v>0</v>
      </c>
      <c r="AA679">
        <v>0</v>
      </c>
      <c r="AB679">
        <v>0</v>
      </c>
      <c r="AC679">
        <v>0</v>
      </c>
      <c r="AD679">
        <v>2938917</v>
      </c>
      <c r="AE679">
        <v>0</v>
      </c>
    </row>
    <row r="680" spans="1:31" x14ac:dyDescent="0.2">
      <c r="A680" t="s">
        <v>1730</v>
      </c>
      <c r="B680" t="s">
        <v>519</v>
      </c>
      <c r="C680" t="s">
        <v>22</v>
      </c>
      <c r="D680" t="s">
        <v>520</v>
      </c>
      <c r="E680" t="s">
        <v>521</v>
      </c>
      <c r="F680" t="s">
        <v>522</v>
      </c>
      <c r="G680" t="s">
        <v>22</v>
      </c>
      <c r="H680" t="s">
        <v>22</v>
      </c>
      <c r="I680" t="s">
        <v>22</v>
      </c>
      <c r="J680" t="s">
        <v>523</v>
      </c>
      <c r="K680" t="s">
        <v>22</v>
      </c>
      <c r="L680" t="s">
        <v>524</v>
      </c>
      <c r="N680" t="s">
        <v>649</v>
      </c>
      <c r="O680" t="s">
        <v>650</v>
      </c>
      <c r="P680" t="s">
        <v>22</v>
      </c>
      <c r="Q680" t="s">
        <v>527</v>
      </c>
      <c r="R680">
        <v>58638375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58638375</v>
      </c>
      <c r="Z680">
        <v>12833333</v>
      </c>
      <c r="AA680">
        <v>12833333</v>
      </c>
      <c r="AB680">
        <v>10633333</v>
      </c>
      <c r="AC680">
        <v>10633333</v>
      </c>
      <c r="AD680">
        <v>45805042</v>
      </c>
      <c r="AE680">
        <v>21.89</v>
      </c>
    </row>
    <row r="681" spans="1:31" x14ac:dyDescent="0.2">
      <c r="A681" t="s">
        <v>1730</v>
      </c>
      <c r="B681" t="s">
        <v>519</v>
      </c>
      <c r="C681" t="s">
        <v>22</v>
      </c>
      <c r="D681" t="s">
        <v>520</v>
      </c>
      <c r="E681" t="s">
        <v>521</v>
      </c>
      <c r="F681" t="s">
        <v>522</v>
      </c>
      <c r="G681" t="s">
        <v>22</v>
      </c>
      <c r="H681" t="s">
        <v>22</v>
      </c>
      <c r="I681" t="s">
        <v>22</v>
      </c>
      <c r="J681" t="s">
        <v>523</v>
      </c>
      <c r="K681" t="s">
        <v>22</v>
      </c>
      <c r="L681" t="s">
        <v>524</v>
      </c>
      <c r="N681" t="s">
        <v>674</v>
      </c>
      <c r="O681" t="s">
        <v>675</v>
      </c>
      <c r="P681" t="s">
        <v>22</v>
      </c>
      <c r="Q681" t="s">
        <v>527</v>
      </c>
      <c r="R681">
        <v>58638375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58638375</v>
      </c>
      <c r="Z681">
        <v>12833333</v>
      </c>
      <c r="AA681">
        <v>12833333</v>
      </c>
      <c r="AB681">
        <v>10633333</v>
      </c>
      <c r="AC681">
        <v>10633333</v>
      </c>
      <c r="AD681">
        <v>45805042</v>
      </c>
      <c r="AE681">
        <v>21.89</v>
      </c>
    </row>
    <row r="682" spans="1:31" x14ac:dyDescent="0.2">
      <c r="A682" t="s">
        <v>1730</v>
      </c>
      <c r="B682" t="s">
        <v>519</v>
      </c>
      <c r="C682" t="s">
        <v>22</v>
      </c>
      <c r="D682" t="s">
        <v>520</v>
      </c>
      <c r="E682" t="s">
        <v>521</v>
      </c>
      <c r="F682" t="s">
        <v>522</v>
      </c>
      <c r="G682" t="s">
        <v>22</v>
      </c>
      <c r="H682" t="s">
        <v>22</v>
      </c>
      <c r="I682" t="s">
        <v>692</v>
      </c>
      <c r="J682" t="s">
        <v>693</v>
      </c>
      <c r="K682" t="s">
        <v>22</v>
      </c>
      <c r="L682" t="s">
        <v>524</v>
      </c>
      <c r="N682" t="s">
        <v>678</v>
      </c>
      <c r="O682" t="s">
        <v>1812</v>
      </c>
      <c r="P682" t="s">
        <v>181</v>
      </c>
      <c r="Q682" t="s">
        <v>1738</v>
      </c>
      <c r="R682">
        <v>213826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213826</v>
      </c>
      <c r="Z682">
        <v>0</v>
      </c>
      <c r="AA682">
        <v>0</v>
      </c>
      <c r="AB682">
        <v>0</v>
      </c>
      <c r="AC682">
        <v>0</v>
      </c>
      <c r="AD682">
        <v>213826</v>
      </c>
      <c r="AE682">
        <v>0</v>
      </c>
    </row>
    <row r="683" spans="1:31" x14ac:dyDescent="0.2">
      <c r="A683" t="s">
        <v>1730</v>
      </c>
      <c r="B683" t="s">
        <v>519</v>
      </c>
      <c r="C683" t="s">
        <v>22</v>
      </c>
      <c r="D683" t="s">
        <v>520</v>
      </c>
      <c r="E683" t="s">
        <v>521</v>
      </c>
      <c r="F683" t="s">
        <v>522</v>
      </c>
      <c r="G683" t="s">
        <v>22</v>
      </c>
      <c r="H683" t="s">
        <v>22</v>
      </c>
      <c r="I683" t="s">
        <v>692</v>
      </c>
      <c r="J683" t="s">
        <v>693</v>
      </c>
      <c r="K683" t="s">
        <v>22</v>
      </c>
      <c r="L683" t="s">
        <v>524</v>
      </c>
      <c r="N683" t="s">
        <v>1813</v>
      </c>
      <c r="O683" t="s">
        <v>1812</v>
      </c>
      <c r="P683" t="s">
        <v>165</v>
      </c>
      <c r="Q683" t="s">
        <v>1735</v>
      </c>
      <c r="R683">
        <v>40295816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40295816</v>
      </c>
      <c r="Z683">
        <v>12833333</v>
      </c>
      <c r="AA683">
        <v>12833333</v>
      </c>
      <c r="AB683">
        <v>10633333</v>
      </c>
      <c r="AC683">
        <v>10633333</v>
      </c>
      <c r="AD683">
        <v>27462483</v>
      </c>
      <c r="AE683">
        <v>31.85</v>
      </c>
    </row>
    <row r="684" spans="1:31" x14ac:dyDescent="0.2">
      <c r="A684" t="s">
        <v>1730</v>
      </c>
      <c r="B684" t="s">
        <v>519</v>
      </c>
      <c r="C684" t="s">
        <v>22</v>
      </c>
      <c r="D684" t="s">
        <v>520</v>
      </c>
      <c r="E684" t="s">
        <v>521</v>
      </c>
      <c r="F684" t="s">
        <v>522</v>
      </c>
      <c r="G684" t="s">
        <v>22</v>
      </c>
      <c r="H684" t="s">
        <v>22</v>
      </c>
      <c r="I684" t="s">
        <v>692</v>
      </c>
      <c r="J684" t="s">
        <v>693</v>
      </c>
      <c r="K684" t="s">
        <v>22</v>
      </c>
      <c r="L684" t="s">
        <v>524</v>
      </c>
      <c r="N684" t="s">
        <v>1814</v>
      </c>
      <c r="O684" t="s">
        <v>1812</v>
      </c>
      <c r="P684" t="s">
        <v>176</v>
      </c>
      <c r="Q684" t="s">
        <v>1733</v>
      </c>
      <c r="R684">
        <v>17585333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17585333</v>
      </c>
      <c r="Z684">
        <v>0</v>
      </c>
      <c r="AA684">
        <v>0</v>
      </c>
      <c r="AB684">
        <v>0</v>
      </c>
      <c r="AC684">
        <v>0</v>
      </c>
      <c r="AD684">
        <v>17585333</v>
      </c>
      <c r="AE684">
        <v>0</v>
      </c>
    </row>
    <row r="685" spans="1:31" x14ac:dyDescent="0.2">
      <c r="A685" t="s">
        <v>1730</v>
      </c>
      <c r="B685" t="s">
        <v>519</v>
      </c>
      <c r="C685" t="s">
        <v>22</v>
      </c>
      <c r="D685" t="s">
        <v>520</v>
      </c>
      <c r="E685" t="s">
        <v>521</v>
      </c>
      <c r="F685" t="s">
        <v>522</v>
      </c>
      <c r="G685" t="s">
        <v>22</v>
      </c>
      <c r="H685" t="s">
        <v>22</v>
      </c>
      <c r="I685" t="s">
        <v>692</v>
      </c>
      <c r="J685" t="s">
        <v>693</v>
      </c>
      <c r="K685" t="s">
        <v>22</v>
      </c>
      <c r="L685" t="s">
        <v>524</v>
      </c>
      <c r="N685" t="s">
        <v>682</v>
      </c>
      <c r="O685" t="s">
        <v>1815</v>
      </c>
      <c r="P685" t="s">
        <v>186</v>
      </c>
      <c r="Q685" t="s">
        <v>1741</v>
      </c>
      <c r="R685">
        <v>543400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543400</v>
      </c>
      <c r="Z685">
        <v>0</v>
      </c>
      <c r="AA685">
        <v>0</v>
      </c>
      <c r="AB685">
        <v>0</v>
      </c>
      <c r="AC685">
        <v>0</v>
      </c>
      <c r="AD685">
        <v>543400</v>
      </c>
      <c r="AE685">
        <v>0</v>
      </c>
    </row>
    <row r="686" spans="1:31" x14ac:dyDescent="0.2">
      <c r="A686" t="s">
        <v>1730</v>
      </c>
      <c r="B686" t="s">
        <v>519</v>
      </c>
      <c r="C686" t="s">
        <v>22</v>
      </c>
      <c r="D686" t="s">
        <v>520</v>
      </c>
      <c r="E686" t="s">
        <v>521</v>
      </c>
      <c r="F686" t="s">
        <v>522</v>
      </c>
      <c r="G686" t="s">
        <v>22</v>
      </c>
      <c r="H686" t="s">
        <v>22</v>
      </c>
      <c r="I686" t="s">
        <v>22</v>
      </c>
      <c r="J686" t="s">
        <v>523</v>
      </c>
      <c r="K686" t="s">
        <v>22</v>
      </c>
      <c r="L686" t="s">
        <v>524</v>
      </c>
      <c r="N686" t="s">
        <v>1816</v>
      </c>
      <c r="O686" t="s">
        <v>1817</v>
      </c>
      <c r="P686" t="s">
        <v>22</v>
      </c>
      <c r="Q686" t="s">
        <v>527</v>
      </c>
      <c r="R686">
        <v>333088031</v>
      </c>
      <c r="S686">
        <v>5185550</v>
      </c>
      <c r="T686">
        <v>0</v>
      </c>
      <c r="U686">
        <v>15909800</v>
      </c>
      <c r="V686">
        <v>15209800</v>
      </c>
      <c r="W686">
        <v>0</v>
      </c>
      <c r="X686">
        <v>0</v>
      </c>
      <c r="Y686">
        <v>338973581</v>
      </c>
      <c r="Z686">
        <v>208575752.41999999</v>
      </c>
      <c r="AA686">
        <v>208574881.41999999</v>
      </c>
      <c r="AB686">
        <v>118654869.42</v>
      </c>
      <c r="AC686">
        <v>118654869.42</v>
      </c>
      <c r="AD686">
        <v>130397828.58</v>
      </c>
      <c r="AE686">
        <v>61.53</v>
      </c>
    </row>
    <row r="687" spans="1:31" x14ac:dyDescent="0.2">
      <c r="A687" t="s">
        <v>1730</v>
      </c>
      <c r="B687" t="s">
        <v>519</v>
      </c>
      <c r="C687" t="s">
        <v>22</v>
      </c>
      <c r="D687" t="s">
        <v>520</v>
      </c>
      <c r="E687" t="s">
        <v>521</v>
      </c>
      <c r="F687" t="s">
        <v>522</v>
      </c>
      <c r="G687" t="s">
        <v>22</v>
      </c>
      <c r="H687" t="s">
        <v>22</v>
      </c>
      <c r="I687" t="s">
        <v>22</v>
      </c>
      <c r="J687" t="s">
        <v>523</v>
      </c>
      <c r="K687" t="s">
        <v>22</v>
      </c>
      <c r="L687" t="s">
        <v>524</v>
      </c>
      <c r="N687" t="s">
        <v>1818</v>
      </c>
      <c r="O687" t="s">
        <v>628</v>
      </c>
      <c r="P687" t="s">
        <v>22</v>
      </c>
      <c r="Q687" t="s">
        <v>527</v>
      </c>
      <c r="R687">
        <v>92476484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92476484</v>
      </c>
      <c r="Z687">
        <v>39850000</v>
      </c>
      <c r="AA687">
        <v>39850000</v>
      </c>
      <c r="AB687">
        <v>9920193</v>
      </c>
      <c r="AC687">
        <v>9920193</v>
      </c>
      <c r="AD687">
        <v>52626484</v>
      </c>
      <c r="AE687">
        <v>43.09</v>
      </c>
    </row>
    <row r="688" spans="1:31" x14ac:dyDescent="0.2">
      <c r="A688" t="s">
        <v>1730</v>
      </c>
      <c r="B688" t="s">
        <v>519</v>
      </c>
      <c r="C688" t="s">
        <v>22</v>
      </c>
      <c r="D688" t="s">
        <v>520</v>
      </c>
      <c r="E688" t="s">
        <v>521</v>
      </c>
      <c r="F688" t="s">
        <v>522</v>
      </c>
      <c r="G688" t="s">
        <v>22</v>
      </c>
      <c r="H688" t="s">
        <v>22</v>
      </c>
      <c r="I688" t="s">
        <v>22</v>
      </c>
      <c r="J688" t="s">
        <v>523</v>
      </c>
      <c r="K688" t="s">
        <v>22</v>
      </c>
      <c r="L688" t="s">
        <v>524</v>
      </c>
      <c r="N688" t="s">
        <v>1819</v>
      </c>
      <c r="O688" t="s">
        <v>636</v>
      </c>
      <c r="P688" t="s">
        <v>22</v>
      </c>
      <c r="Q688" t="s">
        <v>527</v>
      </c>
      <c r="R688">
        <v>92476484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92476484</v>
      </c>
      <c r="Z688">
        <v>39850000</v>
      </c>
      <c r="AA688">
        <v>39850000</v>
      </c>
      <c r="AB688">
        <v>9920193</v>
      </c>
      <c r="AC688">
        <v>9920193</v>
      </c>
      <c r="AD688">
        <v>52626484</v>
      </c>
      <c r="AE688">
        <v>43.09</v>
      </c>
    </row>
    <row r="689" spans="1:31" x14ac:dyDescent="0.2">
      <c r="A689" t="s">
        <v>1730</v>
      </c>
      <c r="B689" t="s">
        <v>519</v>
      </c>
      <c r="C689" t="s">
        <v>22</v>
      </c>
      <c r="D689" t="s">
        <v>520</v>
      </c>
      <c r="E689" t="s">
        <v>521</v>
      </c>
      <c r="F689" t="s">
        <v>522</v>
      </c>
      <c r="G689" t="s">
        <v>22</v>
      </c>
      <c r="H689" t="s">
        <v>22</v>
      </c>
      <c r="I689" t="s">
        <v>22</v>
      </c>
      <c r="J689" t="s">
        <v>523</v>
      </c>
      <c r="K689" t="s">
        <v>22</v>
      </c>
      <c r="L689" t="s">
        <v>524</v>
      </c>
      <c r="N689" t="s">
        <v>1820</v>
      </c>
      <c r="O689" t="s">
        <v>1821</v>
      </c>
      <c r="P689" t="s">
        <v>165</v>
      </c>
      <c r="Q689" t="s">
        <v>1735</v>
      </c>
      <c r="R689">
        <v>1033747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1033747</v>
      </c>
      <c r="Z689">
        <v>0</v>
      </c>
      <c r="AA689">
        <v>0</v>
      </c>
      <c r="AB689">
        <v>0</v>
      </c>
      <c r="AC689">
        <v>0</v>
      </c>
      <c r="AD689">
        <v>1033747</v>
      </c>
      <c r="AE689">
        <v>0</v>
      </c>
    </row>
    <row r="690" spans="1:31" x14ac:dyDescent="0.2">
      <c r="A690" t="s">
        <v>1730</v>
      </c>
      <c r="B690" t="s">
        <v>519</v>
      </c>
      <c r="C690" t="s">
        <v>22</v>
      </c>
      <c r="D690" t="s">
        <v>520</v>
      </c>
      <c r="E690" t="s">
        <v>521</v>
      </c>
      <c r="F690" t="s">
        <v>522</v>
      </c>
      <c r="G690" t="s">
        <v>22</v>
      </c>
      <c r="H690" t="s">
        <v>22</v>
      </c>
      <c r="I690" t="s">
        <v>22</v>
      </c>
      <c r="J690" t="s">
        <v>523</v>
      </c>
      <c r="K690" t="s">
        <v>22</v>
      </c>
      <c r="L690" t="s">
        <v>524</v>
      </c>
      <c r="N690" t="s">
        <v>1822</v>
      </c>
      <c r="O690" t="s">
        <v>1823</v>
      </c>
      <c r="P690" t="s">
        <v>165</v>
      </c>
      <c r="Q690" t="s">
        <v>1735</v>
      </c>
      <c r="R690">
        <v>49566253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49566253</v>
      </c>
      <c r="Z690">
        <v>0</v>
      </c>
      <c r="AA690">
        <v>0</v>
      </c>
      <c r="AB690">
        <v>0</v>
      </c>
      <c r="AC690">
        <v>0</v>
      </c>
      <c r="AD690">
        <v>49566253</v>
      </c>
      <c r="AE690">
        <v>0</v>
      </c>
    </row>
    <row r="691" spans="1:31" x14ac:dyDescent="0.2">
      <c r="A691" t="s">
        <v>1730</v>
      </c>
      <c r="B691" t="s">
        <v>519</v>
      </c>
      <c r="C691" t="s">
        <v>22</v>
      </c>
      <c r="D691" t="s">
        <v>520</v>
      </c>
      <c r="E691" t="s">
        <v>521</v>
      </c>
      <c r="F691" t="s">
        <v>522</v>
      </c>
      <c r="G691" t="s">
        <v>22</v>
      </c>
      <c r="H691" t="s">
        <v>22</v>
      </c>
      <c r="I691" t="s">
        <v>22</v>
      </c>
      <c r="J691" t="s">
        <v>523</v>
      </c>
      <c r="K691" t="s">
        <v>22</v>
      </c>
      <c r="L691" t="s">
        <v>524</v>
      </c>
      <c r="N691" t="s">
        <v>1824</v>
      </c>
      <c r="O691" t="s">
        <v>1825</v>
      </c>
      <c r="P691" t="s">
        <v>165</v>
      </c>
      <c r="Q691" t="s">
        <v>1735</v>
      </c>
      <c r="R691">
        <v>1000000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1000000</v>
      </c>
      <c r="Z691">
        <v>0</v>
      </c>
      <c r="AA691">
        <v>0</v>
      </c>
      <c r="AB691">
        <v>0</v>
      </c>
      <c r="AC691">
        <v>0</v>
      </c>
      <c r="AD691">
        <v>1000000</v>
      </c>
      <c r="AE691">
        <v>0</v>
      </c>
    </row>
    <row r="692" spans="1:31" x14ac:dyDescent="0.2">
      <c r="A692" t="s">
        <v>1730</v>
      </c>
      <c r="B692" t="s">
        <v>519</v>
      </c>
      <c r="C692" t="s">
        <v>22</v>
      </c>
      <c r="D692" t="s">
        <v>520</v>
      </c>
      <c r="E692" t="s">
        <v>521</v>
      </c>
      <c r="F692" t="s">
        <v>522</v>
      </c>
      <c r="G692" t="s">
        <v>22</v>
      </c>
      <c r="H692" t="s">
        <v>22</v>
      </c>
      <c r="I692" t="s">
        <v>22</v>
      </c>
      <c r="J692" t="s">
        <v>523</v>
      </c>
      <c r="K692" t="s">
        <v>22</v>
      </c>
      <c r="L692" t="s">
        <v>524</v>
      </c>
      <c r="N692" t="s">
        <v>1826</v>
      </c>
      <c r="O692" t="s">
        <v>1827</v>
      </c>
      <c r="P692" t="s">
        <v>165</v>
      </c>
      <c r="Q692" t="s">
        <v>1735</v>
      </c>
      <c r="R692">
        <v>16500000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16500000</v>
      </c>
      <c r="Z692">
        <v>16500000</v>
      </c>
      <c r="AA692">
        <v>16500000</v>
      </c>
      <c r="AB692">
        <v>9920193</v>
      </c>
      <c r="AC692">
        <v>9920193</v>
      </c>
      <c r="AD692">
        <v>0</v>
      </c>
      <c r="AE692">
        <v>100</v>
      </c>
    </row>
    <row r="693" spans="1:31" x14ac:dyDescent="0.2">
      <c r="A693" t="s">
        <v>1730</v>
      </c>
      <c r="B693" t="s">
        <v>519</v>
      </c>
      <c r="C693" t="s">
        <v>22</v>
      </c>
      <c r="D693" t="s">
        <v>520</v>
      </c>
      <c r="E693" t="s">
        <v>521</v>
      </c>
      <c r="F693" t="s">
        <v>522</v>
      </c>
      <c r="G693" t="s">
        <v>22</v>
      </c>
      <c r="H693" t="s">
        <v>22</v>
      </c>
      <c r="I693" t="s">
        <v>22</v>
      </c>
      <c r="J693" t="s">
        <v>523</v>
      </c>
      <c r="K693" t="s">
        <v>22</v>
      </c>
      <c r="L693" t="s">
        <v>524</v>
      </c>
      <c r="N693" t="s">
        <v>1828</v>
      </c>
      <c r="O693" t="s">
        <v>1829</v>
      </c>
      <c r="P693" t="s">
        <v>165</v>
      </c>
      <c r="Q693" t="s">
        <v>1735</v>
      </c>
      <c r="R693">
        <v>24376484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24376484</v>
      </c>
      <c r="Z693">
        <v>23350000</v>
      </c>
      <c r="AA693">
        <v>23350000</v>
      </c>
      <c r="AB693">
        <v>0</v>
      </c>
      <c r="AC693">
        <v>0</v>
      </c>
      <c r="AD693">
        <v>1026484</v>
      </c>
      <c r="AE693">
        <v>95.79</v>
      </c>
    </row>
    <row r="694" spans="1:31" x14ac:dyDescent="0.2">
      <c r="A694" t="s">
        <v>1730</v>
      </c>
      <c r="B694" t="s">
        <v>519</v>
      </c>
      <c r="C694" t="s">
        <v>22</v>
      </c>
      <c r="D694" t="s">
        <v>520</v>
      </c>
      <c r="E694" t="s">
        <v>521</v>
      </c>
      <c r="F694" t="s">
        <v>522</v>
      </c>
      <c r="G694" t="s">
        <v>22</v>
      </c>
      <c r="H694" t="s">
        <v>22</v>
      </c>
      <c r="I694" t="s">
        <v>22</v>
      </c>
      <c r="J694" t="s">
        <v>523</v>
      </c>
      <c r="K694" t="s">
        <v>22</v>
      </c>
      <c r="L694" t="s">
        <v>524</v>
      </c>
      <c r="N694" t="s">
        <v>1830</v>
      </c>
      <c r="O694" t="s">
        <v>650</v>
      </c>
      <c r="P694" t="s">
        <v>22</v>
      </c>
      <c r="Q694" t="s">
        <v>527</v>
      </c>
      <c r="R694">
        <v>240611547</v>
      </c>
      <c r="S694">
        <v>5185550</v>
      </c>
      <c r="T694">
        <v>0</v>
      </c>
      <c r="U694">
        <v>15909800</v>
      </c>
      <c r="V694">
        <v>15209800</v>
      </c>
      <c r="W694">
        <v>0</v>
      </c>
      <c r="X694">
        <v>0</v>
      </c>
      <c r="Y694">
        <v>246497097</v>
      </c>
      <c r="Z694">
        <v>168725752.41999999</v>
      </c>
      <c r="AA694">
        <v>168724881.41999999</v>
      </c>
      <c r="AB694">
        <v>108734676.42</v>
      </c>
      <c r="AC694">
        <v>108734676.42</v>
      </c>
      <c r="AD694">
        <v>77771344.579999998</v>
      </c>
      <c r="AE694">
        <v>68.45</v>
      </c>
    </row>
    <row r="695" spans="1:31" x14ac:dyDescent="0.2">
      <c r="A695" t="s">
        <v>1730</v>
      </c>
      <c r="B695" t="s">
        <v>519</v>
      </c>
      <c r="C695" t="s">
        <v>22</v>
      </c>
      <c r="D695" t="s">
        <v>520</v>
      </c>
      <c r="E695" t="s">
        <v>521</v>
      </c>
      <c r="F695" t="s">
        <v>522</v>
      </c>
      <c r="G695" t="s">
        <v>22</v>
      </c>
      <c r="H695" t="s">
        <v>22</v>
      </c>
      <c r="I695" t="s">
        <v>22</v>
      </c>
      <c r="J695" t="s">
        <v>523</v>
      </c>
      <c r="K695" t="s">
        <v>22</v>
      </c>
      <c r="L695" t="s">
        <v>524</v>
      </c>
      <c r="N695" t="s">
        <v>1831</v>
      </c>
      <c r="O695" t="s">
        <v>1832</v>
      </c>
      <c r="P695" t="s">
        <v>22</v>
      </c>
      <c r="Q695" t="s">
        <v>527</v>
      </c>
      <c r="R695">
        <v>15100883</v>
      </c>
      <c r="S695">
        <v>0</v>
      </c>
      <c r="T695">
        <v>0</v>
      </c>
      <c r="U695">
        <v>5709800</v>
      </c>
      <c r="V695">
        <v>0</v>
      </c>
      <c r="W695">
        <v>0</v>
      </c>
      <c r="X695">
        <v>0</v>
      </c>
      <c r="Y695">
        <v>20810683</v>
      </c>
      <c r="Z695">
        <v>20809800</v>
      </c>
      <c r="AA695">
        <v>20809800</v>
      </c>
      <c r="AB695">
        <v>5675400</v>
      </c>
      <c r="AC695">
        <v>5675400</v>
      </c>
      <c r="AD695">
        <v>883</v>
      </c>
      <c r="AE695">
        <v>100</v>
      </c>
    </row>
    <row r="696" spans="1:31" x14ac:dyDescent="0.2">
      <c r="A696" t="s">
        <v>1730</v>
      </c>
      <c r="B696" t="s">
        <v>519</v>
      </c>
      <c r="C696" t="s">
        <v>22</v>
      </c>
      <c r="D696" t="s">
        <v>520</v>
      </c>
      <c r="E696" t="s">
        <v>521</v>
      </c>
      <c r="F696" t="s">
        <v>522</v>
      </c>
      <c r="G696" t="s">
        <v>22</v>
      </c>
      <c r="H696" t="s">
        <v>22</v>
      </c>
      <c r="I696" t="s">
        <v>1833</v>
      </c>
      <c r="J696" t="s">
        <v>1834</v>
      </c>
      <c r="K696" t="s">
        <v>22</v>
      </c>
      <c r="L696" t="s">
        <v>524</v>
      </c>
      <c r="N696" t="s">
        <v>1835</v>
      </c>
      <c r="O696" t="s">
        <v>1836</v>
      </c>
      <c r="P696" t="s">
        <v>186</v>
      </c>
      <c r="Q696" t="s">
        <v>1741</v>
      </c>
      <c r="R696">
        <v>15100883</v>
      </c>
      <c r="S696">
        <v>0</v>
      </c>
      <c r="T696">
        <v>0</v>
      </c>
      <c r="U696">
        <v>5709800</v>
      </c>
      <c r="V696">
        <v>0</v>
      </c>
      <c r="W696">
        <v>0</v>
      </c>
      <c r="X696">
        <v>0</v>
      </c>
      <c r="Y696">
        <v>20810683</v>
      </c>
      <c r="Z696">
        <v>20809800</v>
      </c>
      <c r="AA696">
        <v>20809800</v>
      </c>
      <c r="AB696">
        <v>5675400</v>
      </c>
      <c r="AC696">
        <v>5675400</v>
      </c>
      <c r="AD696">
        <v>883</v>
      </c>
      <c r="AE696">
        <v>100</v>
      </c>
    </row>
    <row r="697" spans="1:31" x14ac:dyDescent="0.2">
      <c r="A697" t="s">
        <v>1730</v>
      </c>
      <c r="B697" t="s">
        <v>519</v>
      </c>
      <c r="C697" t="s">
        <v>22</v>
      </c>
      <c r="D697" t="s">
        <v>520</v>
      </c>
      <c r="E697" t="s">
        <v>521</v>
      </c>
      <c r="F697" t="s">
        <v>522</v>
      </c>
      <c r="G697" t="s">
        <v>22</v>
      </c>
      <c r="H697" t="s">
        <v>22</v>
      </c>
      <c r="I697" t="s">
        <v>22</v>
      </c>
      <c r="J697" t="s">
        <v>523</v>
      </c>
      <c r="K697" t="s">
        <v>22</v>
      </c>
      <c r="L697" t="s">
        <v>524</v>
      </c>
      <c r="N697" t="s">
        <v>1837</v>
      </c>
      <c r="O697" t="s">
        <v>675</v>
      </c>
      <c r="P697" t="s">
        <v>22</v>
      </c>
      <c r="Q697" t="s">
        <v>527</v>
      </c>
      <c r="R697">
        <v>175944448</v>
      </c>
      <c r="S697">
        <v>5185550</v>
      </c>
      <c r="T697">
        <v>0</v>
      </c>
      <c r="U697">
        <v>10200000</v>
      </c>
      <c r="V697">
        <v>9500000</v>
      </c>
      <c r="W697">
        <v>0</v>
      </c>
      <c r="X697">
        <v>0</v>
      </c>
      <c r="Y697">
        <v>181829998</v>
      </c>
      <c r="Z697">
        <v>125184064</v>
      </c>
      <c r="AA697">
        <v>125183193</v>
      </c>
      <c r="AB697">
        <v>80327388</v>
      </c>
      <c r="AC697">
        <v>80327388</v>
      </c>
      <c r="AD697">
        <v>56645934</v>
      </c>
      <c r="AE697">
        <v>68.849999999999994</v>
      </c>
    </row>
    <row r="698" spans="1:31" x14ac:dyDescent="0.2">
      <c r="A698" t="s">
        <v>1730</v>
      </c>
      <c r="B698" t="s">
        <v>519</v>
      </c>
      <c r="C698" t="s">
        <v>22</v>
      </c>
      <c r="D698" t="s">
        <v>520</v>
      </c>
      <c r="E698" t="s">
        <v>521</v>
      </c>
      <c r="F698" t="s">
        <v>522</v>
      </c>
      <c r="G698" t="s">
        <v>22</v>
      </c>
      <c r="H698" t="s">
        <v>22</v>
      </c>
      <c r="I698" t="s">
        <v>692</v>
      </c>
      <c r="J698" t="s">
        <v>693</v>
      </c>
      <c r="K698" t="s">
        <v>22</v>
      </c>
      <c r="L698" t="s">
        <v>524</v>
      </c>
      <c r="N698" t="s">
        <v>1838</v>
      </c>
      <c r="O698" t="s">
        <v>1839</v>
      </c>
      <c r="P698" t="s">
        <v>165</v>
      </c>
      <c r="Q698" t="s">
        <v>1735</v>
      </c>
      <c r="R698">
        <v>31209330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31209330</v>
      </c>
      <c r="Z698">
        <v>8691221</v>
      </c>
      <c r="AA698">
        <v>8691221</v>
      </c>
      <c r="AB698">
        <v>7906554.3200000003</v>
      </c>
      <c r="AC698">
        <v>7906554.3200000003</v>
      </c>
      <c r="AD698">
        <v>22518109</v>
      </c>
      <c r="AE698">
        <v>27.85</v>
      </c>
    </row>
    <row r="699" spans="1:31" x14ac:dyDescent="0.2">
      <c r="A699" t="s">
        <v>1730</v>
      </c>
      <c r="B699" t="s">
        <v>519</v>
      </c>
      <c r="C699" t="s">
        <v>22</v>
      </c>
      <c r="D699" t="s">
        <v>520</v>
      </c>
      <c r="E699" t="s">
        <v>521</v>
      </c>
      <c r="F699" t="s">
        <v>522</v>
      </c>
      <c r="G699" t="s">
        <v>22</v>
      </c>
      <c r="H699" t="s">
        <v>22</v>
      </c>
      <c r="I699" t="s">
        <v>692</v>
      </c>
      <c r="J699" t="s">
        <v>693</v>
      </c>
      <c r="K699" t="s">
        <v>22</v>
      </c>
      <c r="L699" t="s">
        <v>524</v>
      </c>
      <c r="N699" t="s">
        <v>1840</v>
      </c>
      <c r="O699" t="s">
        <v>1839</v>
      </c>
      <c r="P699" t="s">
        <v>181</v>
      </c>
      <c r="Q699" t="s">
        <v>1738</v>
      </c>
      <c r="R699">
        <v>32072848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32072848</v>
      </c>
      <c r="Z699">
        <v>16817776</v>
      </c>
      <c r="AA699">
        <v>16817776</v>
      </c>
      <c r="AB699">
        <v>13884441.970000001</v>
      </c>
      <c r="AC699">
        <v>13884441.970000001</v>
      </c>
      <c r="AD699">
        <v>15255072</v>
      </c>
      <c r="AE699">
        <v>52.44</v>
      </c>
    </row>
    <row r="700" spans="1:31" x14ac:dyDescent="0.2">
      <c r="A700" t="s">
        <v>1730</v>
      </c>
      <c r="B700" t="s">
        <v>519</v>
      </c>
      <c r="C700" t="s">
        <v>22</v>
      </c>
      <c r="D700" t="s">
        <v>520</v>
      </c>
      <c r="E700" t="s">
        <v>521</v>
      </c>
      <c r="F700" t="s">
        <v>522</v>
      </c>
      <c r="G700" t="s">
        <v>22</v>
      </c>
      <c r="H700" t="s">
        <v>22</v>
      </c>
      <c r="I700" t="s">
        <v>692</v>
      </c>
      <c r="J700" t="s">
        <v>693</v>
      </c>
      <c r="K700" t="s">
        <v>22</v>
      </c>
      <c r="L700" t="s">
        <v>524</v>
      </c>
      <c r="N700" t="s">
        <v>1841</v>
      </c>
      <c r="O700" t="s">
        <v>1839</v>
      </c>
      <c r="P700" t="s">
        <v>176</v>
      </c>
      <c r="Q700" t="s">
        <v>1733</v>
      </c>
      <c r="R700">
        <v>20971500</v>
      </c>
      <c r="S700">
        <v>0</v>
      </c>
      <c r="T700">
        <v>0</v>
      </c>
      <c r="U700">
        <v>0</v>
      </c>
      <c r="V700">
        <v>9500000</v>
      </c>
      <c r="W700">
        <v>0</v>
      </c>
      <c r="X700">
        <v>0</v>
      </c>
      <c r="Y700">
        <v>11471500</v>
      </c>
      <c r="Z700">
        <v>8408888</v>
      </c>
      <c r="AA700">
        <v>8408888</v>
      </c>
      <c r="AB700">
        <v>5475554.3300000001</v>
      </c>
      <c r="AC700">
        <v>5475554.3300000001</v>
      </c>
      <c r="AD700">
        <v>3062612</v>
      </c>
      <c r="AE700">
        <v>73.3</v>
      </c>
    </row>
    <row r="701" spans="1:31" x14ac:dyDescent="0.2">
      <c r="A701" t="s">
        <v>1730</v>
      </c>
      <c r="B701" t="s">
        <v>519</v>
      </c>
      <c r="C701" t="s">
        <v>22</v>
      </c>
      <c r="D701" t="s">
        <v>520</v>
      </c>
      <c r="E701" t="s">
        <v>521</v>
      </c>
      <c r="F701" t="s">
        <v>522</v>
      </c>
      <c r="G701" t="s">
        <v>22</v>
      </c>
      <c r="H701" t="s">
        <v>22</v>
      </c>
      <c r="I701" t="s">
        <v>692</v>
      </c>
      <c r="J701" t="s">
        <v>693</v>
      </c>
      <c r="K701" t="s">
        <v>22</v>
      </c>
      <c r="L701" t="s">
        <v>524</v>
      </c>
      <c r="N701" t="s">
        <v>1842</v>
      </c>
      <c r="O701" t="s">
        <v>1843</v>
      </c>
      <c r="P701" t="s">
        <v>176</v>
      </c>
      <c r="Q701" t="s">
        <v>1733</v>
      </c>
      <c r="R701">
        <v>24420000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24420000</v>
      </c>
      <c r="Z701">
        <v>21193331</v>
      </c>
      <c r="AA701">
        <v>21193331</v>
      </c>
      <c r="AB701">
        <v>17159999</v>
      </c>
      <c r="AC701">
        <v>17159999</v>
      </c>
      <c r="AD701">
        <v>3226669</v>
      </c>
      <c r="AE701">
        <v>86.79</v>
      </c>
    </row>
    <row r="702" spans="1:31" x14ac:dyDescent="0.2">
      <c r="A702" t="s">
        <v>1730</v>
      </c>
      <c r="B702" t="s">
        <v>519</v>
      </c>
      <c r="C702" t="s">
        <v>22</v>
      </c>
      <c r="D702" t="s">
        <v>520</v>
      </c>
      <c r="E702" t="s">
        <v>521</v>
      </c>
      <c r="F702" t="s">
        <v>522</v>
      </c>
      <c r="G702" t="s">
        <v>22</v>
      </c>
      <c r="H702" t="s">
        <v>22</v>
      </c>
      <c r="I702" t="s">
        <v>692</v>
      </c>
      <c r="J702" t="s">
        <v>693</v>
      </c>
      <c r="K702" t="s">
        <v>22</v>
      </c>
      <c r="L702" t="s">
        <v>524</v>
      </c>
      <c r="N702" t="s">
        <v>1844</v>
      </c>
      <c r="O702" t="s">
        <v>1843</v>
      </c>
      <c r="P702" t="s">
        <v>165</v>
      </c>
      <c r="Q702" t="s">
        <v>1735</v>
      </c>
      <c r="R702">
        <v>13200000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13200000</v>
      </c>
      <c r="Z702">
        <v>12724554</v>
      </c>
      <c r="AA702">
        <v>12724554</v>
      </c>
      <c r="AB702">
        <v>9006555.6600000001</v>
      </c>
      <c r="AC702">
        <v>9006555.6600000001</v>
      </c>
      <c r="AD702">
        <v>475446</v>
      </c>
      <c r="AE702">
        <v>96.4</v>
      </c>
    </row>
    <row r="703" spans="1:31" x14ac:dyDescent="0.2">
      <c r="A703" t="s">
        <v>1730</v>
      </c>
      <c r="B703" t="s">
        <v>519</v>
      </c>
      <c r="C703" t="s">
        <v>22</v>
      </c>
      <c r="D703" t="s">
        <v>520</v>
      </c>
      <c r="E703" t="s">
        <v>521</v>
      </c>
      <c r="F703" t="s">
        <v>522</v>
      </c>
      <c r="G703" t="s">
        <v>22</v>
      </c>
      <c r="H703" t="s">
        <v>22</v>
      </c>
      <c r="I703" t="s">
        <v>1845</v>
      </c>
      <c r="J703" t="s">
        <v>1846</v>
      </c>
      <c r="K703" t="s">
        <v>22</v>
      </c>
      <c r="L703" t="s">
        <v>524</v>
      </c>
      <c r="N703" t="s">
        <v>1847</v>
      </c>
      <c r="O703" t="s">
        <v>1848</v>
      </c>
      <c r="P703" t="s">
        <v>176</v>
      </c>
      <c r="Q703" t="s">
        <v>1733</v>
      </c>
      <c r="R703">
        <v>7415997</v>
      </c>
      <c r="S703">
        <v>0</v>
      </c>
      <c r="T703">
        <v>0</v>
      </c>
      <c r="U703">
        <v>9500000</v>
      </c>
      <c r="V703">
        <v>0</v>
      </c>
      <c r="W703">
        <v>0</v>
      </c>
      <c r="X703">
        <v>0</v>
      </c>
      <c r="Y703">
        <v>16915997</v>
      </c>
      <c r="Z703">
        <v>16880000</v>
      </c>
      <c r="AA703">
        <v>16880000</v>
      </c>
      <c r="AB703">
        <v>0</v>
      </c>
      <c r="AC703">
        <v>0</v>
      </c>
      <c r="AD703">
        <v>35997</v>
      </c>
      <c r="AE703">
        <v>99.79</v>
      </c>
    </row>
    <row r="704" spans="1:31" x14ac:dyDescent="0.2">
      <c r="A704" t="s">
        <v>1730</v>
      </c>
      <c r="B704" t="s">
        <v>519</v>
      </c>
      <c r="C704" t="s">
        <v>22</v>
      </c>
      <c r="D704" t="s">
        <v>520</v>
      </c>
      <c r="E704" t="s">
        <v>521</v>
      </c>
      <c r="F704" t="s">
        <v>522</v>
      </c>
      <c r="G704" t="s">
        <v>22</v>
      </c>
      <c r="H704" t="s">
        <v>22</v>
      </c>
      <c r="I704" t="s">
        <v>1845</v>
      </c>
      <c r="J704" t="s">
        <v>1846</v>
      </c>
      <c r="K704" t="s">
        <v>22</v>
      </c>
      <c r="L704" t="s">
        <v>524</v>
      </c>
      <c r="N704" t="s">
        <v>1849</v>
      </c>
      <c r="O704" t="s">
        <v>1850</v>
      </c>
      <c r="P704" t="s">
        <v>176</v>
      </c>
      <c r="Q704" t="s">
        <v>1733</v>
      </c>
      <c r="R704">
        <v>1000000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1000000</v>
      </c>
      <c r="Z704">
        <v>0</v>
      </c>
      <c r="AA704">
        <v>0</v>
      </c>
      <c r="AB704">
        <v>0</v>
      </c>
      <c r="AC704">
        <v>0</v>
      </c>
      <c r="AD704">
        <v>1000000</v>
      </c>
      <c r="AE704">
        <v>0</v>
      </c>
    </row>
    <row r="705" spans="1:31" x14ac:dyDescent="0.2">
      <c r="A705" t="s">
        <v>1730</v>
      </c>
      <c r="B705" t="s">
        <v>519</v>
      </c>
      <c r="C705" t="s">
        <v>22</v>
      </c>
      <c r="D705" t="s">
        <v>520</v>
      </c>
      <c r="E705" t="s">
        <v>521</v>
      </c>
      <c r="F705" t="s">
        <v>522</v>
      </c>
      <c r="G705" t="s">
        <v>22</v>
      </c>
      <c r="H705" t="s">
        <v>22</v>
      </c>
      <c r="I705" t="s">
        <v>22</v>
      </c>
      <c r="J705" t="s">
        <v>523</v>
      </c>
      <c r="K705" t="s">
        <v>22</v>
      </c>
      <c r="L705" t="s">
        <v>524</v>
      </c>
      <c r="N705" t="s">
        <v>1851</v>
      </c>
      <c r="O705" t="s">
        <v>1852</v>
      </c>
      <c r="P705" t="s">
        <v>165</v>
      </c>
      <c r="Q705" t="s">
        <v>1735</v>
      </c>
      <c r="R705">
        <v>5995777</v>
      </c>
      <c r="S705">
        <v>0</v>
      </c>
      <c r="T705">
        <v>0</v>
      </c>
      <c r="U705">
        <v>700000</v>
      </c>
      <c r="V705">
        <v>0</v>
      </c>
      <c r="W705">
        <v>0</v>
      </c>
      <c r="X705">
        <v>0</v>
      </c>
      <c r="Y705">
        <v>6695777</v>
      </c>
      <c r="Z705">
        <v>6550400</v>
      </c>
      <c r="AA705">
        <v>6549529</v>
      </c>
      <c r="AB705">
        <v>727725</v>
      </c>
      <c r="AC705">
        <v>727725</v>
      </c>
      <c r="AD705">
        <v>145377</v>
      </c>
      <c r="AE705">
        <v>97.83</v>
      </c>
    </row>
    <row r="706" spans="1:31" x14ac:dyDescent="0.2">
      <c r="A706" t="s">
        <v>1730</v>
      </c>
      <c r="B706" t="s">
        <v>519</v>
      </c>
      <c r="C706" t="s">
        <v>22</v>
      </c>
      <c r="D706" t="s">
        <v>520</v>
      </c>
      <c r="E706" t="s">
        <v>521</v>
      </c>
      <c r="F706" t="s">
        <v>522</v>
      </c>
      <c r="G706" t="s">
        <v>22</v>
      </c>
      <c r="H706" t="s">
        <v>22</v>
      </c>
      <c r="I706" t="s">
        <v>22</v>
      </c>
      <c r="J706" t="s">
        <v>523</v>
      </c>
      <c r="K706" t="s">
        <v>22</v>
      </c>
      <c r="L706" t="s">
        <v>524</v>
      </c>
      <c r="N706" t="s">
        <v>1853</v>
      </c>
      <c r="O706" t="s">
        <v>1854</v>
      </c>
      <c r="P706" t="s">
        <v>165</v>
      </c>
      <c r="Q706" t="s">
        <v>1735</v>
      </c>
      <c r="R706">
        <v>1000000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1000000</v>
      </c>
      <c r="Z706">
        <v>0</v>
      </c>
      <c r="AA706">
        <v>0</v>
      </c>
      <c r="AB706">
        <v>0</v>
      </c>
      <c r="AC706">
        <v>0</v>
      </c>
      <c r="AD706">
        <v>1000000</v>
      </c>
      <c r="AE706">
        <v>0</v>
      </c>
    </row>
    <row r="707" spans="1:31" x14ac:dyDescent="0.2">
      <c r="A707" t="s">
        <v>1730</v>
      </c>
      <c r="B707" t="s">
        <v>519</v>
      </c>
      <c r="C707" t="s">
        <v>22</v>
      </c>
      <c r="D707" t="s">
        <v>520</v>
      </c>
      <c r="E707" t="s">
        <v>521</v>
      </c>
      <c r="F707" t="s">
        <v>522</v>
      </c>
      <c r="G707" t="s">
        <v>22</v>
      </c>
      <c r="H707" t="s">
        <v>22</v>
      </c>
      <c r="I707" t="s">
        <v>22</v>
      </c>
      <c r="J707" t="s">
        <v>523</v>
      </c>
      <c r="K707" t="s">
        <v>22</v>
      </c>
      <c r="L707" t="s">
        <v>524</v>
      </c>
      <c r="N707" t="s">
        <v>1855</v>
      </c>
      <c r="O707" t="s">
        <v>1856</v>
      </c>
      <c r="P707" t="s">
        <v>176</v>
      </c>
      <c r="Q707" t="s">
        <v>1733</v>
      </c>
      <c r="R707">
        <v>27438996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27438996</v>
      </c>
      <c r="Z707">
        <v>25509004</v>
      </c>
      <c r="AA707">
        <v>25509004</v>
      </c>
      <c r="AB707">
        <v>20691002.379999999</v>
      </c>
      <c r="AC707">
        <v>20691002.379999999</v>
      </c>
      <c r="AD707">
        <v>1929992</v>
      </c>
      <c r="AE707">
        <v>92.97</v>
      </c>
    </row>
    <row r="708" spans="1:31" x14ac:dyDescent="0.2">
      <c r="A708" t="s">
        <v>1730</v>
      </c>
      <c r="B708" t="s">
        <v>519</v>
      </c>
      <c r="C708" t="s">
        <v>22</v>
      </c>
      <c r="D708" t="s">
        <v>520</v>
      </c>
      <c r="E708" t="s">
        <v>521</v>
      </c>
      <c r="F708" t="s">
        <v>522</v>
      </c>
      <c r="G708" t="s">
        <v>22</v>
      </c>
      <c r="H708" t="s">
        <v>22</v>
      </c>
      <c r="I708" t="s">
        <v>22</v>
      </c>
      <c r="J708" t="s">
        <v>523</v>
      </c>
      <c r="K708" t="s">
        <v>22</v>
      </c>
      <c r="L708" t="s">
        <v>524</v>
      </c>
      <c r="N708" t="s">
        <v>1857</v>
      </c>
      <c r="O708" t="s">
        <v>1856</v>
      </c>
      <c r="P708" t="s">
        <v>165</v>
      </c>
      <c r="Q708" t="s">
        <v>1735</v>
      </c>
      <c r="R708">
        <v>11220000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11220000</v>
      </c>
      <c r="Z708">
        <v>8408890</v>
      </c>
      <c r="AA708">
        <v>8408890</v>
      </c>
      <c r="AB708">
        <v>5475555.3399999999</v>
      </c>
      <c r="AC708">
        <v>5475555.3399999999</v>
      </c>
      <c r="AD708">
        <v>2811110</v>
      </c>
      <c r="AE708">
        <v>74.95</v>
      </c>
    </row>
    <row r="709" spans="1:31" x14ac:dyDescent="0.2">
      <c r="A709" t="s">
        <v>1730</v>
      </c>
      <c r="B709" t="s">
        <v>519</v>
      </c>
      <c r="C709" t="s">
        <v>22</v>
      </c>
      <c r="D709" t="s">
        <v>520</v>
      </c>
      <c r="E709" t="s">
        <v>521</v>
      </c>
      <c r="F709" t="s">
        <v>522</v>
      </c>
      <c r="G709" t="s">
        <v>22</v>
      </c>
      <c r="H709" t="s">
        <v>22</v>
      </c>
      <c r="I709" t="s">
        <v>22</v>
      </c>
      <c r="J709" t="s">
        <v>523</v>
      </c>
      <c r="K709" t="s">
        <v>22</v>
      </c>
      <c r="L709" t="s">
        <v>524</v>
      </c>
      <c r="N709" t="s">
        <v>1858</v>
      </c>
      <c r="O709" t="s">
        <v>1859</v>
      </c>
      <c r="P709" t="s">
        <v>471</v>
      </c>
      <c r="Q709" t="s">
        <v>1860</v>
      </c>
      <c r="R709">
        <v>0</v>
      </c>
      <c r="S709">
        <v>1728517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1728517</v>
      </c>
      <c r="Z709">
        <v>0</v>
      </c>
      <c r="AA709">
        <v>0</v>
      </c>
      <c r="AB709">
        <v>0</v>
      </c>
      <c r="AC709">
        <v>0</v>
      </c>
      <c r="AD709">
        <v>1728517</v>
      </c>
      <c r="AE709">
        <v>0</v>
      </c>
    </row>
    <row r="710" spans="1:31" x14ac:dyDescent="0.2">
      <c r="A710" t="s">
        <v>1730</v>
      </c>
      <c r="B710" t="s">
        <v>519</v>
      </c>
      <c r="C710" t="s">
        <v>22</v>
      </c>
      <c r="D710" t="s">
        <v>520</v>
      </c>
      <c r="E710" t="s">
        <v>521</v>
      </c>
      <c r="F710" t="s">
        <v>522</v>
      </c>
      <c r="G710" t="s">
        <v>22</v>
      </c>
      <c r="H710" t="s">
        <v>22</v>
      </c>
      <c r="I710" t="s">
        <v>22</v>
      </c>
      <c r="J710" t="s">
        <v>523</v>
      </c>
      <c r="K710" t="s">
        <v>22</v>
      </c>
      <c r="L710" t="s">
        <v>524</v>
      </c>
      <c r="N710" t="s">
        <v>1861</v>
      </c>
      <c r="O710" t="s">
        <v>1843</v>
      </c>
      <c r="P710" t="s">
        <v>475</v>
      </c>
      <c r="Q710" t="s">
        <v>1862</v>
      </c>
      <c r="R710">
        <v>0</v>
      </c>
      <c r="S710">
        <v>1728516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1728516</v>
      </c>
      <c r="Z710">
        <v>0</v>
      </c>
      <c r="AA710">
        <v>0</v>
      </c>
      <c r="AB710">
        <v>0</v>
      </c>
      <c r="AC710">
        <v>0</v>
      </c>
      <c r="AD710">
        <v>1728516</v>
      </c>
      <c r="AE710">
        <v>0</v>
      </c>
    </row>
    <row r="711" spans="1:31" x14ac:dyDescent="0.2">
      <c r="A711" t="s">
        <v>1730</v>
      </c>
      <c r="B711" t="s">
        <v>519</v>
      </c>
      <c r="C711" t="s">
        <v>22</v>
      </c>
      <c r="D711" t="s">
        <v>520</v>
      </c>
      <c r="E711" t="s">
        <v>521</v>
      </c>
      <c r="F711" t="s">
        <v>522</v>
      </c>
      <c r="G711" t="s">
        <v>22</v>
      </c>
      <c r="H711" t="s">
        <v>22</v>
      </c>
      <c r="I711" t="s">
        <v>22</v>
      </c>
      <c r="J711" t="s">
        <v>523</v>
      </c>
      <c r="K711" t="s">
        <v>22</v>
      </c>
      <c r="L711" t="s">
        <v>524</v>
      </c>
      <c r="N711" t="s">
        <v>1863</v>
      </c>
      <c r="O711" t="s">
        <v>1856</v>
      </c>
      <c r="P711" t="s">
        <v>473</v>
      </c>
      <c r="Q711" t="s">
        <v>1864</v>
      </c>
      <c r="R711">
        <v>0</v>
      </c>
      <c r="S711">
        <v>1728517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1728517</v>
      </c>
      <c r="Z711">
        <v>0</v>
      </c>
      <c r="AA711">
        <v>0</v>
      </c>
      <c r="AB711">
        <v>0</v>
      </c>
      <c r="AC711">
        <v>0</v>
      </c>
      <c r="AD711">
        <v>1728517</v>
      </c>
      <c r="AE711">
        <v>0</v>
      </c>
    </row>
    <row r="712" spans="1:31" x14ac:dyDescent="0.2">
      <c r="A712" t="s">
        <v>1730</v>
      </c>
      <c r="B712" t="s">
        <v>519</v>
      </c>
      <c r="C712" t="s">
        <v>22</v>
      </c>
      <c r="D712" t="s">
        <v>520</v>
      </c>
      <c r="E712" t="s">
        <v>521</v>
      </c>
      <c r="F712" t="s">
        <v>522</v>
      </c>
      <c r="G712" t="s">
        <v>22</v>
      </c>
      <c r="H712" t="s">
        <v>22</v>
      </c>
      <c r="I712" t="s">
        <v>22</v>
      </c>
      <c r="J712" t="s">
        <v>523</v>
      </c>
      <c r="K712" t="s">
        <v>22</v>
      </c>
      <c r="L712" t="s">
        <v>524</v>
      </c>
      <c r="N712" t="s">
        <v>1865</v>
      </c>
      <c r="O712" t="s">
        <v>702</v>
      </c>
      <c r="P712" t="s">
        <v>22</v>
      </c>
      <c r="Q712" t="s">
        <v>527</v>
      </c>
      <c r="R712">
        <v>49566216</v>
      </c>
      <c r="S712">
        <v>0</v>
      </c>
      <c r="T712">
        <v>0</v>
      </c>
      <c r="U712">
        <v>0</v>
      </c>
      <c r="V712">
        <v>5709800</v>
      </c>
      <c r="W712">
        <v>0</v>
      </c>
      <c r="X712">
        <v>0</v>
      </c>
      <c r="Y712">
        <v>43856416</v>
      </c>
      <c r="Z712">
        <v>22731888.420000002</v>
      </c>
      <c r="AA712">
        <v>22731888.420000002</v>
      </c>
      <c r="AB712">
        <v>22731888.420000002</v>
      </c>
      <c r="AC712">
        <v>22731888.420000002</v>
      </c>
      <c r="AD712">
        <v>21124527.579999998</v>
      </c>
      <c r="AE712">
        <v>51.83</v>
      </c>
    </row>
    <row r="713" spans="1:31" x14ac:dyDescent="0.2">
      <c r="A713" t="s">
        <v>1730</v>
      </c>
      <c r="B713" t="s">
        <v>519</v>
      </c>
      <c r="C713" t="s">
        <v>22</v>
      </c>
      <c r="D713" t="s">
        <v>520</v>
      </c>
      <c r="E713" t="s">
        <v>521</v>
      </c>
      <c r="F713" t="s">
        <v>522</v>
      </c>
      <c r="G713" t="s">
        <v>22</v>
      </c>
      <c r="H713" t="s">
        <v>22</v>
      </c>
      <c r="I713" t="s">
        <v>22</v>
      </c>
      <c r="J713" t="s">
        <v>523</v>
      </c>
      <c r="K713" t="s">
        <v>22</v>
      </c>
      <c r="L713" t="s">
        <v>524</v>
      </c>
      <c r="N713" t="s">
        <v>1866</v>
      </c>
      <c r="O713" t="s">
        <v>1867</v>
      </c>
      <c r="P713" t="s">
        <v>186</v>
      </c>
      <c r="Q713" t="s">
        <v>1741</v>
      </c>
      <c r="R713">
        <v>49566216</v>
      </c>
      <c r="S713">
        <v>0</v>
      </c>
      <c r="T713">
        <v>0</v>
      </c>
      <c r="U713">
        <v>0</v>
      </c>
      <c r="V713">
        <v>5709800</v>
      </c>
      <c r="W713">
        <v>0</v>
      </c>
      <c r="X713">
        <v>0</v>
      </c>
      <c r="Y713">
        <v>43856416</v>
      </c>
      <c r="Z713">
        <v>22731888.420000002</v>
      </c>
      <c r="AA713">
        <v>22731888.420000002</v>
      </c>
      <c r="AB713">
        <v>22731888.420000002</v>
      </c>
      <c r="AC713">
        <v>22731888.420000002</v>
      </c>
      <c r="AD713">
        <v>21124527.579999998</v>
      </c>
      <c r="AE713">
        <v>51.83</v>
      </c>
    </row>
    <row r="714" spans="1:31" x14ac:dyDescent="0.2">
      <c r="A714" t="s">
        <v>1730</v>
      </c>
      <c r="B714" t="s">
        <v>519</v>
      </c>
      <c r="C714" t="s">
        <v>22</v>
      </c>
      <c r="D714" t="s">
        <v>520</v>
      </c>
      <c r="E714" t="s">
        <v>521</v>
      </c>
      <c r="F714" t="s">
        <v>522</v>
      </c>
      <c r="G714" t="s">
        <v>22</v>
      </c>
      <c r="H714" t="s">
        <v>22</v>
      </c>
      <c r="I714" t="s">
        <v>22</v>
      </c>
      <c r="J714" t="s">
        <v>523</v>
      </c>
      <c r="K714" t="s">
        <v>22</v>
      </c>
      <c r="L714" t="s">
        <v>524</v>
      </c>
      <c r="N714" t="s">
        <v>784</v>
      </c>
      <c r="O714" t="s">
        <v>785</v>
      </c>
      <c r="P714" t="s">
        <v>22</v>
      </c>
      <c r="Q714" t="s">
        <v>527</v>
      </c>
      <c r="R714">
        <v>46502058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46502058</v>
      </c>
      <c r="Z714">
        <v>15493416</v>
      </c>
      <c r="AA714">
        <v>15493416</v>
      </c>
      <c r="AB714">
        <v>15493416</v>
      </c>
      <c r="AC714">
        <v>15493416</v>
      </c>
      <c r="AD714">
        <v>31008642</v>
      </c>
      <c r="AE714">
        <v>33.32</v>
      </c>
    </row>
    <row r="715" spans="1:31" x14ac:dyDescent="0.2">
      <c r="A715" t="s">
        <v>1730</v>
      </c>
      <c r="B715" t="s">
        <v>519</v>
      </c>
      <c r="C715" t="s">
        <v>22</v>
      </c>
      <c r="D715" t="s">
        <v>520</v>
      </c>
      <c r="E715" t="s">
        <v>521</v>
      </c>
      <c r="F715" t="s">
        <v>522</v>
      </c>
      <c r="G715" t="s">
        <v>22</v>
      </c>
      <c r="H715" t="s">
        <v>22</v>
      </c>
      <c r="I715" t="s">
        <v>22</v>
      </c>
      <c r="J715" t="s">
        <v>523</v>
      </c>
      <c r="K715" t="s">
        <v>22</v>
      </c>
      <c r="L715" t="s">
        <v>524</v>
      </c>
      <c r="N715" t="s">
        <v>1868</v>
      </c>
      <c r="O715" t="s">
        <v>125</v>
      </c>
      <c r="P715" t="s">
        <v>22</v>
      </c>
      <c r="Q715" t="s">
        <v>527</v>
      </c>
      <c r="R715">
        <v>42102058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42102058</v>
      </c>
      <c r="Z715">
        <v>15493416</v>
      </c>
      <c r="AA715">
        <v>15493416</v>
      </c>
      <c r="AB715">
        <v>15493416</v>
      </c>
      <c r="AC715">
        <v>15493416</v>
      </c>
      <c r="AD715">
        <v>26608642</v>
      </c>
      <c r="AE715">
        <v>36.799999999999997</v>
      </c>
    </row>
    <row r="716" spans="1:31" x14ac:dyDescent="0.2">
      <c r="A716" t="s">
        <v>1730</v>
      </c>
      <c r="B716" t="s">
        <v>519</v>
      </c>
      <c r="C716" t="s">
        <v>22</v>
      </c>
      <c r="D716" t="s">
        <v>520</v>
      </c>
      <c r="E716" t="s">
        <v>521</v>
      </c>
      <c r="F716" t="s">
        <v>522</v>
      </c>
      <c r="G716" t="s">
        <v>22</v>
      </c>
      <c r="H716" t="s">
        <v>22</v>
      </c>
      <c r="I716" t="s">
        <v>22</v>
      </c>
      <c r="J716" t="s">
        <v>523</v>
      </c>
      <c r="K716" t="s">
        <v>22</v>
      </c>
      <c r="L716" t="s">
        <v>524</v>
      </c>
      <c r="N716" t="s">
        <v>1869</v>
      </c>
      <c r="O716" t="s">
        <v>1870</v>
      </c>
      <c r="P716" t="s">
        <v>181</v>
      </c>
      <c r="Q716" t="s">
        <v>1738</v>
      </c>
      <c r="R716">
        <v>29831448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29831448</v>
      </c>
      <c r="Z716">
        <v>7959503</v>
      </c>
      <c r="AA716">
        <v>7959503</v>
      </c>
      <c r="AB716">
        <v>7959503</v>
      </c>
      <c r="AC716">
        <v>7959503</v>
      </c>
      <c r="AD716">
        <v>21871945</v>
      </c>
      <c r="AE716">
        <v>26.68</v>
      </c>
    </row>
    <row r="717" spans="1:31" x14ac:dyDescent="0.2">
      <c r="A717" t="s">
        <v>1730</v>
      </c>
      <c r="B717" t="s">
        <v>519</v>
      </c>
      <c r="C717" t="s">
        <v>22</v>
      </c>
      <c r="D717" t="s">
        <v>520</v>
      </c>
      <c r="E717" t="s">
        <v>521</v>
      </c>
      <c r="F717" t="s">
        <v>522</v>
      </c>
      <c r="G717" t="s">
        <v>22</v>
      </c>
      <c r="H717" t="s">
        <v>22</v>
      </c>
      <c r="I717" t="s">
        <v>22</v>
      </c>
      <c r="J717" t="s">
        <v>523</v>
      </c>
      <c r="K717" t="s">
        <v>22</v>
      </c>
      <c r="L717" t="s">
        <v>524</v>
      </c>
      <c r="N717" t="s">
        <v>1871</v>
      </c>
      <c r="O717" t="s">
        <v>1870</v>
      </c>
      <c r="P717" t="s">
        <v>176</v>
      </c>
      <c r="Q717" t="s">
        <v>1733</v>
      </c>
      <c r="R717">
        <v>12028500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12028500</v>
      </c>
      <c r="Z717">
        <v>7533913</v>
      </c>
      <c r="AA717">
        <v>7533913</v>
      </c>
      <c r="AB717">
        <v>7533913</v>
      </c>
      <c r="AC717">
        <v>7533913</v>
      </c>
      <c r="AD717">
        <v>4494587</v>
      </c>
      <c r="AE717">
        <v>62.63</v>
      </c>
    </row>
    <row r="718" spans="1:31" x14ac:dyDescent="0.2">
      <c r="A718" t="s">
        <v>1730</v>
      </c>
      <c r="B718" t="s">
        <v>519</v>
      </c>
      <c r="C718" t="s">
        <v>22</v>
      </c>
      <c r="D718" t="s">
        <v>520</v>
      </c>
      <c r="E718" t="s">
        <v>521</v>
      </c>
      <c r="F718" t="s">
        <v>522</v>
      </c>
      <c r="G718" t="s">
        <v>22</v>
      </c>
      <c r="H718" t="s">
        <v>22</v>
      </c>
      <c r="I718" t="s">
        <v>22</v>
      </c>
      <c r="J718" t="s">
        <v>523</v>
      </c>
      <c r="K718" t="s">
        <v>22</v>
      </c>
      <c r="L718" t="s">
        <v>524</v>
      </c>
      <c r="N718" t="s">
        <v>1872</v>
      </c>
      <c r="O718" t="s">
        <v>1873</v>
      </c>
      <c r="P718" t="s">
        <v>165</v>
      </c>
      <c r="Q718" t="s">
        <v>1735</v>
      </c>
      <c r="R718">
        <v>242110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242110</v>
      </c>
      <c r="Z718">
        <v>0</v>
      </c>
      <c r="AA718">
        <v>0</v>
      </c>
      <c r="AB718">
        <v>0</v>
      </c>
      <c r="AC718">
        <v>0</v>
      </c>
      <c r="AD718">
        <v>242110</v>
      </c>
      <c r="AE718">
        <v>0</v>
      </c>
    </row>
    <row r="719" spans="1:31" x14ac:dyDescent="0.2">
      <c r="A719" t="s">
        <v>1730</v>
      </c>
      <c r="B719" t="s">
        <v>519</v>
      </c>
      <c r="C719" t="s">
        <v>22</v>
      </c>
      <c r="D719" t="s">
        <v>520</v>
      </c>
      <c r="E719" t="s">
        <v>521</v>
      </c>
      <c r="F719" t="s">
        <v>522</v>
      </c>
      <c r="G719" t="s">
        <v>22</v>
      </c>
      <c r="H719" t="s">
        <v>22</v>
      </c>
      <c r="I719" t="s">
        <v>22</v>
      </c>
      <c r="J719" t="s">
        <v>523</v>
      </c>
      <c r="K719" t="s">
        <v>22</v>
      </c>
      <c r="L719" t="s">
        <v>524</v>
      </c>
      <c r="N719" t="s">
        <v>1874</v>
      </c>
      <c r="O719" t="s">
        <v>107</v>
      </c>
      <c r="P719" t="s">
        <v>22</v>
      </c>
      <c r="Q719" t="s">
        <v>527</v>
      </c>
      <c r="R719">
        <v>4400000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4400000</v>
      </c>
      <c r="Z719">
        <v>0</v>
      </c>
      <c r="AA719">
        <v>0</v>
      </c>
      <c r="AB719">
        <v>0</v>
      </c>
      <c r="AC719">
        <v>0</v>
      </c>
      <c r="AD719">
        <v>4400000</v>
      </c>
      <c r="AE719">
        <v>0</v>
      </c>
    </row>
    <row r="720" spans="1:31" x14ac:dyDescent="0.2">
      <c r="A720" t="s">
        <v>1730</v>
      </c>
      <c r="B720" t="s">
        <v>519</v>
      </c>
      <c r="C720" t="s">
        <v>22</v>
      </c>
      <c r="D720" t="s">
        <v>520</v>
      </c>
      <c r="E720" t="s">
        <v>521</v>
      </c>
      <c r="F720" t="s">
        <v>522</v>
      </c>
      <c r="G720" t="s">
        <v>22</v>
      </c>
      <c r="H720" t="s">
        <v>22</v>
      </c>
      <c r="I720" t="s">
        <v>22</v>
      </c>
      <c r="J720" t="s">
        <v>523</v>
      </c>
      <c r="K720" t="s">
        <v>22</v>
      </c>
      <c r="L720" t="s">
        <v>524</v>
      </c>
      <c r="N720" t="s">
        <v>1875</v>
      </c>
      <c r="O720" t="s">
        <v>1876</v>
      </c>
      <c r="P720" t="s">
        <v>165</v>
      </c>
      <c r="Q720" t="s">
        <v>1735</v>
      </c>
      <c r="R720">
        <v>1100000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1100000</v>
      </c>
      <c r="Z720">
        <v>0</v>
      </c>
      <c r="AA720">
        <v>0</v>
      </c>
      <c r="AB720">
        <v>0</v>
      </c>
      <c r="AC720">
        <v>0</v>
      </c>
      <c r="AD720">
        <v>1100000</v>
      </c>
      <c r="AE720">
        <v>0</v>
      </c>
    </row>
    <row r="721" spans="1:31" x14ac:dyDescent="0.2">
      <c r="A721" t="s">
        <v>1730</v>
      </c>
      <c r="B721" t="s">
        <v>519</v>
      </c>
      <c r="C721" t="s">
        <v>22</v>
      </c>
      <c r="D721" t="s">
        <v>520</v>
      </c>
      <c r="E721" t="s">
        <v>521</v>
      </c>
      <c r="F721" t="s">
        <v>522</v>
      </c>
      <c r="G721" t="s">
        <v>22</v>
      </c>
      <c r="H721" t="s">
        <v>22</v>
      </c>
      <c r="I721" t="s">
        <v>22</v>
      </c>
      <c r="J721" t="s">
        <v>523</v>
      </c>
      <c r="K721" t="s">
        <v>22</v>
      </c>
      <c r="L721" t="s">
        <v>524</v>
      </c>
      <c r="N721" t="s">
        <v>1877</v>
      </c>
      <c r="O721" t="s">
        <v>1878</v>
      </c>
      <c r="P721" t="s">
        <v>165</v>
      </c>
      <c r="Q721" t="s">
        <v>1735</v>
      </c>
      <c r="R721">
        <v>1100000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1100000</v>
      </c>
      <c r="Z721">
        <v>0</v>
      </c>
      <c r="AA721">
        <v>0</v>
      </c>
      <c r="AB721">
        <v>0</v>
      </c>
      <c r="AC721">
        <v>0</v>
      </c>
      <c r="AD721">
        <v>1100000</v>
      </c>
      <c r="AE721">
        <v>0</v>
      </c>
    </row>
    <row r="722" spans="1:31" x14ac:dyDescent="0.2">
      <c r="A722" t="s">
        <v>1730</v>
      </c>
      <c r="B722" t="s">
        <v>519</v>
      </c>
      <c r="C722" t="s">
        <v>22</v>
      </c>
      <c r="D722" t="s">
        <v>520</v>
      </c>
      <c r="E722" t="s">
        <v>521</v>
      </c>
      <c r="F722" t="s">
        <v>522</v>
      </c>
      <c r="G722" t="s">
        <v>22</v>
      </c>
      <c r="H722" t="s">
        <v>22</v>
      </c>
      <c r="I722" t="s">
        <v>22</v>
      </c>
      <c r="J722" t="s">
        <v>523</v>
      </c>
      <c r="K722" t="s">
        <v>22</v>
      </c>
      <c r="L722" t="s">
        <v>524</v>
      </c>
      <c r="N722" t="s">
        <v>1879</v>
      </c>
      <c r="O722" t="s">
        <v>1880</v>
      </c>
      <c r="P722" t="s">
        <v>165</v>
      </c>
      <c r="Q722" t="s">
        <v>1735</v>
      </c>
      <c r="R722">
        <v>1100000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1100000</v>
      </c>
      <c r="Z722">
        <v>0</v>
      </c>
      <c r="AA722">
        <v>0</v>
      </c>
      <c r="AB722">
        <v>0</v>
      </c>
      <c r="AC722">
        <v>0</v>
      </c>
      <c r="AD722">
        <v>1100000</v>
      </c>
      <c r="AE722">
        <v>0</v>
      </c>
    </row>
    <row r="723" spans="1:31" x14ac:dyDescent="0.2">
      <c r="A723" t="s">
        <v>1730</v>
      </c>
      <c r="B723" t="s">
        <v>519</v>
      </c>
      <c r="C723" t="s">
        <v>22</v>
      </c>
      <c r="D723" t="s">
        <v>520</v>
      </c>
      <c r="E723" t="s">
        <v>521</v>
      </c>
      <c r="F723" t="s">
        <v>522</v>
      </c>
      <c r="G723" t="s">
        <v>22</v>
      </c>
      <c r="H723" t="s">
        <v>22</v>
      </c>
      <c r="I723" t="s">
        <v>22</v>
      </c>
      <c r="J723" t="s">
        <v>523</v>
      </c>
      <c r="K723" t="s">
        <v>22</v>
      </c>
      <c r="L723" t="s">
        <v>524</v>
      </c>
      <c r="N723" t="s">
        <v>1881</v>
      </c>
      <c r="O723" t="s">
        <v>1882</v>
      </c>
      <c r="P723" t="s">
        <v>22</v>
      </c>
      <c r="Q723" t="s">
        <v>527</v>
      </c>
      <c r="R723">
        <v>1100000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1100000</v>
      </c>
      <c r="Z723">
        <v>0</v>
      </c>
      <c r="AA723">
        <v>0</v>
      </c>
      <c r="AB723">
        <v>0</v>
      </c>
      <c r="AC723">
        <v>0</v>
      </c>
      <c r="AD723">
        <v>1100000</v>
      </c>
      <c r="AE723">
        <v>0</v>
      </c>
    </row>
    <row r="724" spans="1:31" x14ac:dyDescent="0.2">
      <c r="A724" t="s">
        <v>1730</v>
      </c>
      <c r="B724" t="s">
        <v>519</v>
      </c>
      <c r="C724" t="s">
        <v>22</v>
      </c>
      <c r="D724" t="s">
        <v>520</v>
      </c>
      <c r="E724" t="s">
        <v>521</v>
      </c>
      <c r="F724" t="s">
        <v>522</v>
      </c>
      <c r="G724" t="s">
        <v>22</v>
      </c>
      <c r="H724" t="s">
        <v>22</v>
      </c>
      <c r="I724" t="s">
        <v>22</v>
      </c>
      <c r="J724" t="s">
        <v>523</v>
      </c>
      <c r="K724" t="s">
        <v>22</v>
      </c>
      <c r="L724" t="s">
        <v>524</v>
      </c>
      <c r="N724" t="s">
        <v>1883</v>
      </c>
      <c r="O724" t="s">
        <v>1884</v>
      </c>
      <c r="P724" t="s">
        <v>165</v>
      </c>
      <c r="Q724" t="s">
        <v>1735</v>
      </c>
      <c r="R724">
        <v>1100000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1100000</v>
      </c>
      <c r="Z724">
        <v>0</v>
      </c>
      <c r="AA724">
        <v>0</v>
      </c>
      <c r="AB724">
        <v>0</v>
      </c>
      <c r="AC724">
        <v>0</v>
      </c>
      <c r="AD724">
        <v>1100000</v>
      </c>
      <c r="AE724">
        <v>0</v>
      </c>
    </row>
    <row r="725" spans="1:31" x14ac:dyDescent="0.2">
      <c r="A725" t="s">
        <v>1885</v>
      </c>
      <c r="B725" t="s">
        <v>519</v>
      </c>
      <c r="C725" t="s">
        <v>22</v>
      </c>
      <c r="D725" t="s">
        <v>520</v>
      </c>
      <c r="E725" t="s">
        <v>521</v>
      </c>
      <c r="F725" t="s">
        <v>522</v>
      </c>
      <c r="G725" t="s">
        <v>22</v>
      </c>
      <c r="H725" t="s">
        <v>22</v>
      </c>
      <c r="I725" t="s">
        <v>22</v>
      </c>
      <c r="J725" t="s">
        <v>523</v>
      </c>
      <c r="K725" t="s">
        <v>22</v>
      </c>
      <c r="L725" t="s">
        <v>524</v>
      </c>
      <c r="N725" t="s">
        <v>525</v>
      </c>
      <c r="O725" t="s">
        <v>526</v>
      </c>
      <c r="P725" t="s">
        <v>22</v>
      </c>
      <c r="Q725" t="s">
        <v>527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45466666</v>
      </c>
      <c r="AA725">
        <v>45466666</v>
      </c>
      <c r="AB725">
        <v>17466666</v>
      </c>
      <c r="AC725">
        <v>17466666</v>
      </c>
      <c r="AD725">
        <v>-45466666</v>
      </c>
      <c r="AE725">
        <v>0</v>
      </c>
    </row>
    <row r="726" spans="1:31" x14ac:dyDescent="0.2">
      <c r="A726" t="s">
        <v>1885</v>
      </c>
      <c r="B726" t="s">
        <v>519</v>
      </c>
      <c r="C726" t="s">
        <v>22</v>
      </c>
      <c r="D726" t="s">
        <v>520</v>
      </c>
      <c r="E726" t="s">
        <v>521</v>
      </c>
      <c r="F726" t="s">
        <v>522</v>
      </c>
      <c r="G726" t="s">
        <v>22</v>
      </c>
      <c r="H726" t="s">
        <v>22</v>
      </c>
      <c r="I726" t="s">
        <v>22</v>
      </c>
      <c r="J726" t="s">
        <v>523</v>
      </c>
      <c r="K726" t="s">
        <v>22</v>
      </c>
      <c r="L726" t="s">
        <v>524</v>
      </c>
      <c r="N726" t="s">
        <v>528</v>
      </c>
      <c r="O726" t="s">
        <v>529</v>
      </c>
      <c r="P726" t="s">
        <v>22</v>
      </c>
      <c r="Q726" t="s">
        <v>527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45466666</v>
      </c>
      <c r="AA726">
        <v>45466666</v>
      </c>
      <c r="AB726">
        <v>17466666</v>
      </c>
      <c r="AC726">
        <v>17466666</v>
      </c>
      <c r="AD726">
        <v>-45466666</v>
      </c>
      <c r="AE726">
        <v>0</v>
      </c>
    </row>
    <row r="727" spans="1:31" x14ac:dyDescent="0.2">
      <c r="A727" t="s">
        <v>1885</v>
      </c>
      <c r="B727" t="s">
        <v>519</v>
      </c>
      <c r="C727" t="s">
        <v>22</v>
      </c>
      <c r="D727" t="s">
        <v>520</v>
      </c>
      <c r="E727" t="s">
        <v>521</v>
      </c>
      <c r="F727" t="s">
        <v>522</v>
      </c>
      <c r="G727" t="s">
        <v>22</v>
      </c>
      <c r="H727" t="s">
        <v>22</v>
      </c>
      <c r="I727" t="s">
        <v>22</v>
      </c>
      <c r="J727" t="s">
        <v>523</v>
      </c>
      <c r="K727" t="s">
        <v>22</v>
      </c>
      <c r="L727" t="s">
        <v>524</v>
      </c>
      <c r="N727" t="s">
        <v>601</v>
      </c>
      <c r="O727" t="s">
        <v>602</v>
      </c>
      <c r="P727" t="s">
        <v>22</v>
      </c>
      <c r="Q727" t="s">
        <v>527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45466666</v>
      </c>
      <c r="AA727">
        <v>45466666</v>
      </c>
      <c r="AB727">
        <v>17466666</v>
      </c>
      <c r="AC727">
        <v>17466666</v>
      </c>
      <c r="AD727">
        <v>-45466666</v>
      </c>
      <c r="AE727">
        <v>0</v>
      </c>
    </row>
    <row r="728" spans="1:31" x14ac:dyDescent="0.2">
      <c r="A728" t="s">
        <v>1885</v>
      </c>
      <c r="B728" t="s">
        <v>519</v>
      </c>
      <c r="C728" t="s">
        <v>22</v>
      </c>
      <c r="D728" t="s">
        <v>520</v>
      </c>
      <c r="E728" t="s">
        <v>521</v>
      </c>
      <c r="F728" t="s">
        <v>522</v>
      </c>
      <c r="G728" t="s">
        <v>22</v>
      </c>
      <c r="H728" t="s">
        <v>22</v>
      </c>
      <c r="I728" t="s">
        <v>22</v>
      </c>
      <c r="J728" t="s">
        <v>523</v>
      </c>
      <c r="K728" t="s">
        <v>22</v>
      </c>
      <c r="L728" t="s">
        <v>524</v>
      </c>
      <c r="N728" t="s">
        <v>625</v>
      </c>
      <c r="O728" t="s">
        <v>626</v>
      </c>
      <c r="P728" t="s">
        <v>22</v>
      </c>
      <c r="Q728" t="s">
        <v>527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45466666</v>
      </c>
      <c r="AA728">
        <v>45466666</v>
      </c>
      <c r="AB728">
        <v>17466666</v>
      </c>
      <c r="AC728">
        <v>17466666</v>
      </c>
      <c r="AD728">
        <v>-45466666</v>
      </c>
      <c r="AE728">
        <v>0</v>
      </c>
    </row>
    <row r="729" spans="1:31" x14ac:dyDescent="0.2">
      <c r="A729" t="s">
        <v>1885</v>
      </c>
      <c r="B729" t="s">
        <v>519</v>
      </c>
      <c r="C729" t="s">
        <v>22</v>
      </c>
      <c r="D729" t="s">
        <v>520</v>
      </c>
      <c r="E729" t="s">
        <v>521</v>
      </c>
      <c r="F729" t="s">
        <v>522</v>
      </c>
      <c r="G729" t="s">
        <v>22</v>
      </c>
      <c r="H729" t="s">
        <v>22</v>
      </c>
      <c r="I729" t="s">
        <v>22</v>
      </c>
      <c r="J729" t="s">
        <v>523</v>
      </c>
      <c r="K729" t="s">
        <v>22</v>
      </c>
      <c r="L729" t="s">
        <v>524</v>
      </c>
      <c r="N729" t="s">
        <v>649</v>
      </c>
      <c r="O729" t="s">
        <v>650</v>
      </c>
      <c r="P729" t="s">
        <v>22</v>
      </c>
      <c r="Q729" t="s">
        <v>527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45466666</v>
      </c>
      <c r="AA729">
        <v>45466666</v>
      </c>
      <c r="AB729">
        <v>17466666</v>
      </c>
      <c r="AC729">
        <v>17466666</v>
      </c>
      <c r="AD729">
        <v>-45466666</v>
      </c>
      <c r="AE729">
        <v>0</v>
      </c>
    </row>
    <row r="730" spans="1:31" x14ac:dyDescent="0.2">
      <c r="A730" t="s">
        <v>1885</v>
      </c>
      <c r="B730" t="s">
        <v>519</v>
      </c>
      <c r="C730" t="s">
        <v>22</v>
      </c>
      <c r="D730" t="s">
        <v>520</v>
      </c>
      <c r="E730" t="s">
        <v>521</v>
      </c>
      <c r="F730" t="s">
        <v>522</v>
      </c>
      <c r="G730" t="s">
        <v>22</v>
      </c>
      <c r="H730" t="s">
        <v>22</v>
      </c>
      <c r="I730" t="s">
        <v>22</v>
      </c>
      <c r="J730" t="s">
        <v>523</v>
      </c>
      <c r="K730" t="s">
        <v>22</v>
      </c>
      <c r="L730" t="s">
        <v>524</v>
      </c>
      <c r="N730" t="s">
        <v>674</v>
      </c>
      <c r="O730" t="s">
        <v>1886</v>
      </c>
      <c r="P730" t="s">
        <v>22</v>
      </c>
      <c r="Q730" t="s">
        <v>527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45466666</v>
      </c>
      <c r="AA730">
        <v>45466666</v>
      </c>
      <c r="AB730">
        <v>17466666</v>
      </c>
      <c r="AC730">
        <v>17466666</v>
      </c>
      <c r="AD730">
        <v>-45466666</v>
      </c>
      <c r="AE730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95"/>
  <sheetViews>
    <sheetView workbookViewId="0">
      <selection activeCell="C7" sqref="C7"/>
    </sheetView>
  </sheetViews>
  <sheetFormatPr baseColWidth="10" defaultColWidth="8.83203125" defaultRowHeight="15" x14ac:dyDescent="0.2"/>
  <cols>
    <col min="1" max="1" width="20" customWidth="1"/>
    <col min="2" max="4" width="40" customWidth="1"/>
    <col min="5" max="5" width="13" customWidth="1"/>
    <col min="6" max="7" width="40" customWidth="1"/>
    <col min="8" max="8" width="26" customWidth="1"/>
    <col min="9" max="9" width="40" customWidth="1"/>
    <col min="10" max="10" width="11" customWidth="1"/>
    <col min="11" max="11" width="40" customWidth="1"/>
    <col min="12" max="12" width="18" customWidth="1"/>
    <col min="13" max="13" width="20" customWidth="1"/>
  </cols>
  <sheetData>
    <row r="1" spans="1:13" ht="30" customHeight="1" x14ac:dyDescent="0.2">
      <c r="A1" s="1" t="s">
        <v>17</v>
      </c>
      <c r="B1" s="1" t="s">
        <v>1887</v>
      </c>
      <c r="C1" s="2" t="s">
        <v>1888</v>
      </c>
      <c r="D1" s="2" t="s">
        <v>1889</v>
      </c>
      <c r="E1" s="2" t="s">
        <v>1890</v>
      </c>
      <c r="F1" s="3" t="s">
        <v>1891</v>
      </c>
      <c r="G1" s="3" t="s">
        <v>1892</v>
      </c>
      <c r="H1" s="3" t="s">
        <v>1893</v>
      </c>
      <c r="I1" s="4" t="s">
        <v>1894</v>
      </c>
      <c r="J1" s="4" t="s">
        <v>1895</v>
      </c>
      <c r="K1" s="5" t="s">
        <v>1896</v>
      </c>
      <c r="L1" s="5" t="s">
        <v>1897</v>
      </c>
      <c r="M1" s="6" t="s">
        <v>1898</v>
      </c>
    </row>
    <row r="2" spans="1:13" x14ac:dyDescent="0.2">
      <c r="A2" s="7" t="s">
        <v>48</v>
      </c>
      <c r="B2" s="7" t="s">
        <v>540</v>
      </c>
      <c r="C2" s="8">
        <f>SUMIF(INGRESOS!$R:$R,A2,INGRESOS!$L:$L)</f>
        <v>724078111</v>
      </c>
      <c r="D2" s="8">
        <f>SUMIF(EGRESOS!$P:$P,A2,EGRESOS!$Y:$Y)</f>
        <v>724078111</v>
      </c>
      <c r="E2" s="8">
        <f t="shared" ref="E2:E33" si="0">C2-D2</f>
        <v>0</v>
      </c>
      <c r="F2" s="8">
        <f>SUMIF(INGRESOS!$R:$R,A2,INGRESOS!$N:$N)</f>
        <v>320382827.05000001</v>
      </c>
      <c r="G2" s="8">
        <f>SUMIF(EGRESOS!$P:$P,A2,EGRESOS!$AA:$AA)</f>
        <v>247343443</v>
      </c>
      <c r="H2" s="8">
        <f t="shared" ref="H2:H33" si="1">F2-G2</f>
        <v>73039384.050000012</v>
      </c>
      <c r="I2" s="8">
        <f>SUMIF(EGRESOS!$P:$P,A2,EGRESOS!$AB:$AB)</f>
        <v>239843443</v>
      </c>
      <c r="J2" s="8">
        <f t="shared" ref="J2:J33" si="2">G2-I2</f>
        <v>7500000</v>
      </c>
      <c r="K2" s="8">
        <f>SUMIF(EGRESOS!$P:$P,A2,EGRESOS!$AC:$AC)</f>
        <v>239843443</v>
      </c>
      <c r="L2" s="8">
        <f t="shared" ref="L2:L33" si="3">I2-K2</f>
        <v>0</v>
      </c>
      <c r="M2" s="8">
        <f t="shared" ref="M2:M33" si="4">H2+J2+L2</f>
        <v>80539384.050000012</v>
      </c>
    </row>
    <row r="3" spans="1:13" x14ac:dyDescent="0.2">
      <c r="A3" s="7" t="s">
        <v>242</v>
      </c>
      <c r="B3" s="7" t="s">
        <v>541</v>
      </c>
      <c r="C3" s="8">
        <f>SUMIF(INGRESOS!$R:$R,A3,INGRESOS!$L:$L)</f>
        <v>2594725636</v>
      </c>
      <c r="D3" s="8">
        <f>SUMIF(EGRESOS!$P:$P,A3,EGRESOS!$Y:$Y)</f>
        <v>2594725636</v>
      </c>
      <c r="E3" s="8">
        <f t="shared" si="0"/>
        <v>0</v>
      </c>
      <c r="F3" s="8">
        <f>SUMIF(INGRESOS!$R:$R,A3,INGRESOS!$N:$N)</f>
        <v>814709648.95000005</v>
      </c>
      <c r="G3" s="8">
        <f>SUMIF(EGRESOS!$P:$P,A3,EGRESOS!$AA:$AA)</f>
        <v>1589817662.0999999</v>
      </c>
      <c r="H3" s="8">
        <f t="shared" si="1"/>
        <v>-775108013.14999986</v>
      </c>
      <c r="I3" s="8">
        <f>SUMIF(EGRESOS!$P:$P,A3,EGRESOS!$AB:$AB)</f>
        <v>1052243638.1</v>
      </c>
      <c r="J3" s="8">
        <f t="shared" si="2"/>
        <v>537574023.99999988</v>
      </c>
      <c r="K3" s="8">
        <f>SUMIF(EGRESOS!$P:$P,A3,EGRESOS!$AC:$AC)</f>
        <v>1052243638.1</v>
      </c>
      <c r="L3" s="8">
        <f t="shared" si="3"/>
        <v>0</v>
      </c>
      <c r="M3" s="8">
        <f t="shared" si="4"/>
        <v>-237533989.14999998</v>
      </c>
    </row>
    <row r="4" spans="1:13" x14ac:dyDescent="0.2">
      <c r="A4" s="7" t="s">
        <v>144</v>
      </c>
      <c r="B4" s="7" t="s">
        <v>732</v>
      </c>
      <c r="C4" s="8">
        <f>SUMIF(INGRESOS!$R:$R,A4,INGRESOS!$L:$L)</f>
        <v>3000000</v>
      </c>
      <c r="D4" s="8">
        <f>SUMIF(EGRESOS!$P:$P,A4,EGRESOS!$Y:$Y)</f>
        <v>3000000</v>
      </c>
      <c r="E4" s="8">
        <f t="shared" si="0"/>
        <v>0</v>
      </c>
      <c r="F4" s="8">
        <f>SUMIF(INGRESOS!$R:$R,A4,INGRESOS!$N:$N)</f>
        <v>0</v>
      </c>
      <c r="G4" s="8">
        <f>SUMIF(EGRESOS!$P:$P,A4,EGRESOS!$AA:$AA)</f>
        <v>0</v>
      </c>
      <c r="H4" s="8">
        <f t="shared" si="1"/>
        <v>0</v>
      </c>
      <c r="I4" s="8">
        <f>SUMIF(EGRESOS!$P:$P,A4,EGRESOS!$AB:$AB)</f>
        <v>0</v>
      </c>
      <c r="J4" s="8">
        <f t="shared" si="2"/>
        <v>0</v>
      </c>
      <c r="K4" s="8">
        <f>SUMIF(EGRESOS!$P:$P,A4,EGRESOS!$AC:$AC)</f>
        <v>0</v>
      </c>
      <c r="L4" s="8">
        <f t="shared" si="3"/>
        <v>0</v>
      </c>
      <c r="M4" s="8">
        <f t="shared" si="4"/>
        <v>0</v>
      </c>
    </row>
    <row r="5" spans="1:13" x14ac:dyDescent="0.2">
      <c r="A5" s="7" t="s">
        <v>457</v>
      </c>
      <c r="B5" s="7" t="s">
        <v>733</v>
      </c>
      <c r="C5" s="8">
        <f>SUMIF(INGRESOS!$R:$R,A5,INGRESOS!$L:$L)</f>
        <v>5357255</v>
      </c>
      <c r="D5" s="8">
        <f>SUMIF(EGRESOS!$P:$P,A5,EGRESOS!$Y:$Y)</f>
        <v>5357255</v>
      </c>
      <c r="E5" s="8">
        <f t="shared" si="0"/>
        <v>0</v>
      </c>
      <c r="F5" s="8">
        <f>SUMIF(INGRESOS!$R:$R,A5,INGRESOS!$N:$N)</f>
        <v>0</v>
      </c>
      <c r="G5" s="8">
        <f>SUMIF(EGRESOS!$P:$P,A5,EGRESOS!$AA:$AA)</f>
        <v>0</v>
      </c>
      <c r="H5" s="8">
        <f t="shared" si="1"/>
        <v>0</v>
      </c>
      <c r="I5" s="8">
        <f>SUMIF(EGRESOS!$P:$P,A5,EGRESOS!$AB:$AB)</f>
        <v>0</v>
      </c>
      <c r="J5" s="8">
        <f t="shared" si="2"/>
        <v>0</v>
      </c>
      <c r="K5" s="8">
        <f>SUMIF(EGRESOS!$P:$P,A5,EGRESOS!$AC:$AC)</f>
        <v>0</v>
      </c>
      <c r="L5" s="8">
        <f t="shared" si="3"/>
        <v>0</v>
      </c>
      <c r="M5" s="8">
        <f t="shared" si="4"/>
        <v>0</v>
      </c>
    </row>
    <row r="6" spans="1:13" x14ac:dyDescent="0.2">
      <c r="A6" s="7" t="s">
        <v>38</v>
      </c>
      <c r="B6" s="7" t="s">
        <v>745</v>
      </c>
      <c r="C6" s="8">
        <f>SUMIF(INGRESOS!$R:$R,A6,INGRESOS!$L:$L)</f>
        <v>54319147</v>
      </c>
      <c r="D6" s="8">
        <f>SUMIF(EGRESOS!$P:$P,A6,EGRESOS!$Y:$Y)</f>
        <v>54319147</v>
      </c>
      <c r="E6" s="8">
        <f t="shared" si="0"/>
        <v>0</v>
      </c>
      <c r="F6" s="8">
        <f>SUMIF(INGRESOS!$R:$R,A6,INGRESOS!$N:$N)</f>
        <v>42503100</v>
      </c>
      <c r="G6" s="8">
        <f>SUMIF(EGRESOS!$P:$P,A6,EGRESOS!$AA:$AA)</f>
        <v>40977800</v>
      </c>
      <c r="H6" s="8">
        <f t="shared" si="1"/>
        <v>1525300</v>
      </c>
      <c r="I6" s="8">
        <f>SUMIF(EGRESOS!$P:$P,A6,EGRESOS!$AB:$AB)</f>
        <v>40977800</v>
      </c>
      <c r="J6" s="8">
        <f t="shared" si="2"/>
        <v>0</v>
      </c>
      <c r="K6" s="8">
        <f>SUMIF(EGRESOS!$P:$P,A6,EGRESOS!$AC:$AC)</f>
        <v>40977800</v>
      </c>
      <c r="L6" s="8">
        <f t="shared" si="3"/>
        <v>0</v>
      </c>
      <c r="M6" s="8">
        <f t="shared" si="4"/>
        <v>1525300</v>
      </c>
    </row>
    <row r="7" spans="1:13" x14ac:dyDescent="0.2">
      <c r="A7" s="7" t="s">
        <v>445</v>
      </c>
      <c r="B7" s="7" t="s">
        <v>746</v>
      </c>
      <c r="C7" s="8">
        <f>SUMIF(INGRESOS!$R:$R,A7,INGRESOS!$L:$L)</f>
        <v>4021970</v>
      </c>
      <c r="D7" s="8">
        <f>SUMIF(EGRESOS!$P:$P,A7,EGRESOS!$Y:$Y)</f>
        <v>4021970</v>
      </c>
      <c r="E7" s="8">
        <f t="shared" si="0"/>
        <v>0</v>
      </c>
      <c r="F7" s="8">
        <f>SUMIF(INGRESOS!$R:$R,A7,INGRESOS!$N:$N)</f>
        <v>0</v>
      </c>
      <c r="G7" s="8">
        <f>SUMIF(EGRESOS!$P:$P,A7,EGRESOS!$AA:$AA)</f>
        <v>0</v>
      </c>
      <c r="H7" s="8">
        <f t="shared" si="1"/>
        <v>0</v>
      </c>
      <c r="I7" s="8">
        <f>SUMIF(EGRESOS!$P:$P,A7,EGRESOS!$AB:$AB)</f>
        <v>0</v>
      </c>
      <c r="J7" s="8">
        <f t="shared" si="2"/>
        <v>0</v>
      </c>
      <c r="K7" s="8">
        <f>SUMIF(EGRESOS!$P:$P,A7,EGRESOS!$AC:$AC)</f>
        <v>0</v>
      </c>
      <c r="L7" s="8">
        <f t="shared" si="3"/>
        <v>0</v>
      </c>
      <c r="M7" s="8">
        <f t="shared" si="4"/>
        <v>0</v>
      </c>
    </row>
    <row r="8" spans="1:13" x14ac:dyDescent="0.2">
      <c r="A8" s="7" t="s">
        <v>83</v>
      </c>
      <c r="B8" s="7" t="s">
        <v>753</v>
      </c>
      <c r="C8" s="8">
        <f>SUMIF(INGRESOS!$R:$R,A8,INGRESOS!$L:$L)</f>
        <v>6349424</v>
      </c>
      <c r="D8" s="8">
        <f>SUMIF(EGRESOS!$P:$P,A8,EGRESOS!$Y:$Y)</f>
        <v>6349424</v>
      </c>
      <c r="E8" s="8">
        <f t="shared" si="0"/>
        <v>0</v>
      </c>
      <c r="F8" s="8">
        <f>SUMIF(INGRESOS!$R:$R,A8,INGRESOS!$N:$N)</f>
        <v>0</v>
      </c>
      <c r="G8" s="8">
        <f>SUMIF(EGRESOS!$P:$P,A8,EGRESOS!$AA:$AA)</f>
        <v>0</v>
      </c>
      <c r="H8" s="8">
        <f t="shared" si="1"/>
        <v>0</v>
      </c>
      <c r="I8" s="8">
        <f>SUMIF(EGRESOS!$P:$P,A8,EGRESOS!$AB:$AB)</f>
        <v>0</v>
      </c>
      <c r="J8" s="8">
        <f t="shared" si="2"/>
        <v>0</v>
      </c>
      <c r="K8" s="8">
        <f>SUMIF(EGRESOS!$P:$P,A8,EGRESOS!$AC:$AC)</f>
        <v>0</v>
      </c>
      <c r="L8" s="8">
        <f t="shared" si="3"/>
        <v>0</v>
      </c>
      <c r="M8" s="8">
        <f t="shared" si="4"/>
        <v>0</v>
      </c>
    </row>
    <row r="9" spans="1:13" x14ac:dyDescent="0.2">
      <c r="A9" s="7" t="s">
        <v>447</v>
      </c>
      <c r="B9" s="7" t="s">
        <v>754</v>
      </c>
      <c r="C9" s="8">
        <f>SUMIF(INGRESOS!$R:$R,A9,INGRESOS!$L:$L)</f>
        <v>8887000</v>
      </c>
      <c r="D9" s="8">
        <f>SUMIF(EGRESOS!$P:$P,A9,EGRESOS!$Y:$Y)</f>
        <v>8887000</v>
      </c>
      <c r="E9" s="8">
        <f t="shared" si="0"/>
        <v>0</v>
      </c>
      <c r="F9" s="8">
        <f>SUMIF(INGRESOS!$R:$R,A9,INGRESOS!$N:$N)</f>
        <v>0</v>
      </c>
      <c r="G9" s="8">
        <f>SUMIF(EGRESOS!$P:$P,A9,EGRESOS!$AA:$AA)</f>
        <v>0</v>
      </c>
      <c r="H9" s="8">
        <f t="shared" si="1"/>
        <v>0</v>
      </c>
      <c r="I9" s="8">
        <f>SUMIF(EGRESOS!$P:$P,A9,EGRESOS!$AB:$AB)</f>
        <v>0</v>
      </c>
      <c r="J9" s="8">
        <f t="shared" si="2"/>
        <v>0</v>
      </c>
      <c r="K9" s="8">
        <f>SUMIF(EGRESOS!$P:$P,A9,EGRESOS!$AC:$AC)</f>
        <v>0</v>
      </c>
      <c r="L9" s="8">
        <f t="shared" si="3"/>
        <v>0</v>
      </c>
      <c r="M9" s="8">
        <f t="shared" si="4"/>
        <v>0</v>
      </c>
    </row>
    <row r="10" spans="1:13" x14ac:dyDescent="0.2">
      <c r="A10" s="7" t="s">
        <v>98</v>
      </c>
      <c r="B10" s="7" t="s">
        <v>764</v>
      </c>
      <c r="C10" s="8">
        <f>SUMIF(INGRESOS!$R:$R,A10,INGRESOS!$L:$L)</f>
        <v>58472757</v>
      </c>
      <c r="D10" s="8">
        <f>SUMIF(EGRESOS!$P:$P,A10,EGRESOS!$Y:$Y)</f>
        <v>58472757</v>
      </c>
      <c r="E10" s="8">
        <f t="shared" si="0"/>
        <v>0</v>
      </c>
      <c r="F10" s="8">
        <f>SUMIF(INGRESOS!$R:$R,A10,INGRESOS!$N:$N)</f>
        <v>28667978</v>
      </c>
      <c r="G10" s="8">
        <f>SUMIF(EGRESOS!$P:$P,A10,EGRESOS!$AA:$AA)</f>
        <v>24200000</v>
      </c>
      <c r="H10" s="8">
        <f t="shared" si="1"/>
        <v>4467978</v>
      </c>
      <c r="I10" s="8">
        <f>SUMIF(EGRESOS!$P:$P,A10,EGRESOS!$AB:$AB)</f>
        <v>8800000</v>
      </c>
      <c r="J10" s="8">
        <f t="shared" si="2"/>
        <v>15400000</v>
      </c>
      <c r="K10" s="8">
        <f>SUMIF(EGRESOS!$P:$P,A10,EGRESOS!$AC:$AC)</f>
        <v>8800000</v>
      </c>
      <c r="L10" s="8">
        <f t="shared" si="3"/>
        <v>0</v>
      </c>
      <c r="M10" s="8">
        <f t="shared" si="4"/>
        <v>19867978</v>
      </c>
    </row>
    <row r="11" spans="1:13" x14ac:dyDescent="0.2">
      <c r="A11" s="7" t="s">
        <v>361</v>
      </c>
      <c r="B11" s="7" t="s">
        <v>765</v>
      </c>
      <c r="C11" s="8">
        <f>SUMIF(INGRESOS!$R:$R,A11,INGRESOS!$L:$L)</f>
        <v>100000</v>
      </c>
      <c r="D11" s="8">
        <f>SUMIF(EGRESOS!$P:$P,A11,EGRESOS!$Y:$Y)</f>
        <v>100000</v>
      </c>
      <c r="E11" s="8">
        <f t="shared" si="0"/>
        <v>0</v>
      </c>
      <c r="F11" s="8">
        <f>SUMIF(INGRESOS!$R:$R,A11,INGRESOS!$N:$N)</f>
        <v>5431.95</v>
      </c>
      <c r="G11" s="8">
        <f>SUMIF(EGRESOS!$P:$P,A11,EGRESOS!$AA:$AA)</f>
        <v>0</v>
      </c>
      <c r="H11" s="8">
        <f t="shared" si="1"/>
        <v>5431.95</v>
      </c>
      <c r="I11" s="8">
        <f>SUMIF(EGRESOS!$P:$P,A11,EGRESOS!$AB:$AB)</f>
        <v>0</v>
      </c>
      <c r="J11" s="8">
        <f t="shared" si="2"/>
        <v>0</v>
      </c>
      <c r="K11" s="8">
        <f>SUMIF(EGRESOS!$P:$P,A11,EGRESOS!$AC:$AC)</f>
        <v>0</v>
      </c>
      <c r="L11" s="8">
        <f t="shared" si="3"/>
        <v>0</v>
      </c>
      <c r="M11" s="8">
        <f t="shared" si="4"/>
        <v>5431.95</v>
      </c>
    </row>
    <row r="12" spans="1:13" x14ac:dyDescent="0.2">
      <c r="A12" s="7" t="s">
        <v>459</v>
      </c>
      <c r="B12" s="7" t="s">
        <v>766</v>
      </c>
      <c r="C12" s="8">
        <f>SUMIF(INGRESOS!$R:$R,A12,INGRESOS!$L:$L)</f>
        <v>108867154</v>
      </c>
      <c r="D12" s="8">
        <f>SUMIF(EGRESOS!$P:$P,A12,EGRESOS!$Y:$Y)</f>
        <v>108867154</v>
      </c>
      <c r="E12" s="8">
        <f t="shared" si="0"/>
        <v>0</v>
      </c>
      <c r="F12" s="8">
        <f>SUMIF(INGRESOS!$R:$R,A12,INGRESOS!$N:$N)</f>
        <v>0</v>
      </c>
      <c r="G12" s="8">
        <f>SUMIF(EGRESOS!$P:$P,A12,EGRESOS!$AA:$AA)</f>
        <v>21371000</v>
      </c>
      <c r="H12" s="8">
        <f t="shared" si="1"/>
        <v>-21371000</v>
      </c>
      <c r="I12" s="8">
        <f>SUMIF(EGRESOS!$P:$P,A12,EGRESOS!$AB:$AB)</f>
        <v>0</v>
      </c>
      <c r="J12" s="8">
        <f t="shared" si="2"/>
        <v>21371000</v>
      </c>
      <c r="K12" s="8">
        <f>SUMIF(EGRESOS!$P:$P,A12,EGRESOS!$AC:$AC)</f>
        <v>0</v>
      </c>
      <c r="L12" s="8">
        <f t="shared" si="3"/>
        <v>0</v>
      </c>
      <c r="M12" s="8">
        <f t="shared" si="4"/>
        <v>0</v>
      </c>
    </row>
    <row r="13" spans="1:13" x14ac:dyDescent="0.2">
      <c r="A13" s="7" t="s">
        <v>399</v>
      </c>
      <c r="B13" s="7" t="s">
        <v>767</v>
      </c>
      <c r="C13" s="8">
        <f>SUMIF(INGRESOS!$R:$R,A13,INGRESOS!$L:$L)</f>
        <v>78760</v>
      </c>
      <c r="D13" s="8">
        <f>SUMIF(EGRESOS!$P:$P,A13,EGRESOS!$Y:$Y)</f>
        <v>78760</v>
      </c>
      <c r="E13" s="8">
        <f t="shared" si="0"/>
        <v>0</v>
      </c>
      <c r="F13" s="8">
        <f>SUMIF(INGRESOS!$R:$R,A13,INGRESOS!$N:$N)</f>
        <v>2244</v>
      </c>
      <c r="G13" s="8">
        <f>SUMIF(EGRESOS!$P:$P,A13,EGRESOS!$AA:$AA)</f>
        <v>0</v>
      </c>
      <c r="H13" s="8">
        <f t="shared" si="1"/>
        <v>2244</v>
      </c>
      <c r="I13" s="8">
        <f>SUMIF(EGRESOS!$P:$P,A13,EGRESOS!$AB:$AB)</f>
        <v>0</v>
      </c>
      <c r="J13" s="8">
        <f t="shared" si="2"/>
        <v>0</v>
      </c>
      <c r="K13" s="8">
        <f>SUMIF(EGRESOS!$P:$P,A13,EGRESOS!$AC:$AC)</f>
        <v>0</v>
      </c>
      <c r="L13" s="8">
        <f t="shared" si="3"/>
        <v>0</v>
      </c>
      <c r="M13" s="8">
        <f t="shared" si="4"/>
        <v>2244</v>
      </c>
    </row>
    <row r="14" spans="1:13" x14ac:dyDescent="0.2">
      <c r="A14" s="7" t="s">
        <v>238</v>
      </c>
      <c r="B14" s="7" t="s">
        <v>805</v>
      </c>
      <c r="C14" s="8">
        <f>SUMIF(INGRESOS!$R:$R,A14,INGRESOS!$L:$L)</f>
        <v>3230069191</v>
      </c>
      <c r="D14" s="8">
        <f>SUMIF(EGRESOS!$P:$P,A14,EGRESOS!$Y:$Y)</f>
        <v>3230069191</v>
      </c>
      <c r="E14" s="8">
        <f t="shared" si="0"/>
        <v>0</v>
      </c>
      <c r="F14" s="8">
        <f>SUMIF(INGRESOS!$R:$R,A14,INGRESOS!$N:$N)</f>
        <v>1011355991.05</v>
      </c>
      <c r="G14" s="8">
        <f>SUMIF(EGRESOS!$P:$P,A14,EGRESOS!$AA:$AA)</f>
        <v>1444548129.8</v>
      </c>
      <c r="H14" s="8">
        <f t="shared" si="1"/>
        <v>-433192138.75</v>
      </c>
      <c r="I14" s="8">
        <f>SUMIF(EGRESOS!$P:$P,A14,EGRESOS!$AB:$AB)</f>
        <v>773628018.54999995</v>
      </c>
      <c r="J14" s="8">
        <f t="shared" si="2"/>
        <v>670920111.25</v>
      </c>
      <c r="K14" s="8">
        <f>SUMIF(EGRESOS!$P:$P,A14,EGRESOS!$AC:$AC)</f>
        <v>773628018.54999995</v>
      </c>
      <c r="L14" s="8">
        <f t="shared" si="3"/>
        <v>0</v>
      </c>
      <c r="M14" s="8">
        <f t="shared" si="4"/>
        <v>237727972.5</v>
      </c>
    </row>
    <row r="15" spans="1:13" x14ac:dyDescent="0.2">
      <c r="A15" s="7" t="s">
        <v>94</v>
      </c>
      <c r="B15" s="7" t="s">
        <v>822</v>
      </c>
      <c r="C15" s="8">
        <f>SUMIF(INGRESOS!$R:$R,A15,INGRESOS!$L:$L)</f>
        <v>175509125</v>
      </c>
      <c r="D15" s="8">
        <f>SUMIF(EGRESOS!$P:$P,A15,EGRESOS!$Y:$Y)</f>
        <v>175509125</v>
      </c>
      <c r="E15" s="8">
        <f t="shared" si="0"/>
        <v>0</v>
      </c>
      <c r="F15" s="8">
        <f>SUMIF(INGRESOS!$R:$R,A15,INGRESOS!$N:$N)</f>
        <v>83235618</v>
      </c>
      <c r="G15" s="8">
        <f>SUMIF(EGRESOS!$P:$P,A15,EGRESOS!$AA:$AA)</f>
        <v>66410361</v>
      </c>
      <c r="H15" s="8">
        <f t="shared" si="1"/>
        <v>16825257</v>
      </c>
      <c r="I15" s="8">
        <f>SUMIF(EGRESOS!$P:$P,A15,EGRESOS!$AB:$AB)</f>
        <v>66410361</v>
      </c>
      <c r="J15" s="8">
        <f t="shared" si="2"/>
        <v>0</v>
      </c>
      <c r="K15" s="8">
        <f>SUMIF(EGRESOS!$P:$P,A15,EGRESOS!$AC:$AC)</f>
        <v>66410361</v>
      </c>
      <c r="L15" s="8">
        <f t="shared" si="3"/>
        <v>0</v>
      </c>
      <c r="M15" s="8">
        <f t="shared" si="4"/>
        <v>16825257</v>
      </c>
    </row>
    <row r="16" spans="1:13" x14ac:dyDescent="0.2">
      <c r="A16" s="7" t="s">
        <v>440</v>
      </c>
      <c r="B16" s="7" t="s">
        <v>823</v>
      </c>
      <c r="C16" s="8">
        <f>SUMIF(INGRESOS!$R:$R,A16,INGRESOS!$L:$L)</f>
        <v>90719950</v>
      </c>
      <c r="D16" s="8">
        <f>SUMIF(EGRESOS!$P:$P,A16,EGRESOS!$Y:$Y)</f>
        <v>90719950</v>
      </c>
      <c r="E16" s="8">
        <f t="shared" si="0"/>
        <v>0</v>
      </c>
      <c r="F16" s="8">
        <f>SUMIF(INGRESOS!$R:$R,A16,INGRESOS!$N:$N)</f>
        <v>0</v>
      </c>
      <c r="G16" s="8">
        <f>SUMIF(EGRESOS!$P:$P,A16,EGRESOS!$AA:$AA)</f>
        <v>0</v>
      </c>
      <c r="H16" s="8">
        <f t="shared" si="1"/>
        <v>0</v>
      </c>
      <c r="I16" s="8">
        <f>SUMIF(EGRESOS!$P:$P,A16,EGRESOS!$AB:$AB)</f>
        <v>0</v>
      </c>
      <c r="J16" s="8">
        <f t="shared" si="2"/>
        <v>0</v>
      </c>
      <c r="K16" s="8">
        <f>SUMIF(EGRESOS!$P:$P,A16,EGRESOS!$AC:$AC)</f>
        <v>0</v>
      </c>
      <c r="L16" s="8">
        <f t="shared" si="3"/>
        <v>0</v>
      </c>
      <c r="M16" s="8">
        <f t="shared" si="4"/>
        <v>0</v>
      </c>
    </row>
    <row r="17" spans="1:13" x14ac:dyDescent="0.2">
      <c r="A17" s="7" t="s">
        <v>102</v>
      </c>
      <c r="B17" s="7" t="s">
        <v>100</v>
      </c>
      <c r="C17" s="8">
        <f>SUMIF(INGRESOS!$R:$R,A17,INGRESOS!$L:$L)</f>
        <v>54549859</v>
      </c>
      <c r="D17" s="8">
        <f>SUMIF(EGRESOS!$P:$P,A17,EGRESOS!$Y:$Y)</f>
        <v>54549859</v>
      </c>
      <c r="E17" s="8">
        <f t="shared" si="0"/>
        <v>0</v>
      </c>
      <c r="F17" s="8">
        <f>SUMIF(INGRESOS!$R:$R,A17,INGRESOS!$N:$N)</f>
        <v>24554652</v>
      </c>
      <c r="G17" s="8">
        <f>SUMIF(EGRESOS!$P:$P,A17,EGRESOS!$AA:$AA)</f>
        <v>43488686</v>
      </c>
      <c r="H17" s="8">
        <f t="shared" si="1"/>
        <v>-18934034</v>
      </c>
      <c r="I17" s="8">
        <f>SUMIF(EGRESOS!$P:$P,A17,EGRESOS!$AB:$AB)</f>
        <v>43488686</v>
      </c>
      <c r="J17" s="8">
        <f t="shared" si="2"/>
        <v>0</v>
      </c>
      <c r="K17" s="8">
        <f>SUMIF(EGRESOS!$P:$P,A17,EGRESOS!$AC:$AC)</f>
        <v>43488686</v>
      </c>
      <c r="L17" s="8">
        <f t="shared" si="3"/>
        <v>0</v>
      </c>
      <c r="M17" s="8">
        <f t="shared" si="4"/>
        <v>-18934034</v>
      </c>
    </row>
    <row r="18" spans="1:13" x14ac:dyDescent="0.2">
      <c r="A18" s="7" t="s">
        <v>384</v>
      </c>
      <c r="B18" s="7" t="s">
        <v>829</v>
      </c>
      <c r="C18" s="8">
        <f>SUMIF(INGRESOS!$R:$R,A18,INGRESOS!$L:$L)</f>
        <v>100000</v>
      </c>
      <c r="D18" s="8">
        <f>SUMIF(EGRESOS!$P:$P,A18,EGRESOS!$Y:$Y)</f>
        <v>100000</v>
      </c>
      <c r="E18" s="8">
        <f t="shared" si="0"/>
        <v>0</v>
      </c>
      <c r="F18" s="8">
        <f>SUMIF(INGRESOS!$R:$R,A18,INGRESOS!$N:$N)</f>
        <v>47252</v>
      </c>
      <c r="G18" s="8">
        <f>SUMIF(EGRESOS!$P:$P,A18,EGRESOS!$AA:$AA)</f>
        <v>0</v>
      </c>
      <c r="H18" s="8">
        <f t="shared" si="1"/>
        <v>47252</v>
      </c>
      <c r="I18" s="8">
        <f>SUMIF(EGRESOS!$P:$P,A18,EGRESOS!$AB:$AB)</f>
        <v>0</v>
      </c>
      <c r="J18" s="8">
        <f t="shared" si="2"/>
        <v>0</v>
      </c>
      <c r="K18" s="8">
        <f>SUMIF(EGRESOS!$P:$P,A18,EGRESOS!$AC:$AC)</f>
        <v>0</v>
      </c>
      <c r="L18" s="8">
        <f t="shared" si="3"/>
        <v>0</v>
      </c>
      <c r="M18" s="8">
        <f t="shared" si="4"/>
        <v>47252</v>
      </c>
    </row>
    <row r="19" spans="1:13" x14ac:dyDescent="0.2">
      <c r="A19" s="7" t="s">
        <v>491</v>
      </c>
      <c r="B19" s="7" t="s">
        <v>838</v>
      </c>
      <c r="C19" s="8">
        <f>SUMIF(INGRESOS!$R:$R,A19,INGRESOS!$L:$L)</f>
        <v>93881199</v>
      </c>
      <c r="D19" s="8">
        <f>SUMIF(EGRESOS!$P:$P,A19,EGRESOS!$Y:$Y)</f>
        <v>93881199</v>
      </c>
      <c r="E19" s="8">
        <f t="shared" si="0"/>
        <v>0</v>
      </c>
      <c r="F19" s="8">
        <f>SUMIF(INGRESOS!$R:$R,A19,INGRESOS!$N:$N)</f>
        <v>0</v>
      </c>
      <c r="G19" s="8">
        <f>SUMIF(EGRESOS!$P:$P,A19,EGRESOS!$AA:$AA)</f>
        <v>0</v>
      </c>
      <c r="H19" s="8">
        <f t="shared" si="1"/>
        <v>0</v>
      </c>
      <c r="I19" s="8">
        <f>SUMIF(EGRESOS!$P:$P,A19,EGRESOS!$AB:$AB)</f>
        <v>0</v>
      </c>
      <c r="J19" s="8">
        <f t="shared" si="2"/>
        <v>0</v>
      </c>
      <c r="K19" s="8">
        <f>SUMIF(EGRESOS!$P:$P,A19,EGRESOS!$AC:$AC)</f>
        <v>0</v>
      </c>
      <c r="L19" s="8">
        <f t="shared" si="3"/>
        <v>0</v>
      </c>
      <c r="M19" s="8">
        <f t="shared" si="4"/>
        <v>0</v>
      </c>
    </row>
    <row r="20" spans="1:13" x14ac:dyDescent="0.2">
      <c r="A20" s="7" t="s">
        <v>483</v>
      </c>
      <c r="B20" s="7" t="s">
        <v>863</v>
      </c>
      <c r="C20" s="8">
        <f>SUMIF(INGRESOS!$R:$R,A20,INGRESOS!$L:$L)</f>
        <v>591872650</v>
      </c>
      <c r="D20" s="8">
        <f>SUMIF(EGRESOS!$P:$P,A20,EGRESOS!$Y:$Y)</f>
        <v>591872650</v>
      </c>
      <c r="E20" s="8">
        <f t="shared" si="0"/>
        <v>0</v>
      </c>
      <c r="F20" s="8">
        <f>SUMIF(INGRESOS!$R:$R,A20,INGRESOS!$N:$N)</f>
        <v>0</v>
      </c>
      <c r="G20" s="8">
        <f>SUMIF(EGRESOS!$P:$P,A20,EGRESOS!$AA:$AA)</f>
        <v>203305315.91</v>
      </c>
      <c r="H20" s="8">
        <f t="shared" si="1"/>
        <v>-203305315.91</v>
      </c>
      <c r="I20" s="8">
        <f>SUMIF(EGRESOS!$P:$P,A20,EGRESOS!$AB:$AB)</f>
        <v>83522957</v>
      </c>
      <c r="J20" s="8">
        <f t="shared" si="2"/>
        <v>119782358.91</v>
      </c>
      <c r="K20" s="8">
        <f>SUMIF(EGRESOS!$P:$P,A20,EGRESOS!$AC:$AC)</f>
        <v>83522957</v>
      </c>
      <c r="L20" s="8">
        <f t="shared" si="3"/>
        <v>0</v>
      </c>
      <c r="M20" s="8">
        <f t="shared" si="4"/>
        <v>-83522957</v>
      </c>
    </row>
    <row r="21" spans="1:13" x14ac:dyDescent="0.2">
      <c r="A21" s="7" t="s">
        <v>350</v>
      </c>
      <c r="B21" s="7" t="s">
        <v>887</v>
      </c>
      <c r="C21" s="8">
        <f>SUMIF(INGRESOS!$R:$R,A21,INGRESOS!$L:$L)</f>
        <v>100000</v>
      </c>
      <c r="D21" s="8">
        <f>SUMIF(EGRESOS!$P:$P,A21,EGRESOS!$Y:$Y)</f>
        <v>100000</v>
      </c>
      <c r="E21" s="8">
        <f t="shared" si="0"/>
        <v>0</v>
      </c>
      <c r="F21" s="8">
        <f>SUMIF(INGRESOS!$R:$R,A21,INGRESOS!$N:$N)</f>
        <v>1708</v>
      </c>
      <c r="G21" s="8">
        <f>SUMIF(EGRESOS!$P:$P,A21,EGRESOS!$AA:$AA)</f>
        <v>0</v>
      </c>
      <c r="H21" s="8">
        <f t="shared" si="1"/>
        <v>1708</v>
      </c>
      <c r="I21" s="8">
        <f>SUMIF(EGRESOS!$P:$P,A21,EGRESOS!$AB:$AB)</f>
        <v>0</v>
      </c>
      <c r="J21" s="8">
        <f t="shared" si="2"/>
        <v>0</v>
      </c>
      <c r="K21" s="8">
        <f>SUMIF(EGRESOS!$P:$P,A21,EGRESOS!$AC:$AC)</f>
        <v>0</v>
      </c>
      <c r="L21" s="8">
        <f t="shared" si="3"/>
        <v>0</v>
      </c>
      <c r="M21" s="8">
        <f t="shared" si="4"/>
        <v>1708</v>
      </c>
    </row>
    <row r="22" spans="1:13" x14ac:dyDescent="0.2">
      <c r="A22" s="7" t="s">
        <v>477</v>
      </c>
      <c r="B22" s="7" t="s">
        <v>902</v>
      </c>
      <c r="C22" s="8">
        <f>SUMIF(INGRESOS!$R:$R,A22,INGRESOS!$L:$L)</f>
        <v>258187240</v>
      </c>
      <c r="D22" s="8">
        <f>SUMIF(EGRESOS!$P:$P,A22,EGRESOS!$Y:$Y)</f>
        <v>258187240</v>
      </c>
      <c r="E22" s="8">
        <f t="shared" si="0"/>
        <v>0</v>
      </c>
      <c r="F22" s="8">
        <f>SUMIF(INGRESOS!$R:$R,A22,INGRESOS!$N:$N)</f>
        <v>0</v>
      </c>
      <c r="G22" s="8">
        <f>SUMIF(EGRESOS!$P:$P,A22,EGRESOS!$AA:$AA)</f>
        <v>33992206</v>
      </c>
      <c r="H22" s="8">
        <f t="shared" si="1"/>
        <v>-33992206</v>
      </c>
      <c r="I22" s="8">
        <f>SUMIF(EGRESOS!$P:$P,A22,EGRESOS!$AB:$AB)</f>
        <v>33992206</v>
      </c>
      <c r="J22" s="8">
        <f t="shared" si="2"/>
        <v>0</v>
      </c>
      <c r="K22" s="8">
        <f>SUMIF(EGRESOS!$P:$P,A22,EGRESOS!$AC:$AC)</f>
        <v>33992206</v>
      </c>
      <c r="L22" s="8">
        <f t="shared" si="3"/>
        <v>0</v>
      </c>
      <c r="M22" s="8">
        <f t="shared" si="4"/>
        <v>-33992206</v>
      </c>
    </row>
    <row r="23" spans="1:13" x14ac:dyDescent="0.2">
      <c r="A23" s="7" t="s">
        <v>461</v>
      </c>
      <c r="B23" s="7" t="s">
        <v>904</v>
      </c>
      <c r="C23" s="8">
        <f>SUMIF(INGRESOS!$R:$R,A23,INGRESOS!$L:$L)</f>
        <v>31127038</v>
      </c>
      <c r="D23" s="8">
        <f>SUMIF(EGRESOS!$P:$P,A23,EGRESOS!$Y:$Y)</f>
        <v>31127038</v>
      </c>
      <c r="E23" s="8">
        <f t="shared" si="0"/>
        <v>0</v>
      </c>
      <c r="F23" s="8">
        <f>SUMIF(INGRESOS!$R:$R,A23,INGRESOS!$N:$N)</f>
        <v>0</v>
      </c>
      <c r="G23" s="8">
        <f>SUMIF(EGRESOS!$P:$P,A23,EGRESOS!$AA:$AA)</f>
        <v>6554435</v>
      </c>
      <c r="H23" s="8">
        <f t="shared" si="1"/>
        <v>-6554435</v>
      </c>
      <c r="I23" s="8">
        <f>SUMIF(EGRESOS!$P:$P,A23,EGRESOS!$AB:$AB)</f>
        <v>6554435</v>
      </c>
      <c r="J23" s="8">
        <f t="shared" si="2"/>
        <v>0</v>
      </c>
      <c r="K23" s="8">
        <f>SUMIF(EGRESOS!$P:$P,A23,EGRESOS!$AC:$AC)</f>
        <v>6554435</v>
      </c>
      <c r="L23" s="8">
        <f t="shared" si="3"/>
        <v>0</v>
      </c>
      <c r="M23" s="8">
        <f t="shared" si="4"/>
        <v>-6554435</v>
      </c>
    </row>
    <row r="24" spans="1:13" x14ac:dyDescent="0.2">
      <c r="A24" s="7" t="s">
        <v>380</v>
      </c>
      <c r="B24" s="7" t="s">
        <v>1136</v>
      </c>
      <c r="C24" s="8">
        <f>SUMIF(INGRESOS!$R:$R,A24,INGRESOS!$L:$L)</f>
        <v>100000</v>
      </c>
      <c r="D24" s="8">
        <f>SUMIF(EGRESOS!$P:$P,A24,EGRESOS!$Y:$Y)</f>
        <v>100000</v>
      </c>
      <c r="E24" s="8">
        <f t="shared" si="0"/>
        <v>0</v>
      </c>
      <c r="F24" s="8">
        <f>SUMIF(INGRESOS!$R:$R,A24,INGRESOS!$N:$N)</f>
        <v>16597</v>
      </c>
      <c r="G24" s="8">
        <f>SUMIF(EGRESOS!$P:$P,A24,EGRESOS!$AA:$AA)</f>
        <v>0</v>
      </c>
      <c r="H24" s="8">
        <f t="shared" si="1"/>
        <v>16597</v>
      </c>
      <c r="I24" s="8">
        <f>SUMIF(EGRESOS!$P:$P,A24,EGRESOS!$AB:$AB)</f>
        <v>0</v>
      </c>
      <c r="J24" s="8">
        <f t="shared" si="2"/>
        <v>0</v>
      </c>
      <c r="K24" s="8">
        <f>SUMIF(EGRESOS!$P:$P,A24,EGRESOS!$AC:$AC)</f>
        <v>0</v>
      </c>
      <c r="L24" s="8">
        <f t="shared" si="3"/>
        <v>0</v>
      </c>
      <c r="M24" s="8">
        <f t="shared" si="4"/>
        <v>16597</v>
      </c>
    </row>
    <row r="25" spans="1:13" x14ac:dyDescent="0.2">
      <c r="A25" s="7" t="s">
        <v>443</v>
      </c>
      <c r="B25" s="7" t="s">
        <v>1138</v>
      </c>
      <c r="C25" s="8">
        <f>SUMIF(INGRESOS!$R:$R,A25,INGRESOS!$L:$L)</f>
        <v>115911592</v>
      </c>
      <c r="D25" s="8">
        <f>SUMIF(EGRESOS!$P:$P,A25,EGRESOS!$Y:$Y)</f>
        <v>115911592</v>
      </c>
      <c r="E25" s="8">
        <f t="shared" si="0"/>
        <v>0</v>
      </c>
      <c r="F25" s="8">
        <f>SUMIF(INGRESOS!$R:$R,A25,INGRESOS!$N:$N)</f>
        <v>0</v>
      </c>
      <c r="G25" s="8">
        <f>SUMIF(EGRESOS!$P:$P,A25,EGRESOS!$AA:$AA)</f>
        <v>1474200</v>
      </c>
      <c r="H25" s="8">
        <f t="shared" si="1"/>
        <v>-1474200</v>
      </c>
      <c r="I25" s="8">
        <f>SUMIF(EGRESOS!$P:$P,A25,EGRESOS!$AB:$AB)</f>
        <v>1000000</v>
      </c>
      <c r="J25" s="8">
        <f t="shared" si="2"/>
        <v>474200</v>
      </c>
      <c r="K25" s="8">
        <f>SUMIF(EGRESOS!$P:$P,A25,EGRESOS!$AC:$AC)</f>
        <v>1000000</v>
      </c>
      <c r="L25" s="8">
        <f t="shared" si="3"/>
        <v>0</v>
      </c>
      <c r="M25" s="8">
        <f t="shared" si="4"/>
        <v>-1000000</v>
      </c>
    </row>
    <row r="26" spans="1:13" x14ac:dyDescent="0.2">
      <c r="A26" s="7" t="s">
        <v>421</v>
      </c>
      <c r="B26" s="7" t="s">
        <v>419</v>
      </c>
      <c r="C26" s="8">
        <f>SUMIF(INGRESOS!$R:$R,A26,INGRESOS!$L:$L)</f>
        <v>66818</v>
      </c>
      <c r="D26" s="8">
        <f>SUMIF(EGRESOS!$P:$P,A26,EGRESOS!$Y:$Y)</f>
        <v>66818</v>
      </c>
      <c r="E26" s="8">
        <f t="shared" si="0"/>
        <v>0</v>
      </c>
      <c r="F26" s="8">
        <f>SUMIF(INGRESOS!$R:$R,A26,INGRESOS!$N:$N)</f>
        <v>103</v>
      </c>
      <c r="G26" s="8">
        <f>SUMIF(EGRESOS!$P:$P,A26,EGRESOS!$AA:$AA)</f>
        <v>0</v>
      </c>
      <c r="H26" s="8">
        <f t="shared" si="1"/>
        <v>103</v>
      </c>
      <c r="I26" s="8">
        <f>SUMIF(EGRESOS!$P:$P,A26,EGRESOS!$AB:$AB)</f>
        <v>0</v>
      </c>
      <c r="J26" s="8">
        <f t="shared" si="2"/>
        <v>0</v>
      </c>
      <c r="K26" s="8">
        <f>SUMIF(EGRESOS!$P:$P,A26,EGRESOS!$AC:$AC)</f>
        <v>0</v>
      </c>
      <c r="L26" s="8">
        <f t="shared" si="3"/>
        <v>0</v>
      </c>
      <c r="M26" s="8">
        <f t="shared" si="4"/>
        <v>103</v>
      </c>
    </row>
    <row r="27" spans="1:13" x14ac:dyDescent="0.2">
      <c r="A27" s="7" t="s">
        <v>248</v>
      </c>
      <c r="B27" s="7" t="s">
        <v>1156</v>
      </c>
      <c r="C27" s="8">
        <f>SUMIF(INGRESOS!$R:$R,A27,INGRESOS!$L:$L)</f>
        <v>108490064</v>
      </c>
      <c r="D27" s="8">
        <f>SUMIF(EGRESOS!$P:$P,A27,EGRESOS!$Y:$Y)</f>
        <v>108490064</v>
      </c>
      <c r="E27" s="8">
        <f t="shared" si="0"/>
        <v>0</v>
      </c>
      <c r="F27" s="8">
        <f>SUMIF(INGRESOS!$R:$R,A27,INGRESOS!$N:$N)</f>
        <v>34188872</v>
      </c>
      <c r="G27" s="8">
        <f>SUMIF(EGRESOS!$P:$P,A27,EGRESOS!$AA:$AA)</f>
        <v>0</v>
      </c>
      <c r="H27" s="8">
        <f t="shared" si="1"/>
        <v>34188872</v>
      </c>
      <c r="I27" s="8">
        <f>SUMIF(EGRESOS!$P:$P,A27,EGRESOS!$AB:$AB)</f>
        <v>0</v>
      </c>
      <c r="J27" s="8">
        <f t="shared" si="2"/>
        <v>0</v>
      </c>
      <c r="K27" s="8">
        <f>SUMIF(EGRESOS!$P:$P,A27,EGRESOS!$AC:$AC)</f>
        <v>0</v>
      </c>
      <c r="L27" s="8">
        <f t="shared" si="3"/>
        <v>0</v>
      </c>
      <c r="M27" s="8">
        <f t="shared" si="4"/>
        <v>34188872</v>
      </c>
    </row>
    <row r="28" spans="1:13" x14ac:dyDescent="0.2">
      <c r="A28" s="7" t="s">
        <v>455</v>
      </c>
      <c r="B28" s="7" t="s">
        <v>1160</v>
      </c>
      <c r="C28" s="8">
        <f>SUMIF(INGRESOS!$R:$R,A28,INGRESOS!$L:$L)</f>
        <v>40975367</v>
      </c>
      <c r="D28" s="8">
        <f>SUMIF(EGRESOS!$P:$P,A28,EGRESOS!$Y:$Y)</f>
        <v>40975367</v>
      </c>
      <c r="E28" s="8">
        <f t="shared" si="0"/>
        <v>0</v>
      </c>
      <c r="F28" s="8">
        <f>SUMIF(INGRESOS!$R:$R,A28,INGRESOS!$N:$N)</f>
        <v>0</v>
      </c>
      <c r="G28" s="8">
        <f>SUMIF(EGRESOS!$P:$P,A28,EGRESOS!$AA:$AA)</f>
        <v>0</v>
      </c>
      <c r="H28" s="8">
        <f t="shared" si="1"/>
        <v>0</v>
      </c>
      <c r="I28" s="8">
        <f>SUMIF(EGRESOS!$P:$P,A28,EGRESOS!$AB:$AB)</f>
        <v>0</v>
      </c>
      <c r="J28" s="8">
        <f t="shared" si="2"/>
        <v>0</v>
      </c>
      <c r="K28" s="8">
        <f>SUMIF(EGRESOS!$P:$P,A28,EGRESOS!$AC:$AC)</f>
        <v>0</v>
      </c>
      <c r="L28" s="8">
        <f t="shared" si="3"/>
        <v>0</v>
      </c>
      <c r="M28" s="8">
        <f t="shared" si="4"/>
        <v>0</v>
      </c>
    </row>
    <row r="29" spans="1:13" x14ac:dyDescent="0.2">
      <c r="A29" s="7" t="s">
        <v>463</v>
      </c>
      <c r="B29" s="7" t="s">
        <v>1176</v>
      </c>
      <c r="C29" s="8">
        <f>SUMIF(INGRESOS!$R:$R,A29,INGRESOS!$L:$L)</f>
        <v>7683287</v>
      </c>
      <c r="D29" s="8">
        <f>SUMIF(EGRESOS!$P:$P,A29,EGRESOS!$Y:$Y)</f>
        <v>7683287</v>
      </c>
      <c r="E29" s="8">
        <f t="shared" si="0"/>
        <v>0</v>
      </c>
      <c r="F29" s="8">
        <f>SUMIF(INGRESOS!$R:$R,A29,INGRESOS!$N:$N)</f>
        <v>0</v>
      </c>
      <c r="G29" s="8">
        <f>SUMIF(EGRESOS!$P:$P,A29,EGRESOS!$AA:$AA)</f>
        <v>0</v>
      </c>
      <c r="H29" s="8">
        <f t="shared" si="1"/>
        <v>0</v>
      </c>
      <c r="I29" s="8">
        <f>SUMIF(EGRESOS!$P:$P,A29,EGRESOS!$AB:$AB)</f>
        <v>0</v>
      </c>
      <c r="J29" s="8">
        <f t="shared" si="2"/>
        <v>0</v>
      </c>
      <c r="K29" s="8">
        <f>SUMIF(EGRESOS!$P:$P,A29,EGRESOS!$AC:$AC)</f>
        <v>0</v>
      </c>
      <c r="L29" s="8">
        <f t="shared" si="3"/>
        <v>0</v>
      </c>
      <c r="M29" s="8">
        <f t="shared" si="4"/>
        <v>0</v>
      </c>
    </row>
    <row r="30" spans="1:13" x14ac:dyDescent="0.2">
      <c r="A30" s="7" t="s">
        <v>430</v>
      </c>
      <c r="B30" s="7" t="s">
        <v>429</v>
      </c>
      <c r="C30" s="8">
        <f>SUMIF(INGRESOS!$R:$R,A30,INGRESOS!$L:$L)</f>
        <v>2528388</v>
      </c>
      <c r="D30" s="8">
        <f>SUMIF(EGRESOS!$P:$P,A30,EGRESOS!$Y:$Y)</f>
        <v>2528388</v>
      </c>
      <c r="E30" s="8">
        <f t="shared" si="0"/>
        <v>0</v>
      </c>
      <c r="F30" s="8">
        <f>SUMIF(INGRESOS!$R:$R,A30,INGRESOS!$N:$N)</f>
        <v>0</v>
      </c>
      <c r="G30" s="8">
        <f>SUMIF(EGRESOS!$P:$P,A30,EGRESOS!$AA:$AA)</f>
        <v>0</v>
      </c>
      <c r="H30" s="8">
        <f t="shared" si="1"/>
        <v>0</v>
      </c>
      <c r="I30" s="8">
        <f>SUMIF(EGRESOS!$P:$P,A30,EGRESOS!$AB:$AB)</f>
        <v>0</v>
      </c>
      <c r="J30" s="8">
        <f t="shared" si="2"/>
        <v>0</v>
      </c>
      <c r="K30" s="8">
        <f>SUMIF(EGRESOS!$P:$P,A30,EGRESOS!$AC:$AC)</f>
        <v>0</v>
      </c>
      <c r="L30" s="8">
        <f t="shared" si="3"/>
        <v>0</v>
      </c>
      <c r="M30" s="8">
        <f t="shared" si="4"/>
        <v>0</v>
      </c>
    </row>
    <row r="31" spans="1:13" x14ac:dyDescent="0.2">
      <c r="A31" s="7" t="s">
        <v>332</v>
      </c>
      <c r="B31" s="7" t="s">
        <v>1199</v>
      </c>
      <c r="C31" s="8">
        <f>SUMIF(INGRESOS!$R:$R,A31,INGRESOS!$L:$L)</f>
        <v>100000</v>
      </c>
      <c r="D31" s="8">
        <f>SUMIF(EGRESOS!$P:$P,A31,EGRESOS!$Y:$Y)</f>
        <v>100000</v>
      </c>
      <c r="E31" s="8">
        <f t="shared" si="0"/>
        <v>0</v>
      </c>
      <c r="F31" s="8">
        <f>SUMIF(INGRESOS!$R:$R,A31,INGRESOS!$N:$N)</f>
        <v>0</v>
      </c>
      <c r="G31" s="8">
        <f>SUMIF(EGRESOS!$P:$P,A31,EGRESOS!$AA:$AA)</f>
        <v>0</v>
      </c>
      <c r="H31" s="8">
        <f t="shared" si="1"/>
        <v>0</v>
      </c>
      <c r="I31" s="8">
        <f>SUMIF(EGRESOS!$P:$P,A31,EGRESOS!$AB:$AB)</f>
        <v>0</v>
      </c>
      <c r="J31" s="8">
        <f t="shared" si="2"/>
        <v>0</v>
      </c>
      <c r="K31" s="8">
        <f>SUMIF(EGRESOS!$P:$P,A31,EGRESOS!$AC:$AC)</f>
        <v>0</v>
      </c>
      <c r="L31" s="8">
        <f t="shared" si="3"/>
        <v>0</v>
      </c>
      <c r="M31" s="8">
        <f t="shared" si="4"/>
        <v>0</v>
      </c>
    </row>
    <row r="32" spans="1:13" x14ac:dyDescent="0.2">
      <c r="A32" s="7" t="s">
        <v>388</v>
      </c>
      <c r="B32" s="7" t="s">
        <v>1201</v>
      </c>
      <c r="C32" s="8">
        <f>SUMIF(INGRESOS!$R:$R,A32,INGRESOS!$L:$L)</f>
        <v>100000</v>
      </c>
      <c r="D32" s="8">
        <f>SUMIF(EGRESOS!$P:$P,A32,EGRESOS!$Y:$Y)</f>
        <v>100000</v>
      </c>
      <c r="E32" s="8">
        <f t="shared" si="0"/>
        <v>0</v>
      </c>
      <c r="F32" s="8">
        <f>SUMIF(INGRESOS!$R:$R,A32,INGRESOS!$N:$N)</f>
        <v>182207.18</v>
      </c>
      <c r="G32" s="8">
        <f>SUMIF(EGRESOS!$P:$P,A32,EGRESOS!$AA:$AA)</f>
        <v>0</v>
      </c>
      <c r="H32" s="8">
        <f t="shared" si="1"/>
        <v>182207.18</v>
      </c>
      <c r="I32" s="8">
        <f>SUMIF(EGRESOS!$P:$P,A32,EGRESOS!$AB:$AB)</f>
        <v>0</v>
      </c>
      <c r="J32" s="8">
        <f t="shared" si="2"/>
        <v>0</v>
      </c>
      <c r="K32" s="8">
        <f>SUMIF(EGRESOS!$P:$P,A32,EGRESOS!$AC:$AC)</f>
        <v>0</v>
      </c>
      <c r="L32" s="8">
        <f t="shared" si="3"/>
        <v>0</v>
      </c>
      <c r="M32" s="8">
        <f t="shared" si="4"/>
        <v>182207.18</v>
      </c>
    </row>
    <row r="33" spans="1:13" x14ac:dyDescent="0.2">
      <c r="A33" s="7" t="s">
        <v>376</v>
      </c>
      <c r="B33" s="7" t="s">
        <v>1202</v>
      </c>
      <c r="C33" s="8">
        <f>SUMIF(INGRESOS!$R:$R,A33,INGRESOS!$L:$L)</f>
        <v>100000</v>
      </c>
      <c r="D33" s="8">
        <f>SUMIF(EGRESOS!$P:$P,A33,EGRESOS!$Y:$Y)</f>
        <v>100000</v>
      </c>
      <c r="E33" s="8">
        <f t="shared" si="0"/>
        <v>0</v>
      </c>
      <c r="F33" s="8">
        <f>SUMIF(INGRESOS!$R:$R,A33,INGRESOS!$N:$N)</f>
        <v>344</v>
      </c>
      <c r="G33" s="8">
        <f>SUMIF(EGRESOS!$P:$P,A33,EGRESOS!$AA:$AA)</f>
        <v>0</v>
      </c>
      <c r="H33" s="8">
        <f t="shared" si="1"/>
        <v>344</v>
      </c>
      <c r="I33" s="8">
        <f>SUMIF(EGRESOS!$P:$P,A33,EGRESOS!$AB:$AB)</f>
        <v>0</v>
      </c>
      <c r="J33" s="8">
        <f t="shared" si="2"/>
        <v>0</v>
      </c>
      <c r="K33" s="8">
        <f>SUMIF(EGRESOS!$P:$P,A33,EGRESOS!$AC:$AC)</f>
        <v>0</v>
      </c>
      <c r="L33" s="8">
        <f t="shared" si="3"/>
        <v>0</v>
      </c>
      <c r="M33" s="8">
        <f t="shared" si="4"/>
        <v>344</v>
      </c>
    </row>
    <row r="34" spans="1:13" x14ac:dyDescent="0.2">
      <c r="A34" s="7" t="s">
        <v>441</v>
      </c>
      <c r="B34" s="7" t="s">
        <v>1214</v>
      </c>
      <c r="C34" s="8">
        <f>SUMIF(INGRESOS!$R:$R,A34,INGRESOS!$L:$L)</f>
        <v>99565927</v>
      </c>
      <c r="D34" s="8">
        <f>SUMIF(EGRESOS!$P:$P,A34,EGRESOS!$Y:$Y)</f>
        <v>99565927</v>
      </c>
      <c r="E34" s="8">
        <f t="shared" ref="E34:E65" si="5">C34-D34</f>
        <v>0</v>
      </c>
      <c r="F34" s="8">
        <f>SUMIF(INGRESOS!$R:$R,A34,INGRESOS!$N:$N)</f>
        <v>0</v>
      </c>
      <c r="G34" s="8">
        <f>SUMIF(EGRESOS!$P:$P,A34,EGRESOS!$AA:$AA)</f>
        <v>0</v>
      </c>
      <c r="H34" s="8">
        <f t="shared" ref="H34:H65" si="6">F34-G34</f>
        <v>0</v>
      </c>
      <c r="I34" s="8">
        <f>SUMIF(EGRESOS!$P:$P,A34,EGRESOS!$AB:$AB)</f>
        <v>0</v>
      </c>
      <c r="J34" s="8">
        <f t="shared" ref="J34:J65" si="7">G34-I34</f>
        <v>0</v>
      </c>
      <c r="K34" s="8">
        <f>SUMIF(EGRESOS!$P:$P,A34,EGRESOS!$AC:$AC)</f>
        <v>0</v>
      </c>
      <c r="L34" s="8">
        <f t="shared" ref="L34:L65" si="8">I34-K34</f>
        <v>0</v>
      </c>
      <c r="M34" s="8">
        <f t="shared" ref="M34:M65" si="9">H34+J34+L34</f>
        <v>0</v>
      </c>
    </row>
    <row r="35" spans="1:13" x14ac:dyDescent="0.2">
      <c r="A35" s="7" t="s">
        <v>252</v>
      </c>
      <c r="B35" s="7" t="s">
        <v>1228</v>
      </c>
      <c r="C35" s="8">
        <f>SUMIF(INGRESOS!$R:$R,A35,INGRESOS!$L:$L)</f>
        <v>1758188236</v>
      </c>
      <c r="D35" s="8">
        <f>SUMIF(EGRESOS!$P:$P,A35,EGRESOS!$Y:$Y)</f>
        <v>1758188236</v>
      </c>
      <c r="E35" s="8">
        <f t="shared" si="5"/>
        <v>0</v>
      </c>
      <c r="F35" s="8">
        <f>SUMIF(INGRESOS!$R:$R,A35,INGRESOS!$N:$N)</f>
        <v>568347503</v>
      </c>
      <c r="G35" s="8">
        <f>SUMIF(EGRESOS!$P:$P,A35,EGRESOS!$AA:$AA)</f>
        <v>515266647.56999999</v>
      </c>
      <c r="H35" s="8">
        <f t="shared" si="6"/>
        <v>53080855.430000007</v>
      </c>
      <c r="I35" s="8">
        <f>SUMIF(EGRESOS!$P:$P,A35,EGRESOS!$AB:$AB)</f>
        <v>478166647.56999999</v>
      </c>
      <c r="J35" s="8">
        <f t="shared" si="7"/>
        <v>37100000</v>
      </c>
      <c r="K35" s="8">
        <f>SUMIF(EGRESOS!$P:$P,A35,EGRESOS!$AC:$AC)</f>
        <v>478166647.56999999</v>
      </c>
      <c r="L35" s="8">
        <f t="shared" si="8"/>
        <v>0</v>
      </c>
      <c r="M35" s="8">
        <f t="shared" si="9"/>
        <v>90180855.430000007</v>
      </c>
    </row>
    <row r="36" spans="1:13" x14ac:dyDescent="0.2">
      <c r="A36" s="7" t="s">
        <v>323</v>
      </c>
      <c r="B36" s="7" t="s">
        <v>1230</v>
      </c>
      <c r="C36" s="8">
        <f>SUMIF(INGRESOS!$R:$R,A36,INGRESOS!$L:$L)</f>
        <v>100000</v>
      </c>
      <c r="D36" s="8">
        <f>SUMIF(EGRESOS!$P:$P,A36,EGRESOS!$Y:$Y)</f>
        <v>100000</v>
      </c>
      <c r="E36" s="8">
        <f t="shared" si="5"/>
        <v>0</v>
      </c>
      <c r="F36" s="8">
        <f>SUMIF(INGRESOS!$R:$R,A36,INGRESOS!$N:$N)</f>
        <v>0</v>
      </c>
      <c r="G36" s="8">
        <f>SUMIF(EGRESOS!$P:$P,A36,EGRESOS!$AA:$AA)</f>
        <v>0</v>
      </c>
      <c r="H36" s="8">
        <f t="shared" si="6"/>
        <v>0</v>
      </c>
      <c r="I36" s="8">
        <f>SUMIF(EGRESOS!$P:$P,A36,EGRESOS!$AB:$AB)</f>
        <v>0</v>
      </c>
      <c r="J36" s="8">
        <f t="shared" si="7"/>
        <v>0</v>
      </c>
      <c r="K36" s="8">
        <f>SUMIF(EGRESOS!$P:$P,A36,EGRESOS!$AC:$AC)</f>
        <v>0</v>
      </c>
      <c r="L36" s="8">
        <f t="shared" si="8"/>
        <v>0</v>
      </c>
      <c r="M36" s="8">
        <f t="shared" si="9"/>
        <v>0</v>
      </c>
    </row>
    <row r="37" spans="1:13" x14ac:dyDescent="0.2">
      <c r="A37" s="7" t="s">
        <v>469</v>
      </c>
      <c r="B37" s="7" t="s">
        <v>1239</v>
      </c>
      <c r="C37" s="8">
        <f>SUMIF(INGRESOS!$R:$R,A37,INGRESOS!$L:$L)</f>
        <v>10601391</v>
      </c>
      <c r="D37" s="8">
        <f>SUMIF(EGRESOS!$P:$P,A37,EGRESOS!$Y:$Y)</f>
        <v>10601391</v>
      </c>
      <c r="E37" s="8">
        <f t="shared" si="5"/>
        <v>0</v>
      </c>
      <c r="F37" s="8">
        <f>SUMIF(INGRESOS!$R:$R,A37,INGRESOS!$N:$N)</f>
        <v>0</v>
      </c>
      <c r="G37" s="8">
        <f>SUMIF(EGRESOS!$P:$P,A37,EGRESOS!$AA:$AA)</f>
        <v>0</v>
      </c>
      <c r="H37" s="8">
        <f t="shared" si="6"/>
        <v>0</v>
      </c>
      <c r="I37" s="8">
        <f>SUMIF(EGRESOS!$P:$P,A37,EGRESOS!$AB:$AB)</f>
        <v>0</v>
      </c>
      <c r="J37" s="8">
        <f t="shared" si="7"/>
        <v>0</v>
      </c>
      <c r="K37" s="8">
        <f>SUMIF(EGRESOS!$P:$P,A37,EGRESOS!$AC:$AC)</f>
        <v>0</v>
      </c>
      <c r="L37" s="8">
        <f t="shared" si="8"/>
        <v>0</v>
      </c>
      <c r="M37" s="8">
        <f t="shared" si="9"/>
        <v>0</v>
      </c>
    </row>
    <row r="38" spans="1:13" x14ac:dyDescent="0.2">
      <c r="A38" s="7" t="s">
        <v>433</v>
      </c>
      <c r="B38" s="7" t="s">
        <v>432</v>
      </c>
      <c r="C38" s="8">
        <f>SUMIF(INGRESOS!$R:$R,A38,INGRESOS!$L:$L)</f>
        <v>32008200</v>
      </c>
      <c r="D38" s="8">
        <f>SUMIF(EGRESOS!$P:$P,A38,EGRESOS!$Y:$Y)</f>
        <v>32008200</v>
      </c>
      <c r="E38" s="8">
        <f t="shared" si="5"/>
        <v>0</v>
      </c>
      <c r="F38" s="8">
        <f>SUMIF(INGRESOS!$R:$R,A38,INGRESOS!$N:$N)</f>
        <v>0</v>
      </c>
      <c r="G38" s="8">
        <f>SUMIF(EGRESOS!$P:$P,A38,EGRESOS!$AA:$AA)</f>
        <v>0</v>
      </c>
      <c r="H38" s="8">
        <f t="shared" si="6"/>
        <v>0</v>
      </c>
      <c r="I38" s="8">
        <f>SUMIF(EGRESOS!$P:$P,A38,EGRESOS!$AB:$AB)</f>
        <v>0</v>
      </c>
      <c r="J38" s="8">
        <f t="shared" si="7"/>
        <v>0</v>
      </c>
      <c r="K38" s="8">
        <f>SUMIF(EGRESOS!$P:$P,A38,EGRESOS!$AC:$AC)</f>
        <v>0</v>
      </c>
      <c r="L38" s="8">
        <f t="shared" si="8"/>
        <v>0</v>
      </c>
      <c r="M38" s="8">
        <f t="shared" si="9"/>
        <v>0</v>
      </c>
    </row>
    <row r="39" spans="1:13" x14ac:dyDescent="0.2">
      <c r="A39" s="7" t="s">
        <v>413</v>
      </c>
      <c r="B39" s="7" t="s">
        <v>412</v>
      </c>
      <c r="C39" s="8">
        <f>SUMIF(INGRESOS!$R:$R,A39,INGRESOS!$L:$L)</f>
        <v>444819</v>
      </c>
      <c r="D39" s="8">
        <f>SUMIF(EGRESOS!$P:$P,A39,EGRESOS!$Y:$Y)</f>
        <v>444819</v>
      </c>
      <c r="E39" s="8">
        <f t="shared" si="5"/>
        <v>0</v>
      </c>
      <c r="F39" s="8">
        <f>SUMIF(INGRESOS!$R:$R,A39,INGRESOS!$N:$N)</f>
        <v>0</v>
      </c>
      <c r="G39" s="8">
        <f>SUMIF(EGRESOS!$P:$P,A39,EGRESOS!$AA:$AA)</f>
        <v>0</v>
      </c>
      <c r="H39" s="8">
        <f t="shared" si="6"/>
        <v>0</v>
      </c>
      <c r="I39" s="8">
        <f>SUMIF(EGRESOS!$P:$P,A39,EGRESOS!$AB:$AB)</f>
        <v>0</v>
      </c>
      <c r="J39" s="8">
        <f t="shared" si="7"/>
        <v>0</v>
      </c>
      <c r="K39" s="8">
        <f>SUMIF(EGRESOS!$P:$P,A39,EGRESOS!$AC:$AC)</f>
        <v>0</v>
      </c>
      <c r="L39" s="8">
        <f t="shared" si="8"/>
        <v>0</v>
      </c>
      <c r="M39" s="8">
        <f t="shared" si="9"/>
        <v>0</v>
      </c>
    </row>
    <row r="40" spans="1:13" x14ac:dyDescent="0.2">
      <c r="A40" s="7" t="s">
        <v>87</v>
      </c>
      <c r="B40" s="7" t="s">
        <v>1256</v>
      </c>
      <c r="C40" s="8">
        <f>SUMIF(INGRESOS!$R:$R,A40,INGRESOS!$L:$L)</f>
        <v>58663920</v>
      </c>
      <c r="D40" s="8">
        <f>SUMIF(EGRESOS!$P:$P,A40,EGRESOS!$Y:$Y)</f>
        <v>58663920</v>
      </c>
      <c r="E40" s="8">
        <f t="shared" si="5"/>
        <v>0</v>
      </c>
      <c r="F40" s="8">
        <f>SUMIF(INGRESOS!$R:$R,A40,INGRESOS!$N:$N)</f>
        <v>18415984</v>
      </c>
      <c r="G40" s="8">
        <f>SUMIF(EGRESOS!$P:$P,A40,EGRESOS!$AA:$AA)</f>
        <v>0</v>
      </c>
      <c r="H40" s="8">
        <f t="shared" si="6"/>
        <v>18415984</v>
      </c>
      <c r="I40" s="8">
        <f>SUMIF(EGRESOS!$P:$P,A40,EGRESOS!$AB:$AB)</f>
        <v>0</v>
      </c>
      <c r="J40" s="8">
        <f t="shared" si="7"/>
        <v>0</v>
      </c>
      <c r="K40" s="8">
        <f>SUMIF(EGRESOS!$P:$P,A40,EGRESOS!$AC:$AC)</f>
        <v>0</v>
      </c>
      <c r="L40" s="8">
        <f t="shared" si="8"/>
        <v>0</v>
      </c>
      <c r="M40" s="8">
        <f t="shared" si="9"/>
        <v>18415984</v>
      </c>
    </row>
    <row r="41" spans="1:13" x14ac:dyDescent="0.2">
      <c r="A41" s="7" t="s">
        <v>231</v>
      </c>
      <c r="B41" s="7" t="s">
        <v>1261</v>
      </c>
      <c r="C41" s="8">
        <f>SUMIF(INGRESOS!$R:$R,A41,INGRESOS!$L:$L)</f>
        <v>117707784</v>
      </c>
      <c r="D41" s="8">
        <f>SUMIF(EGRESOS!$P:$P,A41,EGRESOS!$Y:$Y)</f>
        <v>117707784</v>
      </c>
      <c r="E41" s="8">
        <f t="shared" si="5"/>
        <v>0</v>
      </c>
      <c r="F41" s="8">
        <f>SUMIF(INGRESOS!$R:$R,A41,INGRESOS!$N:$N)</f>
        <v>37906412.469999999</v>
      </c>
      <c r="G41" s="8">
        <f>SUMIF(EGRESOS!$P:$P,A41,EGRESOS!$AA:$AA)</f>
        <v>104429000</v>
      </c>
      <c r="H41" s="8">
        <f t="shared" si="6"/>
        <v>-66522587.530000001</v>
      </c>
      <c r="I41" s="8">
        <f>SUMIF(EGRESOS!$P:$P,A41,EGRESOS!$AB:$AB)</f>
        <v>47603000</v>
      </c>
      <c r="J41" s="8">
        <f t="shared" si="7"/>
        <v>56826000</v>
      </c>
      <c r="K41" s="8">
        <f>SUMIF(EGRESOS!$P:$P,A41,EGRESOS!$AC:$AC)</f>
        <v>47603000</v>
      </c>
      <c r="L41" s="8">
        <f t="shared" si="8"/>
        <v>0</v>
      </c>
      <c r="M41" s="8">
        <f t="shared" si="9"/>
        <v>-9696587.5300000012</v>
      </c>
    </row>
    <row r="42" spans="1:13" x14ac:dyDescent="0.2">
      <c r="A42" s="7" t="s">
        <v>357</v>
      </c>
      <c r="B42" s="7" t="s">
        <v>1263</v>
      </c>
      <c r="C42" s="8">
        <f>SUMIF(INGRESOS!$R:$R,A42,INGRESOS!$L:$L)</f>
        <v>405089</v>
      </c>
      <c r="D42" s="8">
        <f>SUMIF(EGRESOS!$P:$P,A42,EGRESOS!$Y:$Y)</f>
        <v>405089</v>
      </c>
      <c r="E42" s="8">
        <f t="shared" si="5"/>
        <v>0</v>
      </c>
      <c r="F42" s="8">
        <f>SUMIF(INGRESOS!$R:$R,A42,INGRESOS!$N:$N)</f>
        <v>0</v>
      </c>
      <c r="G42" s="8">
        <f>SUMIF(EGRESOS!$P:$P,A42,EGRESOS!$AA:$AA)</f>
        <v>0</v>
      </c>
      <c r="H42" s="8">
        <f t="shared" si="6"/>
        <v>0</v>
      </c>
      <c r="I42" s="8">
        <f>SUMIF(EGRESOS!$P:$P,A42,EGRESOS!$AB:$AB)</f>
        <v>0</v>
      </c>
      <c r="J42" s="8">
        <f t="shared" si="7"/>
        <v>0</v>
      </c>
      <c r="K42" s="8">
        <f>SUMIF(EGRESOS!$P:$P,A42,EGRESOS!$AC:$AC)</f>
        <v>0</v>
      </c>
      <c r="L42" s="8">
        <f t="shared" si="8"/>
        <v>0</v>
      </c>
      <c r="M42" s="8">
        <f t="shared" si="9"/>
        <v>0</v>
      </c>
    </row>
    <row r="43" spans="1:13" x14ac:dyDescent="0.2">
      <c r="A43" s="7" t="s">
        <v>479</v>
      </c>
      <c r="B43" s="7" t="s">
        <v>1265</v>
      </c>
      <c r="C43" s="8">
        <f>SUMIF(INGRESOS!$R:$R,A43,INGRESOS!$L:$L)</f>
        <v>86751825</v>
      </c>
      <c r="D43" s="8">
        <f>SUMIF(EGRESOS!$P:$P,A43,EGRESOS!$Y:$Y)</f>
        <v>86751825</v>
      </c>
      <c r="E43" s="8">
        <f t="shared" si="5"/>
        <v>0</v>
      </c>
      <c r="F43" s="8">
        <f>SUMIF(INGRESOS!$R:$R,A43,INGRESOS!$N:$N)</f>
        <v>0</v>
      </c>
      <c r="G43" s="8">
        <f>SUMIF(EGRESOS!$P:$P,A43,EGRESOS!$AA:$AA)</f>
        <v>0</v>
      </c>
      <c r="H43" s="8">
        <f t="shared" si="6"/>
        <v>0</v>
      </c>
      <c r="I43" s="8">
        <f>SUMIF(EGRESOS!$P:$P,A43,EGRESOS!$AB:$AB)</f>
        <v>0</v>
      </c>
      <c r="J43" s="8">
        <f t="shared" si="7"/>
        <v>0</v>
      </c>
      <c r="K43" s="8">
        <f>SUMIF(EGRESOS!$P:$P,A43,EGRESOS!$AC:$AC)</f>
        <v>0</v>
      </c>
      <c r="L43" s="8">
        <f t="shared" si="8"/>
        <v>0</v>
      </c>
      <c r="M43" s="8">
        <f t="shared" si="9"/>
        <v>0</v>
      </c>
    </row>
    <row r="44" spans="1:13" x14ac:dyDescent="0.2">
      <c r="A44" s="7" t="s">
        <v>451</v>
      </c>
      <c r="B44" s="7" t="s">
        <v>1268</v>
      </c>
      <c r="C44" s="8">
        <f>SUMIF(INGRESOS!$R:$R,A44,INGRESOS!$L:$L)</f>
        <v>43937862</v>
      </c>
      <c r="D44" s="8">
        <f>SUMIF(EGRESOS!$P:$P,A44,EGRESOS!$Y:$Y)</f>
        <v>43937862</v>
      </c>
      <c r="E44" s="8">
        <f t="shared" si="5"/>
        <v>0</v>
      </c>
      <c r="F44" s="8">
        <f>SUMIF(INGRESOS!$R:$R,A44,INGRESOS!$N:$N)</f>
        <v>0</v>
      </c>
      <c r="G44" s="8">
        <f>SUMIF(EGRESOS!$P:$P,A44,EGRESOS!$AA:$AA)</f>
        <v>0</v>
      </c>
      <c r="H44" s="8">
        <f t="shared" si="6"/>
        <v>0</v>
      </c>
      <c r="I44" s="8">
        <f>SUMIF(EGRESOS!$P:$P,A44,EGRESOS!$AB:$AB)</f>
        <v>0</v>
      </c>
      <c r="J44" s="8">
        <f t="shared" si="7"/>
        <v>0</v>
      </c>
      <c r="K44" s="8">
        <f>SUMIF(EGRESOS!$P:$P,A44,EGRESOS!$AC:$AC)</f>
        <v>0</v>
      </c>
      <c r="L44" s="8">
        <f t="shared" si="8"/>
        <v>0</v>
      </c>
      <c r="M44" s="8">
        <f t="shared" si="9"/>
        <v>0</v>
      </c>
    </row>
    <row r="45" spans="1:13" x14ac:dyDescent="0.2">
      <c r="A45" s="7" t="s">
        <v>207</v>
      </c>
      <c r="B45" s="7" t="s">
        <v>1290</v>
      </c>
      <c r="C45" s="8">
        <f>SUMIF(INGRESOS!$R:$R,A45,INGRESOS!$L:$L)</f>
        <v>174655711</v>
      </c>
      <c r="D45" s="8">
        <f>SUMIF(EGRESOS!$P:$P,A45,EGRESOS!$Y:$Y)</f>
        <v>174655711</v>
      </c>
      <c r="E45" s="8">
        <f t="shared" si="5"/>
        <v>0</v>
      </c>
      <c r="F45" s="8">
        <f>SUMIF(INGRESOS!$R:$R,A45,INGRESOS!$N:$N)</f>
        <v>62599200</v>
      </c>
      <c r="G45" s="8">
        <f>SUMIF(EGRESOS!$P:$P,A45,EGRESOS!$AA:$AA)</f>
        <v>123191383</v>
      </c>
      <c r="H45" s="8">
        <f t="shared" si="6"/>
        <v>-60592183</v>
      </c>
      <c r="I45" s="8">
        <f>SUMIF(EGRESOS!$P:$P,A45,EGRESOS!$AB:$AB)</f>
        <v>31985672</v>
      </c>
      <c r="J45" s="8">
        <f t="shared" si="7"/>
        <v>91205711</v>
      </c>
      <c r="K45" s="8">
        <f>SUMIF(EGRESOS!$P:$P,A45,EGRESOS!$AC:$AC)</f>
        <v>31985672</v>
      </c>
      <c r="L45" s="8">
        <f t="shared" si="8"/>
        <v>0</v>
      </c>
      <c r="M45" s="8">
        <f t="shared" si="9"/>
        <v>30613528</v>
      </c>
    </row>
    <row r="46" spans="1:13" x14ac:dyDescent="0.2">
      <c r="A46" s="7" t="s">
        <v>335</v>
      </c>
      <c r="B46" s="7" t="s">
        <v>1294</v>
      </c>
      <c r="C46" s="8">
        <f>SUMIF(INGRESOS!$R:$R,A46,INGRESOS!$L:$L)</f>
        <v>100000</v>
      </c>
      <c r="D46" s="8">
        <f>SUMIF(EGRESOS!$P:$P,A46,EGRESOS!$Y:$Y)</f>
        <v>100000</v>
      </c>
      <c r="E46" s="8">
        <f t="shared" si="5"/>
        <v>0</v>
      </c>
      <c r="F46" s="8">
        <f>SUMIF(INGRESOS!$R:$R,A46,INGRESOS!$N:$N)</f>
        <v>0</v>
      </c>
      <c r="G46" s="8">
        <f>SUMIF(EGRESOS!$P:$P,A46,EGRESOS!$AA:$AA)</f>
        <v>0</v>
      </c>
      <c r="H46" s="8">
        <f t="shared" si="6"/>
        <v>0</v>
      </c>
      <c r="I46" s="8">
        <f>SUMIF(EGRESOS!$P:$P,A46,EGRESOS!$AB:$AB)</f>
        <v>0</v>
      </c>
      <c r="J46" s="8">
        <f t="shared" si="7"/>
        <v>0</v>
      </c>
      <c r="K46" s="8">
        <f>SUMIF(EGRESOS!$P:$P,A46,EGRESOS!$AC:$AC)</f>
        <v>0</v>
      </c>
      <c r="L46" s="8">
        <f t="shared" si="8"/>
        <v>0</v>
      </c>
      <c r="M46" s="8">
        <f t="shared" si="9"/>
        <v>0</v>
      </c>
    </row>
    <row r="47" spans="1:13" x14ac:dyDescent="0.2">
      <c r="A47" s="7" t="s">
        <v>427</v>
      </c>
      <c r="B47" s="7" t="s">
        <v>426</v>
      </c>
      <c r="C47" s="8">
        <f>SUMIF(INGRESOS!$R:$R,A47,INGRESOS!$L:$L)</f>
        <v>2944082</v>
      </c>
      <c r="D47" s="8">
        <f>SUMIF(EGRESOS!$P:$P,A47,EGRESOS!$Y:$Y)</f>
        <v>2944082</v>
      </c>
      <c r="E47" s="8">
        <f t="shared" si="5"/>
        <v>0</v>
      </c>
      <c r="F47" s="8">
        <f>SUMIF(INGRESOS!$R:$R,A47,INGRESOS!$N:$N)</f>
        <v>0</v>
      </c>
      <c r="G47" s="8">
        <f>SUMIF(EGRESOS!$P:$P,A47,EGRESOS!$AA:$AA)</f>
        <v>0</v>
      </c>
      <c r="H47" s="8">
        <f t="shared" si="6"/>
        <v>0</v>
      </c>
      <c r="I47" s="8">
        <f>SUMIF(EGRESOS!$P:$P,A47,EGRESOS!$AB:$AB)</f>
        <v>0</v>
      </c>
      <c r="J47" s="8">
        <f t="shared" si="7"/>
        <v>0</v>
      </c>
      <c r="K47" s="8">
        <f>SUMIF(EGRESOS!$P:$P,A47,EGRESOS!$AC:$AC)</f>
        <v>0</v>
      </c>
      <c r="L47" s="8">
        <f t="shared" si="8"/>
        <v>0</v>
      </c>
      <c r="M47" s="8">
        <f t="shared" si="9"/>
        <v>0</v>
      </c>
    </row>
    <row r="48" spans="1:13" x14ac:dyDescent="0.2">
      <c r="A48" s="7" t="s">
        <v>417</v>
      </c>
      <c r="B48" s="7" t="s">
        <v>1339</v>
      </c>
      <c r="C48" s="8">
        <f>SUMIF(INGRESOS!$R:$R,A48,INGRESOS!$L:$L)</f>
        <v>190945</v>
      </c>
      <c r="D48" s="8">
        <f>SUMIF(EGRESOS!$P:$P,A48,EGRESOS!$Y:$Y)</f>
        <v>190945</v>
      </c>
      <c r="E48" s="8">
        <f t="shared" si="5"/>
        <v>0</v>
      </c>
      <c r="F48" s="8">
        <f>SUMIF(INGRESOS!$R:$R,A48,INGRESOS!$N:$N)</f>
        <v>420</v>
      </c>
      <c r="G48" s="8">
        <f>SUMIF(EGRESOS!$P:$P,A48,EGRESOS!$AA:$AA)</f>
        <v>0</v>
      </c>
      <c r="H48" s="8">
        <f t="shared" si="6"/>
        <v>420</v>
      </c>
      <c r="I48" s="8">
        <f>SUMIF(EGRESOS!$P:$P,A48,EGRESOS!$AB:$AB)</f>
        <v>0</v>
      </c>
      <c r="J48" s="8">
        <f t="shared" si="7"/>
        <v>0</v>
      </c>
      <c r="K48" s="8">
        <f>SUMIF(EGRESOS!$P:$P,A48,EGRESOS!$AC:$AC)</f>
        <v>0</v>
      </c>
      <c r="L48" s="8">
        <f t="shared" si="8"/>
        <v>0</v>
      </c>
      <c r="M48" s="8">
        <f t="shared" si="9"/>
        <v>420</v>
      </c>
    </row>
    <row r="49" spans="1:13" x14ac:dyDescent="0.2">
      <c r="A49" s="7" t="s">
        <v>119</v>
      </c>
      <c r="B49" s="7" t="s">
        <v>1357</v>
      </c>
      <c r="C49" s="8">
        <f>SUMIF(INGRESOS!$R:$R,A49,INGRESOS!$L:$L)</f>
        <v>12255460</v>
      </c>
      <c r="D49" s="8">
        <f>SUMIF(EGRESOS!$P:$P,A49,EGRESOS!$Y:$Y)</f>
        <v>12255460</v>
      </c>
      <c r="E49" s="8">
        <f t="shared" si="5"/>
        <v>0</v>
      </c>
      <c r="F49" s="8">
        <f>SUMIF(INGRESOS!$R:$R,A49,INGRESOS!$N:$N)</f>
        <v>0</v>
      </c>
      <c r="G49" s="8">
        <f>SUMIF(EGRESOS!$P:$P,A49,EGRESOS!$AA:$AA)</f>
        <v>0</v>
      </c>
      <c r="H49" s="8">
        <f t="shared" si="6"/>
        <v>0</v>
      </c>
      <c r="I49" s="8">
        <f>SUMIF(EGRESOS!$P:$P,A49,EGRESOS!$AB:$AB)</f>
        <v>0</v>
      </c>
      <c r="J49" s="8">
        <f t="shared" si="7"/>
        <v>0</v>
      </c>
      <c r="K49" s="8">
        <f>SUMIF(EGRESOS!$P:$P,A49,EGRESOS!$AC:$AC)</f>
        <v>0</v>
      </c>
      <c r="L49" s="8">
        <f t="shared" si="8"/>
        <v>0</v>
      </c>
      <c r="M49" s="8">
        <f t="shared" si="9"/>
        <v>0</v>
      </c>
    </row>
    <row r="50" spans="1:13" x14ac:dyDescent="0.2">
      <c r="A50" s="7" t="s">
        <v>487</v>
      </c>
      <c r="B50" s="7" t="s">
        <v>1375</v>
      </c>
      <c r="C50" s="8">
        <f>SUMIF(INGRESOS!$R:$R,A50,INGRESOS!$L:$L)</f>
        <v>32037</v>
      </c>
      <c r="D50" s="8">
        <f>SUMIF(EGRESOS!$P:$P,A50,EGRESOS!$Y:$Y)</f>
        <v>32037</v>
      </c>
      <c r="E50" s="8">
        <f t="shared" si="5"/>
        <v>0</v>
      </c>
      <c r="F50" s="8">
        <f>SUMIF(INGRESOS!$R:$R,A50,INGRESOS!$N:$N)</f>
        <v>0</v>
      </c>
      <c r="G50" s="8">
        <f>SUMIF(EGRESOS!$P:$P,A50,EGRESOS!$AA:$AA)</f>
        <v>0</v>
      </c>
      <c r="H50" s="8">
        <f t="shared" si="6"/>
        <v>0</v>
      </c>
      <c r="I50" s="8">
        <f>SUMIF(EGRESOS!$P:$P,A50,EGRESOS!$AB:$AB)</f>
        <v>0</v>
      </c>
      <c r="J50" s="8">
        <f t="shared" si="7"/>
        <v>0</v>
      </c>
      <c r="K50" s="8">
        <f>SUMIF(EGRESOS!$P:$P,A50,EGRESOS!$AC:$AC)</f>
        <v>0</v>
      </c>
      <c r="L50" s="8">
        <f t="shared" si="8"/>
        <v>0</v>
      </c>
      <c r="M50" s="8">
        <f t="shared" si="9"/>
        <v>0</v>
      </c>
    </row>
    <row r="51" spans="1:13" x14ac:dyDescent="0.2">
      <c r="A51" s="7" t="s">
        <v>407</v>
      </c>
      <c r="B51" s="7" t="s">
        <v>1377</v>
      </c>
      <c r="C51" s="8">
        <f>SUMIF(INGRESOS!$R:$R,A51,INGRESOS!$L:$L)</f>
        <v>5073</v>
      </c>
      <c r="D51" s="8">
        <f>SUMIF(EGRESOS!$P:$P,A51,EGRESOS!$Y:$Y)</f>
        <v>5073</v>
      </c>
      <c r="E51" s="8">
        <f t="shared" si="5"/>
        <v>0</v>
      </c>
      <c r="F51" s="8">
        <f>SUMIF(INGRESOS!$R:$R,A51,INGRESOS!$N:$N)</f>
        <v>29259</v>
      </c>
      <c r="G51" s="8">
        <f>SUMIF(EGRESOS!$P:$P,A51,EGRESOS!$AA:$AA)</f>
        <v>0</v>
      </c>
      <c r="H51" s="8">
        <f t="shared" si="6"/>
        <v>29259</v>
      </c>
      <c r="I51" s="8">
        <f>SUMIF(EGRESOS!$P:$P,A51,EGRESOS!$AB:$AB)</f>
        <v>0</v>
      </c>
      <c r="J51" s="8">
        <f t="shared" si="7"/>
        <v>0</v>
      </c>
      <c r="K51" s="8">
        <f>SUMIF(EGRESOS!$P:$P,A51,EGRESOS!$AC:$AC)</f>
        <v>0</v>
      </c>
      <c r="L51" s="8">
        <f t="shared" si="8"/>
        <v>0</v>
      </c>
      <c r="M51" s="8">
        <f t="shared" si="9"/>
        <v>29259</v>
      </c>
    </row>
    <row r="52" spans="1:13" x14ac:dyDescent="0.2">
      <c r="A52" s="7" t="s">
        <v>80</v>
      </c>
      <c r="B52" s="7" t="s">
        <v>1392</v>
      </c>
      <c r="C52" s="8">
        <f>SUMIF(INGRESOS!$R:$R,A52,INGRESOS!$L:$L)</f>
        <v>39745508</v>
      </c>
      <c r="D52" s="8">
        <f>SUMIF(EGRESOS!$P:$P,A52,EGRESOS!$Y:$Y)</f>
        <v>39745508</v>
      </c>
      <c r="E52" s="8">
        <f t="shared" si="5"/>
        <v>0</v>
      </c>
      <c r="F52" s="8">
        <f>SUMIF(INGRESOS!$R:$R,A52,INGRESOS!$N:$N)</f>
        <v>0</v>
      </c>
      <c r="G52" s="8">
        <f>SUMIF(EGRESOS!$P:$P,A52,EGRESOS!$AA:$AA)</f>
        <v>39745508</v>
      </c>
      <c r="H52" s="8">
        <f t="shared" si="6"/>
        <v>-39745508</v>
      </c>
      <c r="I52" s="8">
        <f>SUMIF(EGRESOS!$P:$P,A52,EGRESOS!$AB:$AB)</f>
        <v>0</v>
      </c>
      <c r="J52" s="8">
        <f t="shared" si="7"/>
        <v>39745508</v>
      </c>
      <c r="K52" s="8">
        <f>SUMIF(EGRESOS!$P:$P,A52,EGRESOS!$AC:$AC)</f>
        <v>0</v>
      </c>
      <c r="L52" s="8">
        <f t="shared" si="8"/>
        <v>0</v>
      </c>
      <c r="M52" s="8">
        <f t="shared" si="9"/>
        <v>0</v>
      </c>
    </row>
    <row r="53" spans="1:13" x14ac:dyDescent="0.2">
      <c r="A53" s="7" t="s">
        <v>449</v>
      </c>
      <c r="B53" s="7" t="s">
        <v>1396</v>
      </c>
      <c r="C53" s="8">
        <f>SUMIF(INGRESOS!$R:$R,A53,INGRESOS!$L:$L)</f>
        <v>618954316</v>
      </c>
      <c r="D53" s="8">
        <f>SUMIF(EGRESOS!$P:$P,A53,EGRESOS!$Y:$Y)</f>
        <v>618954316</v>
      </c>
      <c r="E53" s="8">
        <f t="shared" si="5"/>
        <v>0</v>
      </c>
      <c r="F53" s="8">
        <f>SUMIF(INGRESOS!$R:$R,A53,INGRESOS!$N:$N)</f>
        <v>0</v>
      </c>
      <c r="G53" s="8">
        <f>SUMIF(EGRESOS!$P:$P,A53,EGRESOS!$AA:$AA)</f>
        <v>618954316</v>
      </c>
      <c r="H53" s="8">
        <f t="shared" si="6"/>
        <v>-618954316</v>
      </c>
      <c r="I53" s="8">
        <f>SUMIF(EGRESOS!$P:$P,A53,EGRESOS!$AB:$AB)</f>
        <v>0</v>
      </c>
      <c r="J53" s="8">
        <f t="shared" si="7"/>
        <v>618954316</v>
      </c>
      <c r="K53" s="8">
        <f>SUMIF(EGRESOS!$P:$P,A53,EGRESOS!$AC:$AC)</f>
        <v>0</v>
      </c>
      <c r="L53" s="8">
        <f t="shared" si="8"/>
        <v>0</v>
      </c>
      <c r="M53" s="8">
        <f t="shared" si="9"/>
        <v>0</v>
      </c>
    </row>
    <row r="54" spans="1:13" x14ac:dyDescent="0.2">
      <c r="A54" s="7" t="s">
        <v>211</v>
      </c>
      <c r="B54" s="7" t="s">
        <v>1402</v>
      </c>
      <c r="C54" s="8">
        <f>SUMIF(INGRESOS!$R:$R,A54,INGRESOS!$L:$L)</f>
        <v>450553125</v>
      </c>
      <c r="D54" s="8">
        <f>SUMIF(EGRESOS!$P:$P,A54,EGRESOS!$Y:$Y)</f>
        <v>450553125</v>
      </c>
      <c r="E54" s="8">
        <f t="shared" si="5"/>
        <v>0</v>
      </c>
      <c r="F54" s="8">
        <f>SUMIF(INGRESOS!$R:$R,A54,INGRESOS!$N:$N)</f>
        <v>218684835</v>
      </c>
      <c r="G54" s="8">
        <f>SUMIF(EGRESOS!$P:$P,A54,EGRESOS!$AA:$AA)</f>
        <v>218684835</v>
      </c>
      <c r="H54" s="8">
        <f t="shared" si="6"/>
        <v>0</v>
      </c>
      <c r="I54" s="8">
        <f>SUMIF(EGRESOS!$P:$P,A54,EGRESOS!$AB:$AB)</f>
        <v>218684835</v>
      </c>
      <c r="J54" s="8">
        <f t="shared" si="7"/>
        <v>0</v>
      </c>
      <c r="K54" s="8">
        <f>SUMIF(EGRESOS!$P:$P,A54,EGRESOS!$AC:$AC)</f>
        <v>218684835</v>
      </c>
      <c r="L54" s="8">
        <f t="shared" si="8"/>
        <v>0</v>
      </c>
      <c r="M54" s="8">
        <f t="shared" si="9"/>
        <v>0</v>
      </c>
    </row>
    <row r="55" spans="1:13" x14ac:dyDescent="0.2">
      <c r="A55" s="7" t="s">
        <v>317</v>
      </c>
      <c r="B55" s="7" t="s">
        <v>1405</v>
      </c>
      <c r="C55" s="8">
        <f>SUMIF(INGRESOS!$R:$R,A55,INGRESOS!$L:$L)</f>
        <v>100000</v>
      </c>
      <c r="D55" s="8">
        <f>SUMIF(EGRESOS!$P:$P,A55,EGRESOS!$Y:$Y)</f>
        <v>100000</v>
      </c>
      <c r="E55" s="8">
        <f t="shared" si="5"/>
        <v>0</v>
      </c>
      <c r="F55" s="8">
        <f>SUMIF(INGRESOS!$R:$R,A55,INGRESOS!$N:$N)</f>
        <v>0</v>
      </c>
      <c r="G55" s="8">
        <f>SUMIF(EGRESOS!$P:$P,A55,EGRESOS!$AA:$AA)</f>
        <v>0</v>
      </c>
      <c r="H55" s="8">
        <f t="shared" si="6"/>
        <v>0</v>
      </c>
      <c r="I55" s="8">
        <f>SUMIF(EGRESOS!$P:$P,A55,EGRESOS!$AB:$AB)</f>
        <v>0</v>
      </c>
      <c r="J55" s="8">
        <f t="shared" si="7"/>
        <v>0</v>
      </c>
      <c r="K55" s="8">
        <f>SUMIF(EGRESOS!$P:$P,A55,EGRESOS!$AC:$AC)</f>
        <v>0</v>
      </c>
      <c r="L55" s="8">
        <f t="shared" si="8"/>
        <v>0</v>
      </c>
      <c r="M55" s="8">
        <f t="shared" si="9"/>
        <v>0</v>
      </c>
    </row>
    <row r="56" spans="1:13" x14ac:dyDescent="0.2">
      <c r="A56" s="7" t="s">
        <v>234</v>
      </c>
      <c r="B56" s="7" t="s">
        <v>1425</v>
      </c>
      <c r="C56" s="8">
        <f>SUMIF(INGRESOS!$R:$R,A56,INGRESOS!$L:$L)</f>
        <v>88280838</v>
      </c>
      <c r="D56" s="8">
        <f>SUMIF(EGRESOS!$P:$P,A56,EGRESOS!$Y:$Y)</f>
        <v>88280838</v>
      </c>
      <c r="E56" s="8">
        <f t="shared" si="5"/>
        <v>0</v>
      </c>
      <c r="F56" s="8">
        <f>SUMIF(INGRESOS!$R:$R,A56,INGRESOS!$N:$N)</f>
        <v>28429809.530000001</v>
      </c>
      <c r="G56" s="8">
        <f>SUMIF(EGRESOS!$P:$P,A56,EGRESOS!$AA:$AA)</f>
        <v>76659599</v>
      </c>
      <c r="H56" s="8">
        <f t="shared" si="6"/>
        <v>-48229789.469999999</v>
      </c>
      <c r="I56" s="8">
        <f>SUMIF(EGRESOS!$P:$P,A56,EGRESOS!$AB:$AB)</f>
        <v>34842000</v>
      </c>
      <c r="J56" s="8">
        <f t="shared" si="7"/>
        <v>41817599</v>
      </c>
      <c r="K56" s="8">
        <f>SUMIF(EGRESOS!$P:$P,A56,EGRESOS!$AC:$AC)</f>
        <v>34842000</v>
      </c>
      <c r="L56" s="8">
        <f t="shared" si="8"/>
        <v>0</v>
      </c>
      <c r="M56" s="8">
        <f t="shared" si="9"/>
        <v>-6412190.4699999988</v>
      </c>
    </row>
    <row r="57" spans="1:13" x14ac:dyDescent="0.2">
      <c r="A57" s="7" t="s">
        <v>270</v>
      </c>
      <c r="B57" s="7" t="s">
        <v>1438</v>
      </c>
      <c r="C57" s="8">
        <f>SUMIF(INGRESOS!$R:$R,A57,INGRESOS!$L:$L)</f>
        <v>11506000</v>
      </c>
      <c r="D57" s="8">
        <f>SUMIF(EGRESOS!$P:$P,A57,EGRESOS!$Y:$Y)</f>
        <v>11506000</v>
      </c>
      <c r="E57" s="8">
        <f t="shared" si="5"/>
        <v>0</v>
      </c>
      <c r="F57" s="8">
        <f>SUMIF(INGRESOS!$R:$R,A57,INGRESOS!$N:$N)</f>
        <v>0</v>
      </c>
      <c r="G57" s="8">
        <f>SUMIF(EGRESOS!$P:$P,A57,EGRESOS!$AA:$AA)</f>
        <v>0</v>
      </c>
      <c r="H57" s="8">
        <f t="shared" si="6"/>
        <v>0</v>
      </c>
      <c r="I57" s="8">
        <f>SUMIF(EGRESOS!$P:$P,A57,EGRESOS!$AB:$AB)</f>
        <v>0</v>
      </c>
      <c r="J57" s="8">
        <f t="shared" si="7"/>
        <v>0</v>
      </c>
      <c r="K57" s="8">
        <f>SUMIF(EGRESOS!$P:$P,A57,EGRESOS!$AC:$AC)</f>
        <v>0</v>
      </c>
      <c r="L57" s="8">
        <f t="shared" si="8"/>
        <v>0</v>
      </c>
      <c r="M57" s="8">
        <f t="shared" si="9"/>
        <v>0</v>
      </c>
    </row>
    <row r="58" spans="1:13" x14ac:dyDescent="0.2">
      <c r="A58" s="7" t="s">
        <v>346</v>
      </c>
      <c r="B58" s="7" t="s">
        <v>1442</v>
      </c>
      <c r="C58" s="8">
        <f>SUMIF(INGRESOS!$R:$R,A58,INGRESOS!$L:$L)</f>
        <v>100000</v>
      </c>
      <c r="D58" s="8">
        <f>SUMIF(EGRESOS!$P:$P,A58,EGRESOS!$Y:$Y)</f>
        <v>100000</v>
      </c>
      <c r="E58" s="8">
        <f t="shared" si="5"/>
        <v>0</v>
      </c>
      <c r="F58" s="8">
        <f>SUMIF(INGRESOS!$R:$R,A58,INGRESOS!$N:$N)</f>
        <v>140</v>
      </c>
      <c r="G58" s="8">
        <f>SUMIF(EGRESOS!$P:$P,A58,EGRESOS!$AA:$AA)</f>
        <v>0</v>
      </c>
      <c r="H58" s="8">
        <f t="shared" si="6"/>
        <v>140</v>
      </c>
      <c r="I58" s="8">
        <f>SUMIF(EGRESOS!$P:$P,A58,EGRESOS!$AB:$AB)</f>
        <v>0</v>
      </c>
      <c r="J58" s="8">
        <f t="shared" si="7"/>
        <v>0</v>
      </c>
      <c r="K58" s="8">
        <f>SUMIF(EGRESOS!$P:$P,A58,EGRESOS!$AC:$AC)</f>
        <v>0</v>
      </c>
      <c r="L58" s="8">
        <f t="shared" si="8"/>
        <v>0</v>
      </c>
      <c r="M58" s="8">
        <f t="shared" si="9"/>
        <v>140</v>
      </c>
    </row>
    <row r="59" spans="1:13" x14ac:dyDescent="0.2">
      <c r="A59" s="7" t="s">
        <v>329</v>
      </c>
      <c r="B59" s="7" t="s">
        <v>1444</v>
      </c>
      <c r="C59" s="8">
        <f>SUMIF(INGRESOS!$R:$R,A59,INGRESOS!$L:$L)</f>
        <v>100000</v>
      </c>
      <c r="D59" s="8">
        <f>SUMIF(EGRESOS!$P:$P,A59,EGRESOS!$Y:$Y)</f>
        <v>100000</v>
      </c>
      <c r="E59" s="8">
        <f t="shared" si="5"/>
        <v>0</v>
      </c>
      <c r="F59" s="8">
        <f>SUMIF(INGRESOS!$R:$R,A59,INGRESOS!$N:$N)</f>
        <v>0</v>
      </c>
      <c r="G59" s="8">
        <f>SUMIF(EGRESOS!$P:$P,A59,EGRESOS!$AA:$AA)</f>
        <v>0</v>
      </c>
      <c r="H59" s="8">
        <f t="shared" si="6"/>
        <v>0</v>
      </c>
      <c r="I59" s="8">
        <f>SUMIF(EGRESOS!$P:$P,A59,EGRESOS!$AB:$AB)</f>
        <v>0</v>
      </c>
      <c r="J59" s="8">
        <f t="shared" si="7"/>
        <v>0</v>
      </c>
      <c r="K59" s="8">
        <f>SUMIF(EGRESOS!$P:$P,A59,EGRESOS!$AC:$AC)</f>
        <v>0</v>
      </c>
      <c r="L59" s="8">
        <f t="shared" si="8"/>
        <v>0</v>
      </c>
      <c r="M59" s="8">
        <f t="shared" si="9"/>
        <v>0</v>
      </c>
    </row>
    <row r="60" spans="1:13" x14ac:dyDescent="0.2">
      <c r="A60" s="7" t="s">
        <v>481</v>
      </c>
      <c r="B60" s="7" t="s">
        <v>1448</v>
      </c>
      <c r="C60" s="8">
        <f>SUMIF(INGRESOS!$R:$R,A60,INGRESOS!$L:$L)</f>
        <v>28507497</v>
      </c>
      <c r="D60" s="8">
        <f>SUMIF(EGRESOS!$P:$P,A60,EGRESOS!$Y:$Y)</f>
        <v>28507497</v>
      </c>
      <c r="E60" s="8">
        <f t="shared" si="5"/>
        <v>0</v>
      </c>
      <c r="F60" s="8">
        <f>SUMIF(INGRESOS!$R:$R,A60,INGRESOS!$N:$N)</f>
        <v>0</v>
      </c>
      <c r="G60" s="8">
        <f>SUMIF(EGRESOS!$P:$P,A60,EGRESOS!$AA:$AA)</f>
        <v>0</v>
      </c>
      <c r="H60" s="8">
        <f t="shared" si="6"/>
        <v>0</v>
      </c>
      <c r="I60" s="8">
        <f>SUMIF(EGRESOS!$P:$P,A60,EGRESOS!$AB:$AB)</f>
        <v>0</v>
      </c>
      <c r="J60" s="8">
        <f t="shared" si="7"/>
        <v>0</v>
      </c>
      <c r="K60" s="8">
        <f>SUMIF(EGRESOS!$P:$P,A60,EGRESOS!$AC:$AC)</f>
        <v>0</v>
      </c>
      <c r="L60" s="8">
        <f t="shared" si="8"/>
        <v>0</v>
      </c>
      <c r="M60" s="8">
        <f t="shared" si="9"/>
        <v>0</v>
      </c>
    </row>
    <row r="61" spans="1:13" x14ac:dyDescent="0.2">
      <c r="A61" s="7" t="s">
        <v>263</v>
      </c>
      <c r="B61" s="7" t="s">
        <v>1480</v>
      </c>
      <c r="C61" s="8">
        <f>SUMIF(INGRESOS!$R:$R,A61,INGRESOS!$L:$L)</f>
        <v>22091973</v>
      </c>
      <c r="D61" s="8">
        <f>SUMIF(EGRESOS!$P:$P,A61,EGRESOS!$Y:$Y)</f>
        <v>22091973</v>
      </c>
      <c r="E61" s="8">
        <f t="shared" si="5"/>
        <v>0</v>
      </c>
      <c r="F61" s="8">
        <f>SUMIF(INGRESOS!$R:$R,A61,INGRESOS!$N:$N)</f>
        <v>6880698</v>
      </c>
      <c r="G61" s="8">
        <f>SUMIF(EGRESOS!$P:$P,A61,EGRESOS!$AA:$AA)</f>
        <v>300000</v>
      </c>
      <c r="H61" s="8">
        <f t="shared" si="6"/>
        <v>6580698</v>
      </c>
      <c r="I61" s="8">
        <f>SUMIF(EGRESOS!$P:$P,A61,EGRESOS!$AB:$AB)</f>
        <v>300000</v>
      </c>
      <c r="J61" s="8">
        <f t="shared" si="7"/>
        <v>0</v>
      </c>
      <c r="K61" s="8">
        <f>SUMIF(EGRESOS!$P:$P,A61,EGRESOS!$AC:$AC)</f>
        <v>300000</v>
      </c>
      <c r="L61" s="8">
        <f t="shared" si="8"/>
        <v>0</v>
      </c>
      <c r="M61" s="8">
        <f t="shared" si="9"/>
        <v>6580698</v>
      </c>
    </row>
    <row r="62" spans="1:13" x14ac:dyDescent="0.2">
      <c r="A62" s="7" t="s">
        <v>369</v>
      </c>
      <c r="B62" s="7" t="s">
        <v>1489</v>
      </c>
      <c r="C62" s="8">
        <f>SUMIF(INGRESOS!$R:$R,A62,INGRESOS!$L:$L)</f>
        <v>100000</v>
      </c>
      <c r="D62" s="8">
        <f>SUMIF(EGRESOS!$P:$P,A62,EGRESOS!$Y:$Y)</f>
        <v>100000</v>
      </c>
      <c r="E62" s="8">
        <f t="shared" si="5"/>
        <v>0</v>
      </c>
      <c r="F62" s="8">
        <f>SUMIF(INGRESOS!$R:$R,A62,INGRESOS!$N:$N)</f>
        <v>25360</v>
      </c>
      <c r="G62" s="8">
        <f>SUMIF(EGRESOS!$P:$P,A62,EGRESOS!$AA:$AA)</f>
        <v>0</v>
      </c>
      <c r="H62" s="8">
        <f t="shared" si="6"/>
        <v>25360</v>
      </c>
      <c r="I62" s="8">
        <f>SUMIF(EGRESOS!$P:$P,A62,EGRESOS!$AB:$AB)</f>
        <v>0</v>
      </c>
      <c r="J62" s="8">
        <f t="shared" si="7"/>
        <v>0</v>
      </c>
      <c r="K62" s="8">
        <f>SUMIF(EGRESOS!$P:$P,A62,EGRESOS!$AC:$AC)</f>
        <v>0</v>
      </c>
      <c r="L62" s="8">
        <f t="shared" si="8"/>
        <v>0</v>
      </c>
      <c r="M62" s="8">
        <f t="shared" si="9"/>
        <v>25360</v>
      </c>
    </row>
    <row r="63" spans="1:13" x14ac:dyDescent="0.2">
      <c r="A63" s="7" t="s">
        <v>342</v>
      </c>
      <c r="B63" s="7" t="s">
        <v>1509</v>
      </c>
      <c r="C63" s="8">
        <f>SUMIF(INGRESOS!$R:$R,A63,INGRESOS!$L:$L)</f>
        <v>100000</v>
      </c>
      <c r="D63" s="8">
        <f>SUMIF(EGRESOS!$P:$P,A63,EGRESOS!$Y:$Y)</f>
        <v>100000</v>
      </c>
      <c r="E63" s="8">
        <f t="shared" si="5"/>
        <v>0</v>
      </c>
      <c r="F63" s="8">
        <f>SUMIF(INGRESOS!$R:$R,A63,INGRESOS!$N:$N)</f>
        <v>67077</v>
      </c>
      <c r="G63" s="8">
        <f>SUMIF(EGRESOS!$P:$P,A63,EGRESOS!$AA:$AA)</f>
        <v>0</v>
      </c>
      <c r="H63" s="8">
        <f t="shared" si="6"/>
        <v>67077</v>
      </c>
      <c r="I63" s="8">
        <f>SUMIF(EGRESOS!$P:$P,A63,EGRESOS!$AB:$AB)</f>
        <v>0</v>
      </c>
      <c r="J63" s="8">
        <f t="shared" si="7"/>
        <v>0</v>
      </c>
      <c r="K63" s="8">
        <f>SUMIF(EGRESOS!$P:$P,A63,EGRESOS!$AC:$AC)</f>
        <v>0</v>
      </c>
      <c r="L63" s="8">
        <f t="shared" si="8"/>
        <v>0</v>
      </c>
      <c r="M63" s="8">
        <f t="shared" si="9"/>
        <v>67077</v>
      </c>
    </row>
    <row r="64" spans="1:13" x14ac:dyDescent="0.2">
      <c r="A64" s="7" t="s">
        <v>453</v>
      </c>
      <c r="B64" s="7" t="s">
        <v>1511</v>
      </c>
      <c r="C64" s="8">
        <f>SUMIF(INGRESOS!$R:$R,A64,INGRESOS!$L:$L)</f>
        <v>56099684</v>
      </c>
      <c r="D64" s="8">
        <f>SUMIF(EGRESOS!$P:$P,A64,EGRESOS!$Y:$Y)</f>
        <v>56099684</v>
      </c>
      <c r="E64" s="8">
        <f t="shared" si="5"/>
        <v>0</v>
      </c>
      <c r="F64" s="8">
        <f>SUMIF(INGRESOS!$R:$R,A64,INGRESOS!$N:$N)</f>
        <v>0</v>
      </c>
      <c r="G64" s="8">
        <f>SUMIF(EGRESOS!$P:$P,A64,EGRESOS!$AA:$AA)</f>
        <v>8093000</v>
      </c>
      <c r="H64" s="8">
        <f t="shared" si="6"/>
        <v>-8093000</v>
      </c>
      <c r="I64" s="8">
        <f>SUMIF(EGRESOS!$P:$P,A64,EGRESOS!$AB:$AB)</f>
        <v>0</v>
      </c>
      <c r="J64" s="8">
        <f t="shared" si="7"/>
        <v>8093000</v>
      </c>
      <c r="K64" s="8">
        <f>SUMIF(EGRESOS!$P:$P,A64,EGRESOS!$AC:$AC)</f>
        <v>0</v>
      </c>
      <c r="L64" s="8">
        <f t="shared" si="8"/>
        <v>0</v>
      </c>
      <c r="M64" s="8">
        <f t="shared" si="9"/>
        <v>0</v>
      </c>
    </row>
    <row r="65" spans="1:13" x14ac:dyDescent="0.2">
      <c r="A65" s="7" t="s">
        <v>410</v>
      </c>
      <c r="B65" s="7" t="s">
        <v>409</v>
      </c>
      <c r="C65" s="8">
        <f>SUMIF(INGRESOS!$R:$R,A65,INGRESOS!$L:$L)</f>
        <v>44241</v>
      </c>
      <c r="D65" s="8">
        <f>SUMIF(EGRESOS!$P:$P,A65,EGRESOS!$Y:$Y)</f>
        <v>44241</v>
      </c>
      <c r="E65" s="8">
        <f t="shared" si="5"/>
        <v>0</v>
      </c>
      <c r="F65" s="8">
        <f>SUMIF(INGRESOS!$R:$R,A65,INGRESOS!$N:$N)</f>
        <v>0</v>
      </c>
      <c r="G65" s="8">
        <f>SUMIF(EGRESOS!$P:$P,A65,EGRESOS!$AA:$AA)</f>
        <v>0</v>
      </c>
      <c r="H65" s="8">
        <f t="shared" si="6"/>
        <v>0</v>
      </c>
      <c r="I65" s="8">
        <f>SUMIF(EGRESOS!$P:$P,A65,EGRESOS!$AB:$AB)</f>
        <v>0</v>
      </c>
      <c r="J65" s="8">
        <f t="shared" si="7"/>
        <v>0</v>
      </c>
      <c r="K65" s="8">
        <f>SUMIF(EGRESOS!$P:$P,A65,EGRESOS!$AC:$AC)</f>
        <v>0</v>
      </c>
      <c r="L65" s="8">
        <f t="shared" si="8"/>
        <v>0</v>
      </c>
      <c r="M65" s="8">
        <f t="shared" si="9"/>
        <v>0</v>
      </c>
    </row>
    <row r="66" spans="1:13" x14ac:dyDescent="0.2">
      <c r="A66" s="7" t="s">
        <v>326</v>
      </c>
      <c r="B66" s="7" t="s">
        <v>1522</v>
      </c>
      <c r="C66" s="8">
        <f>SUMIF(INGRESOS!$R:$R,A66,INGRESOS!$L:$L)</f>
        <v>33959033</v>
      </c>
      <c r="D66" s="8">
        <f>SUMIF(EGRESOS!$P:$P,A66,EGRESOS!$Y:$Y)</f>
        <v>33959033</v>
      </c>
      <c r="E66" s="8">
        <f t="shared" ref="E66:E97" si="10">C66-D66</f>
        <v>0</v>
      </c>
      <c r="F66" s="8">
        <f>SUMIF(INGRESOS!$R:$R,A66,INGRESOS!$N:$N)</f>
        <v>0</v>
      </c>
      <c r="G66" s="8">
        <f>SUMIF(EGRESOS!$P:$P,A66,EGRESOS!$AA:$AA)</f>
        <v>0</v>
      </c>
      <c r="H66" s="8">
        <f t="shared" ref="H66:H97" si="11">F66-G66</f>
        <v>0</v>
      </c>
      <c r="I66" s="8">
        <f>SUMIF(EGRESOS!$P:$P,A66,EGRESOS!$AB:$AB)</f>
        <v>0</v>
      </c>
      <c r="J66" s="8">
        <f t="shared" ref="J66:J97" si="12">G66-I66</f>
        <v>0</v>
      </c>
      <c r="K66" s="8">
        <f>SUMIF(EGRESOS!$P:$P,A66,EGRESOS!$AC:$AC)</f>
        <v>0</v>
      </c>
      <c r="L66" s="8">
        <f t="shared" ref="L66:L97" si="13">I66-K66</f>
        <v>0</v>
      </c>
      <c r="M66" s="8">
        <f t="shared" ref="M66:M97" si="14">H66+J66+L66</f>
        <v>0</v>
      </c>
    </row>
    <row r="67" spans="1:13" x14ac:dyDescent="0.2">
      <c r="A67" s="7" t="s">
        <v>114</v>
      </c>
      <c r="B67" s="7" t="s">
        <v>112</v>
      </c>
      <c r="C67" s="8">
        <f>SUMIF(INGRESOS!$R:$R,A67,INGRESOS!$L:$L)</f>
        <v>58996857</v>
      </c>
      <c r="D67" s="8">
        <f>SUMIF(EGRESOS!$P:$P,A67,EGRESOS!$Y:$Y)</f>
        <v>58996857</v>
      </c>
      <c r="E67" s="8">
        <f t="shared" si="10"/>
        <v>0</v>
      </c>
      <c r="F67" s="8">
        <f>SUMIF(INGRESOS!$R:$R,A67,INGRESOS!$N:$N)</f>
        <v>35935648</v>
      </c>
      <c r="G67" s="8">
        <f>SUMIF(EGRESOS!$P:$P,A67,EGRESOS!$AA:$AA)</f>
        <v>0</v>
      </c>
      <c r="H67" s="8">
        <f t="shared" si="11"/>
        <v>35935648</v>
      </c>
      <c r="I67" s="8">
        <f>SUMIF(EGRESOS!$P:$P,A67,EGRESOS!$AB:$AB)</f>
        <v>0</v>
      </c>
      <c r="J67" s="8">
        <f t="shared" si="12"/>
        <v>0</v>
      </c>
      <c r="K67" s="8">
        <f>SUMIF(EGRESOS!$P:$P,A67,EGRESOS!$AC:$AC)</f>
        <v>0</v>
      </c>
      <c r="L67" s="8">
        <f t="shared" si="13"/>
        <v>0</v>
      </c>
      <c r="M67" s="8">
        <f t="shared" si="14"/>
        <v>35935648</v>
      </c>
    </row>
    <row r="68" spans="1:13" x14ac:dyDescent="0.2">
      <c r="A68" s="7" t="s">
        <v>354</v>
      </c>
      <c r="B68" s="7" t="s">
        <v>1531</v>
      </c>
      <c r="C68" s="8">
        <f>SUMIF(INGRESOS!$R:$R,A68,INGRESOS!$L:$L)</f>
        <v>100000</v>
      </c>
      <c r="D68" s="8">
        <f>SUMIF(EGRESOS!$P:$P,A68,EGRESOS!$Y:$Y)</f>
        <v>100000</v>
      </c>
      <c r="E68" s="8">
        <f t="shared" si="10"/>
        <v>0</v>
      </c>
      <c r="F68" s="8">
        <f>SUMIF(INGRESOS!$R:$R,A68,INGRESOS!$N:$N)</f>
        <v>7483</v>
      </c>
      <c r="G68" s="8">
        <f>SUMIF(EGRESOS!$P:$P,A68,EGRESOS!$AA:$AA)</f>
        <v>0</v>
      </c>
      <c r="H68" s="8">
        <f t="shared" si="11"/>
        <v>7483</v>
      </c>
      <c r="I68" s="8">
        <f>SUMIF(EGRESOS!$P:$P,A68,EGRESOS!$AB:$AB)</f>
        <v>0</v>
      </c>
      <c r="J68" s="8">
        <f t="shared" si="12"/>
        <v>0</v>
      </c>
      <c r="K68" s="8">
        <f>SUMIF(EGRESOS!$P:$P,A68,EGRESOS!$AC:$AC)</f>
        <v>0</v>
      </c>
      <c r="L68" s="8">
        <f t="shared" si="13"/>
        <v>0</v>
      </c>
      <c r="M68" s="8">
        <f t="shared" si="14"/>
        <v>7483</v>
      </c>
    </row>
    <row r="69" spans="1:13" x14ac:dyDescent="0.2">
      <c r="A69" s="7" t="s">
        <v>314</v>
      </c>
      <c r="B69" s="7" t="s">
        <v>1552</v>
      </c>
      <c r="C69" s="8">
        <f>SUMIF(INGRESOS!$R:$R,A69,INGRESOS!$L:$L)</f>
        <v>100000</v>
      </c>
      <c r="D69" s="8">
        <f>SUMIF(EGRESOS!$P:$P,A69,EGRESOS!$Y:$Y)</f>
        <v>100000</v>
      </c>
      <c r="E69" s="8">
        <f t="shared" si="10"/>
        <v>0</v>
      </c>
      <c r="F69" s="8">
        <f>SUMIF(INGRESOS!$R:$R,A69,INGRESOS!$N:$N)</f>
        <v>0</v>
      </c>
      <c r="G69" s="8">
        <f>SUMIF(EGRESOS!$P:$P,A69,EGRESOS!$AA:$AA)</f>
        <v>0</v>
      </c>
      <c r="H69" s="8">
        <f t="shared" si="11"/>
        <v>0</v>
      </c>
      <c r="I69" s="8">
        <f>SUMIF(EGRESOS!$P:$P,A69,EGRESOS!$AB:$AB)</f>
        <v>0</v>
      </c>
      <c r="J69" s="8">
        <f t="shared" si="12"/>
        <v>0</v>
      </c>
      <c r="K69" s="8">
        <f>SUMIF(EGRESOS!$P:$P,A69,EGRESOS!$AC:$AC)</f>
        <v>0</v>
      </c>
      <c r="L69" s="8">
        <f t="shared" si="13"/>
        <v>0</v>
      </c>
      <c r="M69" s="8">
        <f t="shared" si="14"/>
        <v>0</v>
      </c>
    </row>
    <row r="70" spans="1:13" x14ac:dyDescent="0.2">
      <c r="A70" s="7" t="s">
        <v>489</v>
      </c>
      <c r="B70" s="7" t="s">
        <v>1558</v>
      </c>
      <c r="C70" s="8">
        <f>SUMIF(INGRESOS!$R:$R,A70,INGRESOS!$L:$L)</f>
        <v>271982093</v>
      </c>
      <c r="D70" s="8">
        <f>SUMIF(EGRESOS!$P:$P,A70,EGRESOS!$Y:$Y)</f>
        <v>271982093</v>
      </c>
      <c r="E70" s="8">
        <f t="shared" si="10"/>
        <v>0</v>
      </c>
      <c r="F70" s="8">
        <f>SUMIF(INGRESOS!$R:$R,A70,INGRESOS!$N:$N)</f>
        <v>0</v>
      </c>
      <c r="G70" s="8">
        <f>SUMIF(EGRESOS!$P:$P,A70,EGRESOS!$AA:$AA)</f>
        <v>49000000</v>
      </c>
      <c r="H70" s="8">
        <f t="shared" si="11"/>
        <v>-49000000</v>
      </c>
      <c r="I70" s="8">
        <f>SUMIF(EGRESOS!$P:$P,A70,EGRESOS!$AB:$AB)</f>
        <v>0</v>
      </c>
      <c r="J70" s="8">
        <f t="shared" si="12"/>
        <v>49000000</v>
      </c>
      <c r="K70" s="8">
        <f>SUMIF(EGRESOS!$P:$P,A70,EGRESOS!$AC:$AC)</f>
        <v>0</v>
      </c>
      <c r="L70" s="8">
        <f t="shared" si="13"/>
        <v>0</v>
      </c>
      <c r="M70" s="8">
        <f t="shared" si="14"/>
        <v>0</v>
      </c>
    </row>
    <row r="71" spans="1:13" x14ac:dyDescent="0.2">
      <c r="A71" s="7" t="s">
        <v>465</v>
      </c>
      <c r="B71" s="7" t="s">
        <v>1561</v>
      </c>
      <c r="C71" s="8">
        <f>SUMIF(INGRESOS!$R:$R,A71,INGRESOS!$L:$L)</f>
        <v>229972</v>
      </c>
      <c r="D71" s="8">
        <f>SUMIF(EGRESOS!$P:$P,A71,EGRESOS!$Y:$Y)</f>
        <v>229972</v>
      </c>
      <c r="E71" s="8">
        <f t="shared" si="10"/>
        <v>0</v>
      </c>
      <c r="F71" s="8">
        <f>SUMIF(INGRESOS!$R:$R,A71,INGRESOS!$N:$N)</f>
        <v>0</v>
      </c>
      <c r="G71" s="8">
        <f>SUMIF(EGRESOS!$P:$P,A71,EGRESOS!$AA:$AA)</f>
        <v>0</v>
      </c>
      <c r="H71" s="8">
        <f t="shared" si="11"/>
        <v>0</v>
      </c>
      <c r="I71" s="8">
        <f>SUMIF(EGRESOS!$P:$P,A71,EGRESOS!$AB:$AB)</f>
        <v>0</v>
      </c>
      <c r="J71" s="8">
        <f t="shared" si="12"/>
        <v>0</v>
      </c>
      <c r="K71" s="8">
        <f>SUMIF(EGRESOS!$P:$P,A71,EGRESOS!$AC:$AC)</f>
        <v>0</v>
      </c>
      <c r="L71" s="8">
        <f t="shared" si="13"/>
        <v>0</v>
      </c>
      <c r="M71" s="8">
        <f t="shared" si="14"/>
        <v>0</v>
      </c>
    </row>
    <row r="72" spans="1:13" x14ac:dyDescent="0.2">
      <c r="A72" s="7" t="s">
        <v>395</v>
      </c>
      <c r="B72" s="7" t="s">
        <v>393</v>
      </c>
      <c r="C72" s="8">
        <f>SUMIF(INGRESOS!$R:$R,A72,INGRESOS!$L:$L)</f>
        <v>964878</v>
      </c>
      <c r="D72" s="8">
        <f>SUMIF(EGRESOS!$P:$P,A72,EGRESOS!$Y:$Y)</f>
        <v>964878</v>
      </c>
      <c r="E72" s="8">
        <f t="shared" si="10"/>
        <v>0</v>
      </c>
      <c r="F72" s="8">
        <f>SUMIF(INGRESOS!$R:$R,A72,INGRESOS!$N:$N)</f>
        <v>586</v>
      </c>
      <c r="G72" s="8">
        <f>SUMIF(EGRESOS!$P:$P,A72,EGRESOS!$AA:$AA)</f>
        <v>0</v>
      </c>
      <c r="H72" s="8">
        <f t="shared" si="11"/>
        <v>586</v>
      </c>
      <c r="I72" s="8">
        <f>SUMIF(EGRESOS!$P:$P,A72,EGRESOS!$AB:$AB)</f>
        <v>0</v>
      </c>
      <c r="J72" s="8">
        <f t="shared" si="12"/>
        <v>0</v>
      </c>
      <c r="K72" s="8">
        <f>SUMIF(EGRESOS!$P:$P,A72,EGRESOS!$AC:$AC)</f>
        <v>0</v>
      </c>
      <c r="L72" s="8">
        <f t="shared" si="13"/>
        <v>0</v>
      </c>
      <c r="M72" s="8">
        <f t="shared" si="14"/>
        <v>586</v>
      </c>
    </row>
    <row r="73" spans="1:13" x14ac:dyDescent="0.2">
      <c r="A73" s="7" t="s">
        <v>219</v>
      </c>
      <c r="B73" s="7" t="s">
        <v>1609</v>
      </c>
      <c r="C73" s="8">
        <f>SUMIF(INGRESOS!$R:$R,A73,INGRESOS!$L:$L)</f>
        <v>5164858462</v>
      </c>
      <c r="D73" s="8">
        <f>SUMIF(EGRESOS!$P:$P,A73,EGRESOS!$Y:$Y)</f>
        <v>5164858462</v>
      </c>
      <c r="E73" s="8">
        <f t="shared" si="10"/>
        <v>0</v>
      </c>
      <c r="F73" s="8">
        <f>SUMIF(INGRESOS!$R:$R,A73,INGRESOS!$N:$N)</f>
        <v>2133097777</v>
      </c>
      <c r="G73" s="8">
        <f>SUMIF(EGRESOS!$P:$P,A73,EGRESOS!$AA:$AA)</f>
        <v>2133097777</v>
      </c>
      <c r="H73" s="8">
        <f t="shared" si="11"/>
        <v>0</v>
      </c>
      <c r="I73" s="8">
        <f>SUMIF(EGRESOS!$P:$P,A73,EGRESOS!$AB:$AB)</f>
        <v>2133097777</v>
      </c>
      <c r="J73" s="8">
        <f t="shared" si="12"/>
        <v>0</v>
      </c>
      <c r="K73" s="8">
        <f>SUMIF(EGRESOS!$P:$P,A73,EGRESOS!$AC:$AC)</f>
        <v>2133097777</v>
      </c>
      <c r="L73" s="8">
        <f t="shared" si="13"/>
        <v>0</v>
      </c>
      <c r="M73" s="8">
        <f t="shared" si="14"/>
        <v>0</v>
      </c>
    </row>
    <row r="74" spans="1:13" x14ac:dyDescent="0.2">
      <c r="A74" s="7" t="s">
        <v>300</v>
      </c>
      <c r="B74" s="7" t="s">
        <v>1612</v>
      </c>
      <c r="C74" s="8">
        <f>SUMIF(INGRESOS!$R:$R,A74,INGRESOS!$L:$L)</f>
        <v>106032935</v>
      </c>
      <c r="D74" s="8">
        <f>SUMIF(EGRESOS!$P:$P,A74,EGRESOS!$Y:$Y)</f>
        <v>106032935</v>
      </c>
      <c r="E74" s="8">
        <f t="shared" si="10"/>
        <v>0</v>
      </c>
      <c r="F74" s="8">
        <f>SUMIF(INGRESOS!$R:$R,A74,INGRESOS!$N:$N)</f>
        <v>33803129.990000002</v>
      </c>
      <c r="G74" s="8">
        <f>SUMIF(EGRESOS!$P:$P,A74,EGRESOS!$AA:$AA)</f>
        <v>40263025</v>
      </c>
      <c r="H74" s="8">
        <f t="shared" si="11"/>
        <v>-6459895.0099999979</v>
      </c>
      <c r="I74" s="8">
        <f>SUMIF(EGRESOS!$P:$P,A74,EGRESOS!$AB:$AB)</f>
        <v>40263025</v>
      </c>
      <c r="J74" s="8">
        <f t="shared" si="12"/>
        <v>0</v>
      </c>
      <c r="K74" s="8">
        <f>SUMIF(EGRESOS!$P:$P,A74,EGRESOS!$AC:$AC)</f>
        <v>40263025</v>
      </c>
      <c r="L74" s="8">
        <f t="shared" si="13"/>
        <v>0</v>
      </c>
      <c r="M74" s="8">
        <f t="shared" si="14"/>
        <v>-6459895.0099999979</v>
      </c>
    </row>
    <row r="75" spans="1:13" x14ac:dyDescent="0.2">
      <c r="A75" s="7" t="s">
        <v>279</v>
      </c>
      <c r="B75" s="7" t="s">
        <v>1614</v>
      </c>
      <c r="C75" s="8">
        <f>SUMIF(INGRESOS!$R:$R,A75,INGRESOS!$L:$L)</f>
        <v>7705754382</v>
      </c>
      <c r="D75" s="8">
        <f>SUMIF(EGRESOS!$P:$P,A75,EGRESOS!$Y:$Y)</f>
        <v>7705754382</v>
      </c>
      <c r="E75" s="8">
        <f t="shared" si="10"/>
        <v>0</v>
      </c>
      <c r="F75" s="8">
        <f>SUMIF(INGRESOS!$R:$R,A75,INGRESOS!$N:$N)</f>
        <v>4085561906.8199992</v>
      </c>
      <c r="G75" s="8">
        <f>SUMIF(EGRESOS!$P:$P,A75,EGRESOS!$AA:$AA)</f>
        <v>4085561906.8200002</v>
      </c>
      <c r="H75" s="8">
        <f t="shared" si="11"/>
        <v>0</v>
      </c>
      <c r="I75" s="8">
        <f>SUMIF(EGRESOS!$P:$P,A75,EGRESOS!$AB:$AB)</f>
        <v>4085561906.8200002</v>
      </c>
      <c r="J75" s="8">
        <f t="shared" si="12"/>
        <v>0</v>
      </c>
      <c r="K75" s="8">
        <f>SUMIF(EGRESOS!$P:$P,A75,EGRESOS!$AC:$AC)</f>
        <v>4085561906.8200002</v>
      </c>
      <c r="L75" s="8">
        <f t="shared" si="13"/>
        <v>0</v>
      </c>
      <c r="M75" s="8">
        <f t="shared" si="14"/>
        <v>0</v>
      </c>
    </row>
    <row r="76" spans="1:13" x14ac:dyDescent="0.2">
      <c r="A76" s="7" t="s">
        <v>283</v>
      </c>
      <c r="B76" s="7" t="s">
        <v>1616</v>
      </c>
      <c r="C76" s="8">
        <f>SUMIF(INGRESOS!$R:$R,A76,INGRESOS!$L:$L)</f>
        <v>3396564</v>
      </c>
      <c r="D76" s="8">
        <f>SUMIF(EGRESOS!$P:$P,A76,EGRESOS!$Y:$Y)</f>
        <v>3396564</v>
      </c>
      <c r="E76" s="8">
        <f t="shared" si="10"/>
        <v>0</v>
      </c>
      <c r="F76" s="8">
        <f>SUMIF(INGRESOS!$R:$R,A76,INGRESOS!$N:$N)</f>
        <v>1538907.89</v>
      </c>
      <c r="G76" s="8">
        <f>SUMIF(EGRESOS!$P:$P,A76,EGRESOS!$AA:$AA)</f>
        <v>1538907.89</v>
      </c>
      <c r="H76" s="8">
        <f t="shared" si="11"/>
        <v>0</v>
      </c>
      <c r="I76" s="8">
        <f>SUMIF(EGRESOS!$P:$P,A76,EGRESOS!$AB:$AB)</f>
        <v>1538907.89</v>
      </c>
      <c r="J76" s="8">
        <f t="shared" si="12"/>
        <v>0</v>
      </c>
      <c r="K76" s="8">
        <f>SUMIF(EGRESOS!$P:$P,A76,EGRESOS!$AC:$AC)</f>
        <v>1538907.89</v>
      </c>
      <c r="L76" s="8">
        <f t="shared" si="13"/>
        <v>0</v>
      </c>
      <c r="M76" s="8">
        <f t="shared" si="14"/>
        <v>0</v>
      </c>
    </row>
    <row r="77" spans="1:13" x14ac:dyDescent="0.2">
      <c r="A77" s="7" t="s">
        <v>289</v>
      </c>
      <c r="B77" s="7" t="s">
        <v>1618</v>
      </c>
      <c r="C77" s="8">
        <f>SUMIF(INGRESOS!$R:$R,A77,INGRESOS!$L:$L)</f>
        <v>315954895</v>
      </c>
      <c r="D77" s="8">
        <f>SUMIF(EGRESOS!$P:$P,A77,EGRESOS!$Y:$Y)</f>
        <v>315954895</v>
      </c>
      <c r="E77" s="8">
        <f t="shared" si="10"/>
        <v>0</v>
      </c>
      <c r="F77" s="8">
        <f>SUMIF(INGRESOS!$R:$R,A77,INGRESOS!$N:$N)</f>
        <v>151592156.47</v>
      </c>
      <c r="G77" s="8">
        <f>SUMIF(EGRESOS!$P:$P,A77,EGRESOS!$AA:$AA)</f>
        <v>152980564.27000001</v>
      </c>
      <c r="H77" s="8">
        <f t="shared" si="11"/>
        <v>-1388407.8000000119</v>
      </c>
      <c r="I77" s="8">
        <f>SUMIF(EGRESOS!$P:$P,A77,EGRESOS!$AB:$AB)</f>
        <v>152980564.27000001</v>
      </c>
      <c r="J77" s="8">
        <f t="shared" si="12"/>
        <v>0</v>
      </c>
      <c r="K77" s="8">
        <f>SUMIF(EGRESOS!$P:$P,A77,EGRESOS!$AC:$AC)</f>
        <v>152980564.27000001</v>
      </c>
      <c r="L77" s="8">
        <f t="shared" si="13"/>
        <v>0</v>
      </c>
      <c r="M77" s="8">
        <f t="shared" si="14"/>
        <v>-1388407.8000000119</v>
      </c>
    </row>
    <row r="78" spans="1:13" x14ac:dyDescent="0.2">
      <c r="A78" s="7" t="s">
        <v>372</v>
      </c>
      <c r="B78" s="7" t="s">
        <v>1620</v>
      </c>
      <c r="C78" s="8">
        <f>SUMIF(INGRESOS!$R:$R,A78,INGRESOS!$L:$L)</f>
        <v>100000</v>
      </c>
      <c r="D78" s="8">
        <f>SUMIF(EGRESOS!$P:$P,A78,EGRESOS!$Y:$Y)</f>
        <v>100000</v>
      </c>
      <c r="E78" s="8">
        <f t="shared" si="10"/>
        <v>0</v>
      </c>
      <c r="F78" s="8">
        <f>SUMIF(INGRESOS!$R:$R,A78,INGRESOS!$N:$N)</f>
        <v>0</v>
      </c>
      <c r="G78" s="8">
        <f>SUMIF(EGRESOS!$P:$P,A78,EGRESOS!$AA:$AA)</f>
        <v>0</v>
      </c>
      <c r="H78" s="8">
        <f t="shared" si="11"/>
        <v>0</v>
      </c>
      <c r="I78" s="8">
        <f>SUMIF(EGRESOS!$P:$P,A78,EGRESOS!$AB:$AB)</f>
        <v>0</v>
      </c>
      <c r="J78" s="8">
        <f t="shared" si="12"/>
        <v>0</v>
      </c>
      <c r="K78" s="8">
        <f>SUMIF(EGRESOS!$P:$P,A78,EGRESOS!$AC:$AC)</f>
        <v>0</v>
      </c>
      <c r="L78" s="8">
        <f t="shared" si="13"/>
        <v>0</v>
      </c>
      <c r="M78" s="8">
        <f t="shared" si="14"/>
        <v>0</v>
      </c>
    </row>
    <row r="79" spans="1:13" x14ac:dyDescent="0.2">
      <c r="A79" s="7" t="s">
        <v>303</v>
      </c>
      <c r="B79" s="7" t="s">
        <v>1625</v>
      </c>
      <c r="C79" s="8">
        <f>SUMIF(INGRESOS!$R:$R,A79,INGRESOS!$L:$L)</f>
        <v>35991278</v>
      </c>
      <c r="D79" s="8">
        <f>SUMIF(EGRESOS!$P:$P,A79,EGRESOS!$Y:$Y)</f>
        <v>35991278</v>
      </c>
      <c r="E79" s="8">
        <f t="shared" si="10"/>
        <v>0</v>
      </c>
      <c r="F79" s="8">
        <f>SUMIF(INGRESOS!$R:$R,A79,INGRESOS!$N:$N)</f>
        <v>0</v>
      </c>
      <c r="G79" s="8">
        <f>SUMIF(EGRESOS!$P:$P,A79,EGRESOS!$AA:$AA)</f>
        <v>12000000</v>
      </c>
      <c r="H79" s="8">
        <f t="shared" si="11"/>
        <v>-12000000</v>
      </c>
      <c r="I79" s="8">
        <f>SUMIF(EGRESOS!$P:$P,A79,EGRESOS!$AB:$AB)</f>
        <v>9457432.1999999993</v>
      </c>
      <c r="J79" s="8">
        <f t="shared" si="12"/>
        <v>2542567.8000000007</v>
      </c>
      <c r="K79" s="8">
        <f>SUMIF(EGRESOS!$P:$P,A79,EGRESOS!$AC:$AC)</f>
        <v>9457432.1999999993</v>
      </c>
      <c r="L79" s="8">
        <f t="shared" si="13"/>
        <v>0</v>
      </c>
      <c r="M79" s="8">
        <f t="shared" si="14"/>
        <v>-9457432.1999999993</v>
      </c>
    </row>
    <row r="80" spans="1:13" x14ac:dyDescent="0.2">
      <c r="A80" s="7" t="s">
        <v>338</v>
      </c>
      <c r="B80" s="7" t="s">
        <v>1627</v>
      </c>
      <c r="C80" s="8">
        <f>SUMIF(INGRESOS!$R:$R,A80,INGRESOS!$L:$L)</f>
        <v>100000</v>
      </c>
      <c r="D80" s="8">
        <f>SUMIF(EGRESOS!$P:$P,A80,EGRESOS!$Y:$Y)</f>
        <v>100000</v>
      </c>
      <c r="E80" s="8">
        <f t="shared" si="10"/>
        <v>0</v>
      </c>
      <c r="F80" s="8">
        <f>SUMIF(INGRESOS!$R:$R,A80,INGRESOS!$N:$N)</f>
        <v>0</v>
      </c>
      <c r="G80" s="8">
        <f>SUMIF(EGRESOS!$P:$P,A80,EGRESOS!$AA:$AA)</f>
        <v>0</v>
      </c>
      <c r="H80" s="8">
        <f t="shared" si="11"/>
        <v>0</v>
      </c>
      <c r="I80" s="8">
        <f>SUMIF(EGRESOS!$P:$P,A80,EGRESOS!$AB:$AB)</f>
        <v>0</v>
      </c>
      <c r="J80" s="8">
        <f t="shared" si="12"/>
        <v>0</v>
      </c>
      <c r="K80" s="8">
        <f>SUMIF(EGRESOS!$P:$P,A80,EGRESOS!$AC:$AC)</f>
        <v>0</v>
      </c>
      <c r="L80" s="8">
        <f t="shared" si="13"/>
        <v>0</v>
      </c>
      <c r="M80" s="8">
        <f t="shared" si="14"/>
        <v>0</v>
      </c>
    </row>
    <row r="81" spans="1:13" x14ac:dyDescent="0.2">
      <c r="A81" s="7" t="s">
        <v>224</v>
      </c>
      <c r="B81" s="7" t="s">
        <v>1637</v>
      </c>
      <c r="C81" s="8">
        <f>SUMIF(INGRESOS!$R:$R,A81,INGRESOS!$L:$L)</f>
        <v>411092820</v>
      </c>
      <c r="D81" s="8">
        <f>SUMIF(EGRESOS!$P:$P,A81,EGRESOS!$Y:$Y)</f>
        <v>411092820</v>
      </c>
      <c r="E81" s="8">
        <f t="shared" si="10"/>
        <v>0</v>
      </c>
      <c r="F81" s="8">
        <f>SUMIF(INGRESOS!$R:$R,A81,INGRESOS!$N:$N)</f>
        <v>125306098</v>
      </c>
      <c r="G81" s="8">
        <f>SUMIF(EGRESOS!$P:$P,A81,EGRESOS!$AA:$AA)</f>
        <v>104642796</v>
      </c>
      <c r="H81" s="8">
        <f t="shared" si="11"/>
        <v>20663302</v>
      </c>
      <c r="I81" s="8">
        <f>SUMIF(EGRESOS!$P:$P,A81,EGRESOS!$AB:$AB)</f>
        <v>73036565.599999994</v>
      </c>
      <c r="J81" s="8">
        <f t="shared" si="12"/>
        <v>31606230.400000006</v>
      </c>
      <c r="K81" s="8">
        <f>SUMIF(EGRESOS!$P:$P,A81,EGRESOS!$AC:$AC)</f>
        <v>73036565.599999994</v>
      </c>
      <c r="L81" s="8">
        <f t="shared" si="13"/>
        <v>0</v>
      </c>
      <c r="M81" s="8">
        <f t="shared" si="14"/>
        <v>52269532.400000006</v>
      </c>
    </row>
    <row r="82" spans="1:13" x14ac:dyDescent="0.2">
      <c r="A82" s="7" t="s">
        <v>320</v>
      </c>
      <c r="B82" s="7" t="s">
        <v>1698</v>
      </c>
      <c r="C82" s="8">
        <f>SUMIF(INGRESOS!$R:$R,A82,INGRESOS!$L:$L)</f>
        <v>1346958</v>
      </c>
      <c r="D82" s="8">
        <f>SUMIF(EGRESOS!$P:$P,A82,EGRESOS!$Y:$Y)</f>
        <v>1346958</v>
      </c>
      <c r="E82" s="8">
        <f t="shared" si="10"/>
        <v>0</v>
      </c>
      <c r="F82" s="8">
        <f>SUMIF(INGRESOS!$R:$R,A82,INGRESOS!$N:$N)</f>
        <v>0</v>
      </c>
      <c r="G82" s="8">
        <f>SUMIF(EGRESOS!$P:$P,A82,EGRESOS!$AA:$AA)</f>
        <v>0</v>
      </c>
      <c r="H82" s="8">
        <f t="shared" si="11"/>
        <v>0</v>
      </c>
      <c r="I82" s="8">
        <f>SUMIF(EGRESOS!$P:$P,A82,EGRESOS!$AB:$AB)</f>
        <v>0</v>
      </c>
      <c r="J82" s="8">
        <f t="shared" si="12"/>
        <v>0</v>
      </c>
      <c r="K82" s="8">
        <f>SUMIF(EGRESOS!$P:$P,A82,EGRESOS!$AC:$AC)</f>
        <v>0</v>
      </c>
      <c r="L82" s="8">
        <f t="shared" si="13"/>
        <v>0</v>
      </c>
      <c r="M82" s="8">
        <f t="shared" si="14"/>
        <v>0</v>
      </c>
    </row>
    <row r="83" spans="1:13" x14ac:dyDescent="0.2">
      <c r="A83" s="7" t="s">
        <v>365</v>
      </c>
      <c r="B83" s="7" t="s">
        <v>1700</v>
      </c>
      <c r="C83" s="8">
        <f>SUMIF(INGRESOS!$R:$R,A83,INGRESOS!$L:$L)</f>
        <v>100000</v>
      </c>
      <c r="D83" s="8">
        <f>SUMIF(EGRESOS!$P:$P,A83,EGRESOS!$Y:$Y)</f>
        <v>100000</v>
      </c>
      <c r="E83" s="8">
        <f t="shared" si="10"/>
        <v>0</v>
      </c>
      <c r="F83" s="8">
        <f>SUMIF(INGRESOS!$R:$R,A83,INGRESOS!$N:$N)</f>
        <v>66259.790000000008</v>
      </c>
      <c r="G83" s="8">
        <f>SUMIF(EGRESOS!$P:$P,A83,EGRESOS!$AA:$AA)</f>
        <v>0</v>
      </c>
      <c r="H83" s="8">
        <f t="shared" si="11"/>
        <v>66259.790000000008</v>
      </c>
      <c r="I83" s="8">
        <f>SUMIF(EGRESOS!$P:$P,A83,EGRESOS!$AB:$AB)</f>
        <v>0</v>
      </c>
      <c r="J83" s="8">
        <f t="shared" si="12"/>
        <v>0</v>
      </c>
      <c r="K83" s="8">
        <f>SUMIF(EGRESOS!$P:$P,A83,EGRESOS!$AC:$AC)</f>
        <v>0</v>
      </c>
      <c r="L83" s="8">
        <f t="shared" si="13"/>
        <v>0</v>
      </c>
      <c r="M83" s="8">
        <f t="shared" si="14"/>
        <v>66259.790000000008</v>
      </c>
    </row>
    <row r="84" spans="1:13" x14ac:dyDescent="0.2">
      <c r="A84" s="7" t="s">
        <v>391</v>
      </c>
      <c r="B84" s="7" t="s">
        <v>390</v>
      </c>
      <c r="C84" s="8">
        <f>SUMIF(INGRESOS!$R:$R,A84,INGRESOS!$L:$L)</f>
        <v>68666</v>
      </c>
      <c r="D84" s="8">
        <f>SUMIF(EGRESOS!$P:$P,A84,EGRESOS!$Y:$Y)</f>
        <v>68666</v>
      </c>
      <c r="E84" s="8">
        <f t="shared" si="10"/>
        <v>0</v>
      </c>
      <c r="F84" s="8">
        <f>SUMIF(INGRESOS!$R:$R,A84,INGRESOS!$N:$N)</f>
        <v>0</v>
      </c>
      <c r="G84" s="8">
        <f>SUMIF(EGRESOS!$P:$P,A84,EGRESOS!$AA:$AA)</f>
        <v>0</v>
      </c>
      <c r="H84" s="8">
        <f t="shared" si="11"/>
        <v>0</v>
      </c>
      <c r="I84" s="8">
        <f>SUMIF(EGRESOS!$P:$P,A84,EGRESOS!$AB:$AB)</f>
        <v>0</v>
      </c>
      <c r="J84" s="8">
        <f t="shared" si="12"/>
        <v>0</v>
      </c>
      <c r="K84" s="8">
        <f>SUMIF(EGRESOS!$P:$P,A84,EGRESOS!$AC:$AC)</f>
        <v>0</v>
      </c>
      <c r="L84" s="8">
        <f t="shared" si="13"/>
        <v>0</v>
      </c>
      <c r="M84" s="8">
        <f t="shared" si="14"/>
        <v>0</v>
      </c>
    </row>
    <row r="85" spans="1:13" x14ac:dyDescent="0.2">
      <c r="A85" s="7" t="s">
        <v>467</v>
      </c>
      <c r="B85" s="7" t="s">
        <v>1704</v>
      </c>
      <c r="C85" s="8">
        <f>SUMIF(INGRESOS!$R:$R,A85,INGRESOS!$L:$L)</f>
        <v>8367680</v>
      </c>
      <c r="D85" s="8">
        <f>SUMIF(EGRESOS!$P:$P,A85,EGRESOS!$Y:$Y)</f>
        <v>8367680</v>
      </c>
      <c r="E85" s="8">
        <f t="shared" si="10"/>
        <v>0</v>
      </c>
      <c r="F85" s="8">
        <f>SUMIF(INGRESOS!$R:$R,A85,INGRESOS!$N:$N)</f>
        <v>0</v>
      </c>
      <c r="G85" s="8">
        <f>SUMIF(EGRESOS!$P:$P,A85,EGRESOS!$AA:$AA)</f>
        <v>0</v>
      </c>
      <c r="H85" s="8">
        <f t="shared" si="11"/>
        <v>0</v>
      </c>
      <c r="I85" s="8">
        <f>SUMIF(EGRESOS!$P:$P,A85,EGRESOS!$AB:$AB)</f>
        <v>0</v>
      </c>
      <c r="J85" s="8">
        <f t="shared" si="12"/>
        <v>0</v>
      </c>
      <c r="K85" s="8">
        <f>SUMIF(EGRESOS!$P:$P,A85,EGRESOS!$AC:$AC)</f>
        <v>0</v>
      </c>
      <c r="L85" s="8">
        <f t="shared" si="13"/>
        <v>0</v>
      </c>
      <c r="M85" s="8">
        <f t="shared" si="14"/>
        <v>0</v>
      </c>
    </row>
    <row r="86" spans="1:13" x14ac:dyDescent="0.2">
      <c r="A86" s="7" t="s">
        <v>485</v>
      </c>
      <c r="B86" s="7" t="s">
        <v>1708</v>
      </c>
      <c r="C86" s="8">
        <f>SUMIF(INGRESOS!$R:$R,A86,INGRESOS!$L:$L)</f>
        <v>10232114</v>
      </c>
      <c r="D86" s="8">
        <f>SUMIF(EGRESOS!$P:$P,A86,EGRESOS!$Y:$Y)</f>
        <v>10232114</v>
      </c>
      <c r="E86" s="8">
        <f t="shared" si="10"/>
        <v>0</v>
      </c>
      <c r="F86" s="8">
        <f>SUMIF(INGRESOS!$R:$R,A86,INGRESOS!$N:$N)</f>
        <v>0</v>
      </c>
      <c r="G86" s="8">
        <f>SUMIF(EGRESOS!$P:$P,A86,EGRESOS!$AA:$AA)</f>
        <v>0</v>
      </c>
      <c r="H86" s="8">
        <f t="shared" si="11"/>
        <v>0</v>
      </c>
      <c r="I86" s="8">
        <f>SUMIF(EGRESOS!$P:$P,A86,EGRESOS!$AB:$AB)</f>
        <v>0</v>
      </c>
      <c r="J86" s="8">
        <f t="shared" si="12"/>
        <v>0</v>
      </c>
      <c r="K86" s="8">
        <f>SUMIF(EGRESOS!$P:$P,A86,EGRESOS!$AC:$AC)</f>
        <v>0</v>
      </c>
      <c r="L86" s="8">
        <f t="shared" si="13"/>
        <v>0</v>
      </c>
      <c r="M86" s="8">
        <f t="shared" si="14"/>
        <v>0</v>
      </c>
    </row>
    <row r="87" spans="1:13" x14ac:dyDescent="0.2">
      <c r="A87" s="7" t="s">
        <v>403</v>
      </c>
      <c r="B87" s="7" t="s">
        <v>401</v>
      </c>
      <c r="C87" s="8">
        <f>SUMIF(INGRESOS!$R:$R,A87,INGRESOS!$L:$L)</f>
        <v>21155</v>
      </c>
      <c r="D87" s="8">
        <f>SUMIF(EGRESOS!$P:$P,A87,EGRESOS!$Y:$Y)</f>
        <v>21155</v>
      </c>
      <c r="E87" s="8">
        <f t="shared" si="10"/>
        <v>0</v>
      </c>
      <c r="F87" s="8">
        <f>SUMIF(INGRESOS!$R:$R,A87,INGRESOS!$N:$N)</f>
        <v>22</v>
      </c>
      <c r="G87" s="8">
        <f>SUMIF(EGRESOS!$P:$P,A87,EGRESOS!$AA:$AA)</f>
        <v>0</v>
      </c>
      <c r="H87" s="8">
        <f t="shared" si="11"/>
        <v>22</v>
      </c>
      <c r="I87" s="8">
        <f>SUMIF(EGRESOS!$P:$P,A87,EGRESOS!$AB:$AB)</f>
        <v>0</v>
      </c>
      <c r="J87" s="8">
        <f t="shared" si="12"/>
        <v>0</v>
      </c>
      <c r="K87" s="8">
        <f>SUMIF(EGRESOS!$P:$P,A87,EGRESOS!$AC:$AC)</f>
        <v>0</v>
      </c>
      <c r="L87" s="8">
        <f t="shared" si="13"/>
        <v>0</v>
      </c>
      <c r="M87" s="8">
        <f t="shared" si="14"/>
        <v>22</v>
      </c>
    </row>
    <row r="88" spans="1:13" x14ac:dyDescent="0.2">
      <c r="A88" s="7" t="s">
        <v>424</v>
      </c>
      <c r="B88" s="7" t="s">
        <v>423</v>
      </c>
      <c r="C88" s="8">
        <f>SUMIF(INGRESOS!$R:$R,A88,INGRESOS!$L:$L)</f>
        <v>40180</v>
      </c>
      <c r="D88" s="8">
        <f>SUMIF(EGRESOS!$P:$P,A88,EGRESOS!$Y:$Y)</f>
        <v>40180</v>
      </c>
      <c r="E88" s="8">
        <f t="shared" si="10"/>
        <v>0</v>
      </c>
      <c r="F88" s="8">
        <f>SUMIF(INGRESOS!$R:$R,A88,INGRESOS!$N:$N)</f>
        <v>0</v>
      </c>
      <c r="G88" s="8">
        <f>SUMIF(EGRESOS!$P:$P,A88,EGRESOS!$AA:$AA)</f>
        <v>0</v>
      </c>
      <c r="H88" s="8">
        <f t="shared" si="11"/>
        <v>0</v>
      </c>
      <c r="I88" s="8">
        <f>SUMIF(EGRESOS!$P:$P,A88,EGRESOS!$AB:$AB)</f>
        <v>0</v>
      </c>
      <c r="J88" s="8">
        <f t="shared" si="12"/>
        <v>0</v>
      </c>
      <c r="K88" s="8">
        <f>SUMIF(EGRESOS!$P:$P,A88,EGRESOS!$AC:$AC)</f>
        <v>0</v>
      </c>
      <c r="L88" s="8">
        <f t="shared" si="13"/>
        <v>0</v>
      </c>
      <c r="M88" s="8">
        <f t="shared" si="14"/>
        <v>0</v>
      </c>
    </row>
    <row r="89" spans="1:13" x14ac:dyDescent="0.2">
      <c r="A89" s="7" t="s">
        <v>176</v>
      </c>
      <c r="B89" s="7" t="s">
        <v>1733</v>
      </c>
      <c r="C89" s="8">
        <f>SUMIF(INGRESOS!$R:$R,A89,INGRESOS!$L:$L)</f>
        <v>177394675</v>
      </c>
      <c r="D89" s="8">
        <f>SUMIF(EGRESOS!$P:$P,A89,EGRESOS!$Y:$Y)</f>
        <v>177394675</v>
      </c>
      <c r="E89" s="8">
        <f t="shared" si="10"/>
        <v>0</v>
      </c>
      <c r="F89" s="8">
        <f>SUMIF(INGRESOS!$R:$R,A89,INGRESOS!$N:$N)</f>
        <v>73954524.239999995</v>
      </c>
      <c r="G89" s="8">
        <f>SUMIF(EGRESOS!$P:$P,A89,EGRESOS!$AA:$AA)</f>
        <v>110347000</v>
      </c>
      <c r="H89" s="8">
        <f t="shared" si="11"/>
        <v>-36392475.760000005</v>
      </c>
      <c r="I89" s="8">
        <f>SUMIF(EGRESOS!$P:$P,A89,EGRESOS!$AB:$AB)</f>
        <v>81682332.709999993</v>
      </c>
      <c r="J89" s="8">
        <f t="shared" si="12"/>
        <v>28664667.290000007</v>
      </c>
      <c r="K89" s="8">
        <f>SUMIF(EGRESOS!$P:$P,A89,EGRESOS!$AC:$AC)</f>
        <v>81682332.709999993</v>
      </c>
      <c r="L89" s="8">
        <f t="shared" si="13"/>
        <v>0</v>
      </c>
      <c r="M89" s="8">
        <f t="shared" si="14"/>
        <v>-7727808.4699999988</v>
      </c>
    </row>
    <row r="90" spans="1:13" x14ac:dyDescent="0.2">
      <c r="A90" s="7" t="s">
        <v>165</v>
      </c>
      <c r="B90" s="7" t="s">
        <v>1735</v>
      </c>
      <c r="C90" s="8">
        <f>SUMIF(INGRESOS!$R:$R,A90,INGRESOS!$L:$L)</f>
        <v>249645648</v>
      </c>
      <c r="D90" s="8">
        <f>SUMIF(EGRESOS!$P:$P,A90,EGRESOS!$Y:$Y)</f>
        <v>249645648</v>
      </c>
      <c r="E90" s="8">
        <f t="shared" si="10"/>
        <v>0</v>
      </c>
      <c r="F90" s="8">
        <f>SUMIF(INGRESOS!$R:$R,A90,INGRESOS!$N:$N)</f>
        <v>135235064.56000191</v>
      </c>
      <c r="G90" s="8">
        <f>SUMIF(EGRESOS!$P:$P,A90,EGRESOS!$AA:$AA)</f>
        <v>98757867</v>
      </c>
      <c r="H90" s="8">
        <f t="shared" si="11"/>
        <v>36477197.56000191</v>
      </c>
      <c r="I90" s="8">
        <f>SUMIF(EGRESOS!$P:$P,A90,EGRESOS!$AB:$AB)</f>
        <v>53370256.320000008</v>
      </c>
      <c r="J90" s="8">
        <f t="shared" si="12"/>
        <v>45387610.679999992</v>
      </c>
      <c r="K90" s="8">
        <f>SUMIF(EGRESOS!$P:$P,A90,EGRESOS!$AC:$AC)</f>
        <v>53370256.320000008</v>
      </c>
      <c r="L90" s="8">
        <f t="shared" si="13"/>
        <v>0</v>
      </c>
      <c r="M90" s="8">
        <f t="shared" si="14"/>
        <v>81864808.240001902</v>
      </c>
    </row>
    <row r="91" spans="1:13" x14ac:dyDescent="0.2">
      <c r="A91" s="7" t="s">
        <v>181</v>
      </c>
      <c r="B91" s="7" t="s">
        <v>1738</v>
      </c>
      <c r="C91" s="8">
        <f>SUMIF(INGRESOS!$R:$R,A91,INGRESOS!$L:$L)</f>
        <v>78292899</v>
      </c>
      <c r="D91" s="8">
        <f>SUMIF(EGRESOS!$P:$P,A91,EGRESOS!$Y:$Y)</f>
        <v>78292899</v>
      </c>
      <c r="E91" s="8">
        <f t="shared" si="10"/>
        <v>0</v>
      </c>
      <c r="F91" s="8">
        <f>SUMIF(INGRESOS!$R:$R,A91,INGRESOS!$N:$N)</f>
        <v>32346899.620000001</v>
      </c>
      <c r="G91" s="8">
        <f>SUMIF(EGRESOS!$P:$P,A91,EGRESOS!$AA:$AA)</f>
        <v>37673679</v>
      </c>
      <c r="H91" s="8">
        <f t="shared" si="11"/>
        <v>-5326779.379999999</v>
      </c>
      <c r="I91" s="8">
        <f>SUMIF(EGRESOS!$P:$P,A91,EGRESOS!$AB:$AB)</f>
        <v>34740344.969999999</v>
      </c>
      <c r="J91" s="8">
        <f t="shared" si="12"/>
        <v>2933334.0300000012</v>
      </c>
      <c r="K91" s="8">
        <f>SUMIF(EGRESOS!$P:$P,A91,EGRESOS!$AC:$AC)</f>
        <v>34740344.969999999</v>
      </c>
      <c r="L91" s="8">
        <f t="shared" si="13"/>
        <v>0</v>
      </c>
      <c r="M91" s="8">
        <f t="shared" si="14"/>
        <v>-2393445.3499999978</v>
      </c>
    </row>
    <row r="92" spans="1:13" x14ac:dyDescent="0.2">
      <c r="A92" s="7" t="s">
        <v>186</v>
      </c>
      <c r="B92" s="7" t="s">
        <v>1741</v>
      </c>
      <c r="C92" s="8">
        <f>SUMIF(INGRESOS!$R:$R,A92,INGRESOS!$L:$L)</f>
        <v>75428799</v>
      </c>
      <c r="D92" s="8">
        <f>SUMIF(EGRESOS!$P:$P,A92,EGRESOS!$Y:$Y)</f>
        <v>75428799</v>
      </c>
      <c r="E92" s="8">
        <f t="shared" si="10"/>
        <v>0</v>
      </c>
      <c r="F92" s="8">
        <f>SUMIF(INGRESOS!$R:$R,A92,INGRESOS!$N:$N)</f>
        <v>31541766.5</v>
      </c>
      <c r="G92" s="8">
        <f>SUMIF(EGRESOS!$P:$P,A92,EGRESOS!$AA:$AA)</f>
        <v>51951590.420000002</v>
      </c>
      <c r="H92" s="8">
        <f t="shared" si="11"/>
        <v>-20409823.920000002</v>
      </c>
      <c r="I92" s="8">
        <f>SUMIF(EGRESOS!$P:$P,A92,EGRESOS!$AB:$AB)</f>
        <v>36817190.420000002</v>
      </c>
      <c r="J92" s="8">
        <f t="shared" si="12"/>
        <v>15134400</v>
      </c>
      <c r="K92" s="8">
        <f>SUMIF(EGRESOS!$P:$P,A92,EGRESOS!$AC:$AC)</f>
        <v>36817190.420000002</v>
      </c>
      <c r="L92" s="8">
        <f t="shared" si="13"/>
        <v>0</v>
      </c>
      <c r="M92" s="8">
        <f t="shared" si="14"/>
        <v>-5275423.9200000018</v>
      </c>
    </row>
    <row r="93" spans="1:13" x14ac:dyDescent="0.2">
      <c r="A93" s="7" t="s">
        <v>471</v>
      </c>
      <c r="B93" s="7" t="s">
        <v>1860</v>
      </c>
      <c r="C93" s="8">
        <f>SUMIF(INGRESOS!$R:$R,A93,INGRESOS!$L:$L)</f>
        <v>1728517</v>
      </c>
      <c r="D93" s="8">
        <f>SUMIF(EGRESOS!$P:$P,A93,EGRESOS!$Y:$Y)</f>
        <v>1728517</v>
      </c>
      <c r="E93" s="8">
        <f t="shared" si="10"/>
        <v>0</v>
      </c>
      <c r="F93" s="8">
        <f>SUMIF(INGRESOS!$R:$R,A93,INGRESOS!$N:$N)</f>
        <v>0</v>
      </c>
      <c r="G93" s="8">
        <f>SUMIF(EGRESOS!$P:$P,A93,EGRESOS!$AA:$AA)</f>
        <v>0</v>
      </c>
      <c r="H93" s="8">
        <f t="shared" si="11"/>
        <v>0</v>
      </c>
      <c r="I93" s="8">
        <f>SUMIF(EGRESOS!$P:$P,A93,EGRESOS!$AB:$AB)</f>
        <v>0</v>
      </c>
      <c r="J93" s="8">
        <f t="shared" si="12"/>
        <v>0</v>
      </c>
      <c r="K93" s="8">
        <f>SUMIF(EGRESOS!$P:$P,A93,EGRESOS!$AC:$AC)</f>
        <v>0</v>
      </c>
      <c r="L93" s="8">
        <f t="shared" si="13"/>
        <v>0</v>
      </c>
      <c r="M93" s="8">
        <f t="shared" si="14"/>
        <v>0</v>
      </c>
    </row>
    <row r="94" spans="1:13" x14ac:dyDescent="0.2">
      <c r="A94" s="7" t="s">
        <v>475</v>
      </c>
      <c r="B94" s="7" t="s">
        <v>1862</v>
      </c>
      <c r="C94" s="8">
        <f>SUMIF(INGRESOS!$R:$R,A94,INGRESOS!$L:$L)</f>
        <v>1728516</v>
      </c>
      <c r="D94" s="8">
        <f>SUMIF(EGRESOS!$P:$P,A94,EGRESOS!$Y:$Y)</f>
        <v>1728516</v>
      </c>
      <c r="E94" s="8">
        <f t="shared" si="10"/>
        <v>0</v>
      </c>
      <c r="F94" s="8">
        <f>SUMIF(INGRESOS!$R:$R,A94,INGRESOS!$N:$N)</f>
        <v>0</v>
      </c>
      <c r="G94" s="8">
        <f>SUMIF(EGRESOS!$P:$P,A94,EGRESOS!$AA:$AA)</f>
        <v>0</v>
      </c>
      <c r="H94" s="8">
        <f t="shared" si="11"/>
        <v>0</v>
      </c>
      <c r="I94" s="8">
        <f>SUMIF(EGRESOS!$P:$P,A94,EGRESOS!$AB:$AB)</f>
        <v>0</v>
      </c>
      <c r="J94" s="8">
        <f t="shared" si="12"/>
        <v>0</v>
      </c>
      <c r="K94" s="8">
        <f>SUMIF(EGRESOS!$P:$P,A94,EGRESOS!$AC:$AC)</f>
        <v>0</v>
      </c>
      <c r="L94" s="8">
        <f t="shared" si="13"/>
        <v>0</v>
      </c>
      <c r="M94" s="8">
        <f t="shared" si="14"/>
        <v>0</v>
      </c>
    </row>
    <row r="95" spans="1:13" x14ac:dyDescent="0.2">
      <c r="A95" s="7" t="s">
        <v>473</v>
      </c>
      <c r="B95" s="7" t="s">
        <v>1864</v>
      </c>
      <c r="C95" s="8">
        <f>SUMIF(INGRESOS!$R:$R,A95,INGRESOS!$L:$L)</f>
        <v>1728517</v>
      </c>
      <c r="D95" s="8">
        <f>SUMIF(EGRESOS!$P:$P,A95,EGRESOS!$Y:$Y)</f>
        <v>1728517</v>
      </c>
      <c r="E95" s="8">
        <f t="shared" si="10"/>
        <v>0</v>
      </c>
      <c r="F95" s="8">
        <f>SUMIF(INGRESOS!$R:$R,A95,INGRESOS!$N:$N)</f>
        <v>0</v>
      </c>
      <c r="G95" s="8">
        <f>SUMIF(EGRESOS!$P:$P,A95,EGRESOS!$AA:$AA)</f>
        <v>0</v>
      </c>
      <c r="H95" s="8">
        <f t="shared" si="11"/>
        <v>0</v>
      </c>
      <c r="I95" s="8">
        <f>SUMIF(EGRESOS!$P:$P,A95,EGRESOS!$AB:$AB)</f>
        <v>0</v>
      </c>
      <c r="J95" s="8">
        <f t="shared" si="12"/>
        <v>0</v>
      </c>
      <c r="K95" s="8">
        <f>SUMIF(EGRESOS!$P:$P,A95,EGRESOS!$AC:$AC)</f>
        <v>0</v>
      </c>
      <c r="L95" s="8">
        <f t="shared" si="13"/>
        <v>0</v>
      </c>
      <c r="M95" s="8">
        <f t="shared" si="14"/>
        <v>0</v>
      </c>
    </row>
  </sheetData>
  <conditionalFormatting sqref="C2:M95">
    <cfRule type="cellIs" dxfId="0" priority="1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2"/>
  <sheetViews>
    <sheetView tabSelected="1" workbookViewId="0"/>
  </sheetViews>
  <sheetFormatPr baseColWidth="10" defaultColWidth="8.83203125" defaultRowHeight="15" x14ac:dyDescent="0.2"/>
  <cols>
    <col min="1" max="1" width="40" customWidth="1"/>
    <col min="2" max="2" width="25" customWidth="1"/>
  </cols>
  <sheetData>
    <row r="1" spans="1:2" x14ac:dyDescent="0.2">
      <c r="A1" s="7" t="s">
        <v>1899</v>
      </c>
      <c r="B1" s="7" t="s">
        <v>1900</v>
      </c>
    </row>
    <row r="2" spans="1:2" x14ac:dyDescent="0.2">
      <c r="A2" s="7" t="s">
        <v>1901</v>
      </c>
      <c r="B2" s="8">
        <f>INGRESOS!N2</f>
        <v>10141229502.059999</v>
      </c>
    </row>
    <row r="3" spans="1:2" x14ac:dyDescent="0.2">
      <c r="A3" s="7" t="s">
        <v>1902</v>
      </c>
      <c r="B3" s="8">
        <f>SUM('CRUCE INFORMACION'!F:F)</f>
        <v>10141229502.060001</v>
      </c>
    </row>
    <row r="4" spans="1:2" x14ac:dyDescent="0.2">
      <c r="A4" s="7" t="s">
        <v>1903</v>
      </c>
      <c r="B4" s="8">
        <f>B2-B3</f>
        <v>0</v>
      </c>
    </row>
    <row r="5" spans="1:2" x14ac:dyDescent="0.2">
      <c r="A5" s="7" t="s">
        <v>1904</v>
      </c>
      <c r="B5" s="7" t="str">
        <f>IF(ABS(B4)&lt;0.01,"Los datos coinciden","Los datos no coinciden, faltan productos")</f>
        <v>Los datos coinciden</v>
      </c>
    </row>
    <row r="8" spans="1:2" x14ac:dyDescent="0.2">
      <c r="A8" s="7" t="s">
        <v>1905</v>
      </c>
      <c r="B8" s="7" t="s">
        <v>1900</v>
      </c>
    </row>
    <row r="9" spans="1:2" x14ac:dyDescent="0.2">
      <c r="A9" s="7" t="s">
        <v>1906</v>
      </c>
      <c r="B9" s="8">
        <f>INGRESOS!L2</f>
        <v>26801009018</v>
      </c>
    </row>
    <row r="10" spans="1:2" x14ac:dyDescent="0.2">
      <c r="A10" s="7" t="s">
        <v>1907</v>
      </c>
      <c r="B10" s="8">
        <f>SUM('CRUCE INFORMACION'!C:C)</f>
        <v>26801009018</v>
      </c>
    </row>
    <row r="11" spans="1:2" x14ac:dyDescent="0.2">
      <c r="A11" s="7" t="s">
        <v>1903</v>
      </c>
      <c r="B11" s="8">
        <f>B9-B10</f>
        <v>0</v>
      </c>
    </row>
    <row r="12" spans="1:2" x14ac:dyDescent="0.2">
      <c r="A12" s="7" t="s">
        <v>1904</v>
      </c>
      <c r="B12" s="7" t="str">
        <f>IF(ABS(B11)&lt;0.01,"Los datos coinciden","Los datos no coinciden, falta un producto")</f>
        <v>Los datos coinciden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INGRESOS</vt:lpstr>
      <vt:lpstr>EGRESOS</vt:lpstr>
      <vt:lpstr>CRUCE INFORMACION</vt:lpstr>
      <vt:lpstr>INFORME RAPIDO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Diego Alejandro Muñoz Rodriguez</cp:lastModifiedBy>
  <dcterms:created xsi:type="dcterms:W3CDTF">2026-06-10T22:36:32Z</dcterms:created>
  <dcterms:modified xsi:type="dcterms:W3CDTF">2026-06-12T20:37:51Z</dcterms:modified>
</cp:coreProperties>
</file>