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GRESOS" sheetId="1" state="visible" r:id="rId1"/>
    <sheet name="EGRESOS" sheetId="2" state="visible" r:id="rId2"/>
    <sheet name="CRUCE INFORMACION" sheetId="3" state="visible" r:id="rId3"/>
    <sheet name="REPORTE FILTRADO" sheetId="4" state="visible" r:id="rId4"/>
    <sheet name="INFORME RAPID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7F7F7F"/>
      </patternFill>
    </fill>
    <fill>
      <patternFill patternType="solid">
        <fgColor rgb="00385D8A"/>
      </patternFill>
    </fill>
    <fill>
      <patternFill patternType="solid">
        <fgColor rgb="007030A0"/>
      </patternFill>
    </fill>
    <fill>
      <patternFill patternType="solid">
        <fgColor rgb="000070C0"/>
      </patternFill>
    </fill>
    <fill>
      <patternFill patternType="solid">
        <fgColor rgb="00ED7D31"/>
      </patternFill>
    </fill>
    <fill>
      <patternFill patternType="solid">
        <fgColor rgb="0092D050"/>
      </patternFill>
    </fill>
    <fill>
      <patternFill patternType="solid">
        <fgColor rgb="001F497D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pivotButton="0" quotePrefix="0" xfId="0"/>
    <xf numFmtId="0" fontId="1" fillId="8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FFFF00"/>
          <bgColor rgb="00FF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Esfuerzo tributario municipal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'REPORTE FILTRADO'!C1</f>
            </strRef>
          </tx>
          <spPr>
            <a:solidFill>
              <a:srgbClr val="7F7F7F"/>
            </a:solidFill>
            <a:ln>
              <a:prstDash val="solid"/>
            </a:ln>
          </spPr>
          <cat>
            <numRef>
              <f>'REPORTE FILTRADO'!$B$2:$B$8</f>
            </numRef>
          </cat>
          <val>
            <numRef>
              <f>'REPORTE FILTRADO'!$C$2:$C$8</f>
            </numRef>
          </val>
        </ser>
        <ser>
          <idx val="1"/>
          <order val="1"/>
          <tx>
            <strRef>
              <f>'REPORTE FILTRADO'!D1</f>
            </strRef>
          </tx>
          <spPr>
            <a:solidFill>
              <a:srgbClr val="00B050"/>
            </a:solidFill>
            <a:ln>
              <a:prstDash val="solid"/>
            </a:ln>
          </spPr>
          <cat>
            <numRef>
              <f>'REPORTE FILTRADO'!$B$2:$B$8</f>
            </numRef>
          </cat>
          <val>
            <numRef>
              <f>'REPORTE FILTRADO'!$D$2:$D$8</f>
            </numRef>
          </val>
        </ser>
        <dLbls>
          <numFmt formatCode="$#,##0"/>
          <showVal val="1"/>
          <showCatName val="0"/>
          <showSerName val="0"/>
          <showPercent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axMin"/>
        </scaling>
        <axPos val="l"/>
        <majorGridlines/>
        <majorTickMark val="none"/>
        <minorTickMark val="none"/>
        <tickLblPos val="low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90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RUBRO</t>
        </is>
      </c>
      <c r="B1" t="inlineStr">
        <is>
          <t>NOMBRE</t>
        </is>
      </c>
      <c r="C1" t="inlineStr">
        <is>
          <t>SSF</t>
        </is>
      </c>
      <c r="D1" t="inlineStr">
        <is>
          <t>DETALLE SECTORIAL</t>
        </is>
      </c>
      <c r="E1" t="inlineStr">
        <is>
          <t>PRESUPUESTO INICIAL</t>
        </is>
      </c>
      <c r="F1" t="inlineStr">
        <is>
          <t>ADICIONES</t>
        </is>
      </c>
      <c r="G1" t="inlineStr">
        <is>
          <t>REDUCCIONES</t>
        </is>
      </c>
      <c r="H1" t="inlineStr">
        <is>
          <t>CREDITOS</t>
        </is>
      </c>
      <c r="I1" t="inlineStr">
        <is>
          <t>CONTRACRED.</t>
        </is>
      </c>
      <c r="J1" t="inlineStr">
        <is>
          <t>LIBERACIONES</t>
        </is>
      </c>
      <c r="K1" t="inlineStr">
        <is>
          <t>APLAZAM.</t>
        </is>
      </c>
      <c r="L1" t="inlineStr">
        <is>
          <t>PRESUPUESTO  DEFINITIVO</t>
        </is>
      </c>
      <c r="M1" t="inlineStr">
        <is>
          <t>RECONOCIM.</t>
        </is>
      </c>
      <c r="N1" t="inlineStr">
        <is>
          <t>RECAUDOS</t>
        </is>
      </c>
      <c r="O1" t="inlineStr">
        <is>
          <t>PORCENTAJE EJECUTADO</t>
        </is>
      </c>
      <c r="P1" t="inlineStr">
        <is>
          <t>NO AFORADO</t>
        </is>
      </c>
      <c r="Q1" t="inlineStr">
        <is>
          <t>SALDO POR EJECUTAR</t>
        </is>
      </c>
      <c r="R1" t="inlineStr">
        <is>
          <t>FUENTE DE RECURSO</t>
        </is>
      </c>
    </row>
    <row r="2">
      <c r="A2" t="inlineStr">
        <is>
          <t>1</t>
        </is>
      </c>
      <c r="B2" t="inlineStr">
        <is>
          <t>Ingresos</t>
        </is>
      </c>
      <c r="C2" t="inlineStr">
        <is>
          <t>C</t>
        </is>
      </c>
      <c r="E2" t="n">
        <v>80970103246</v>
      </c>
      <c r="F2" t="n">
        <v>9164048365</v>
      </c>
      <c r="G2" t="n">
        <v>396773861</v>
      </c>
      <c r="H2" t="n">
        <v>0</v>
      </c>
      <c r="I2" t="n">
        <v>0</v>
      </c>
      <c r="J2" t="n">
        <v>0</v>
      </c>
      <c r="K2" t="n">
        <v>0</v>
      </c>
      <c r="L2" t="n">
        <v>89737377750</v>
      </c>
      <c r="M2" t="n">
        <v>38924563641.38</v>
      </c>
      <c r="N2" t="n">
        <v>38704242136.38</v>
      </c>
      <c r="O2" t="inlineStr">
        <is>
          <t>43.13 %</t>
        </is>
      </c>
      <c r="P2" t="n">
        <v>142798418.22</v>
      </c>
      <c r="Q2" t="n">
        <v>51033135613.62</v>
      </c>
      <c r="R2" t="inlineStr">
        <is>
          <t>00</t>
        </is>
      </c>
    </row>
    <row r="3">
      <c r="A3" t="inlineStr">
        <is>
          <t>1.1</t>
        </is>
      </c>
      <c r="B3" t="inlineStr">
        <is>
          <t>Ingresos Corrientes</t>
        </is>
      </c>
      <c r="C3" t="inlineStr">
        <is>
          <t>C</t>
        </is>
      </c>
      <c r="E3" t="n">
        <v>78162067363</v>
      </c>
      <c r="F3" t="n">
        <v>2775416977</v>
      </c>
      <c r="G3" t="n">
        <v>396773861</v>
      </c>
      <c r="H3" t="n">
        <v>0</v>
      </c>
      <c r="I3" t="n">
        <v>0</v>
      </c>
      <c r="J3" t="n">
        <v>0</v>
      </c>
      <c r="K3" t="n">
        <v>0</v>
      </c>
      <c r="L3" t="n">
        <v>80540710479</v>
      </c>
      <c r="M3" t="n">
        <v>38848371174.61001</v>
      </c>
      <c r="N3" t="n">
        <v>38628049669.61001</v>
      </c>
      <c r="O3" t="inlineStr">
        <is>
          <t>47.96 %</t>
        </is>
      </c>
      <c r="P3" t="n">
        <v>80263253.67000002</v>
      </c>
      <c r="Q3" t="n">
        <v>41912660809.38999</v>
      </c>
      <c r="R3" t="inlineStr">
        <is>
          <t>00</t>
        </is>
      </c>
    </row>
    <row r="4">
      <c r="A4" t="inlineStr">
        <is>
          <t>1.1.01</t>
        </is>
      </c>
      <c r="B4" t="inlineStr">
        <is>
          <t>Ingresos tributarios</t>
        </is>
      </c>
      <c r="C4" t="inlineStr">
        <is>
          <t>C</t>
        </is>
      </c>
      <c r="E4" t="n">
        <v>66076094174</v>
      </c>
      <c r="F4" t="n">
        <v>1613777019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67689871193</v>
      </c>
      <c r="M4" t="n">
        <v>34743019755.14001</v>
      </c>
      <c r="N4" t="n">
        <v>34520654774.14001</v>
      </c>
      <c r="O4" t="inlineStr">
        <is>
          <t>51 %</t>
        </is>
      </c>
      <c r="P4" t="n">
        <v>71957741.67000002</v>
      </c>
      <c r="Q4" t="n">
        <v>33169216418.85999</v>
      </c>
      <c r="R4" t="inlineStr">
        <is>
          <t>00</t>
        </is>
      </c>
    </row>
    <row r="5">
      <c r="A5" t="inlineStr">
        <is>
          <t>1.1.01.01</t>
        </is>
      </c>
      <c r="B5" t="inlineStr">
        <is>
          <t>Impuestos directos</t>
        </is>
      </c>
      <c r="C5" t="inlineStr">
        <is>
          <t>C</t>
        </is>
      </c>
      <c r="E5" t="n">
        <v>5750000000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5750000000</v>
      </c>
      <c r="M5" t="n">
        <v>2091781691</v>
      </c>
      <c r="N5" t="n">
        <v>1869416710</v>
      </c>
      <c r="O5" t="inlineStr">
        <is>
          <t>32.51 %</t>
        </is>
      </c>
      <c r="P5" t="n">
        <v>0</v>
      </c>
      <c r="Q5" t="n">
        <v>3880583290</v>
      </c>
      <c r="R5" t="inlineStr">
        <is>
          <t>00</t>
        </is>
      </c>
    </row>
    <row r="6">
      <c r="A6" t="inlineStr">
        <is>
          <t>1.1.01.01.014</t>
        </is>
      </c>
      <c r="B6" t="inlineStr">
        <is>
          <t xml:space="preserve">Sobretasa ambiental </t>
        </is>
      </c>
      <c r="C6" t="inlineStr">
        <is>
          <t>C</t>
        </is>
      </c>
      <c r="E6" t="n">
        <v>750000000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750000000</v>
      </c>
      <c r="M6" t="n">
        <v>425344547</v>
      </c>
      <c r="N6" t="n">
        <v>202979566</v>
      </c>
      <c r="O6" t="inlineStr">
        <is>
          <t>27.06 %</t>
        </is>
      </c>
      <c r="P6" t="n">
        <v>0</v>
      </c>
      <c r="Q6" t="n">
        <v>547020434</v>
      </c>
      <c r="R6" t="inlineStr">
        <is>
          <t>00</t>
        </is>
      </c>
    </row>
    <row r="7">
      <c r="A7" t="inlineStr">
        <is>
          <t>1.1.01.01.014.01</t>
        </is>
      </c>
      <c r="B7" t="inlineStr">
        <is>
          <t>Sobretasa ambiental - urbano</t>
        </is>
      </c>
      <c r="C7" t="inlineStr">
        <is>
          <t>C</t>
        </is>
      </c>
      <c r="E7" t="n">
        <v>729750000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729750000</v>
      </c>
      <c r="M7" t="n">
        <v>419190207</v>
      </c>
      <c r="N7" t="n">
        <v>199997766</v>
      </c>
      <c r="O7" t="inlineStr">
        <is>
          <t>27.41 %</t>
        </is>
      </c>
      <c r="P7" t="n">
        <v>0</v>
      </c>
      <c r="Q7" t="n">
        <v>529752234</v>
      </c>
      <c r="R7" t="inlineStr">
        <is>
          <t>3.0</t>
        </is>
      </c>
    </row>
    <row r="8">
      <c r="A8" t="inlineStr">
        <is>
          <t>1.1.01.01.014.02</t>
        </is>
      </c>
      <c r="B8" t="inlineStr">
        <is>
          <t>Sobretasa ambiental -rural</t>
        </is>
      </c>
      <c r="C8" t="inlineStr">
        <is>
          <t>C</t>
        </is>
      </c>
      <c r="E8" t="n">
        <v>20250000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20250000</v>
      </c>
      <c r="M8" t="n">
        <v>6154340</v>
      </c>
      <c r="N8" t="n">
        <v>2981800</v>
      </c>
      <c r="O8" t="inlineStr">
        <is>
          <t>14.72 %</t>
        </is>
      </c>
      <c r="P8" t="n">
        <v>0</v>
      </c>
      <c r="Q8" t="n">
        <v>17268200</v>
      </c>
      <c r="R8" t="inlineStr">
        <is>
          <t>3.0</t>
        </is>
      </c>
    </row>
    <row r="9">
      <c r="A9" t="inlineStr">
        <is>
          <t>1.1.01.01.200</t>
        </is>
      </c>
      <c r="B9" t="inlineStr">
        <is>
          <t>Impuesto Predial Unificado</t>
        </is>
      </c>
      <c r="C9" t="inlineStr">
        <is>
          <t>C</t>
        </is>
      </c>
      <c r="E9" t="n">
        <v>5000000000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5000000000</v>
      </c>
      <c r="M9" t="n">
        <v>1666437144</v>
      </c>
      <c r="N9" t="n">
        <v>1666437144</v>
      </c>
      <c r="O9" t="inlineStr">
        <is>
          <t>33.33 %</t>
        </is>
      </c>
      <c r="P9" t="n">
        <v>0</v>
      </c>
      <c r="Q9" t="n">
        <v>3333562856</v>
      </c>
      <c r="R9" t="inlineStr">
        <is>
          <t>00</t>
        </is>
      </c>
    </row>
    <row r="10">
      <c r="A10" t="inlineStr">
        <is>
          <t>1.1.01.01.200.01</t>
        </is>
      </c>
      <c r="B10" t="inlineStr">
        <is>
          <t>Impuesto Predial Unificado - Urbano</t>
        </is>
      </c>
      <c r="C10" t="inlineStr">
        <is>
          <t>C</t>
        </is>
      </c>
      <c r="E10" t="n">
        <v>4865000000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4865000000</v>
      </c>
      <c r="M10" t="n">
        <v>1627861644</v>
      </c>
      <c r="N10" t="n">
        <v>1627861644</v>
      </c>
      <c r="O10" t="inlineStr">
        <is>
          <t>33.46 %</t>
        </is>
      </c>
      <c r="P10" t="n">
        <v>0</v>
      </c>
      <c r="Q10" t="n">
        <v>3237138356</v>
      </c>
      <c r="R10" t="inlineStr">
        <is>
          <t>2.0</t>
        </is>
      </c>
    </row>
    <row r="11">
      <c r="A11" t="inlineStr">
        <is>
          <t>1.1.01.01.200.02</t>
        </is>
      </c>
      <c r="B11" t="inlineStr">
        <is>
          <t>Impuesto Predial Unificado - Rural</t>
        </is>
      </c>
      <c r="C11" t="inlineStr">
        <is>
          <t>C</t>
        </is>
      </c>
      <c r="E11" t="n">
        <v>135000000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135000000</v>
      </c>
      <c r="M11" t="n">
        <v>38575500</v>
      </c>
      <c r="N11" t="n">
        <v>38575500</v>
      </c>
      <c r="O11" t="inlineStr">
        <is>
          <t>28.57 %</t>
        </is>
      </c>
      <c r="P11" t="n">
        <v>0</v>
      </c>
      <c r="Q11" t="n">
        <v>96424500</v>
      </c>
      <c r="R11" t="inlineStr">
        <is>
          <t>2.0</t>
        </is>
      </c>
    </row>
    <row r="12">
      <c r="A12" t="inlineStr">
        <is>
          <t>1.1.01.02</t>
        </is>
      </c>
      <c r="B12" t="inlineStr">
        <is>
          <t>Impuestos indirectos</t>
        </is>
      </c>
      <c r="C12" t="inlineStr">
        <is>
          <t>C</t>
        </is>
      </c>
      <c r="E12" t="n">
        <v>11806067248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11806067248</v>
      </c>
      <c r="M12" t="n">
        <v>4374215418.530001</v>
      </c>
      <c r="N12" t="n">
        <v>4374215418.530001</v>
      </c>
      <c r="O12" t="inlineStr">
        <is>
          <t>37.05 %</t>
        </is>
      </c>
      <c r="P12" t="n">
        <v>71957741.67000002</v>
      </c>
      <c r="Q12" t="n">
        <v>7431851829.469999</v>
      </c>
      <c r="R12" t="inlineStr">
        <is>
          <t>00</t>
        </is>
      </c>
    </row>
    <row r="13">
      <c r="A13" t="inlineStr">
        <is>
          <t>1.1.01.02.109</t>
        </is>
      </c>
      <c r="B13" t="inlineStr">
        <is>
          <t>Sobretasa a la gasolina</t>
        </is>
      </c>
      <c r="C13" t="inlineStr">
        <is>
          <t>C</t>
        </is>
      </c>
      <c r="E13" t="n">
        <v>1318758440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1318758440</v>
      </c>
      <c r="M13" t="n">
        <v>467104000</v>
      </c>
      <c r="N13" t="n">
        <v>467104000</v>
      </c>
      <c r="O13" t="inlineStr">
        <is>
          <t>35.42 %</t>
        </is>
      </c>
      <c r="P13" t="n">
        <v>0</v>
      </c>
      <c r="Q13" t="n">
        <v>851654440</v>
      </c>
      <c r="R13" t="inlineStr">
        <is>
          <t>2.0</t>
        </is>
      </c>
    </row>
    <row r="14">
      <c r="A14" t="inlineStr">
        <is>
          <t>1.1.01.02.200</t>
        </is>
      </c>
      <c r="B14" t="inlineStr">
        <is>
          <t>Impuesto de industria y comercio</t>
        </is>
      </c>
      <c r="C14" t="inlineStr">
        <is>
          <t>C</t>
        </is>
      </c>
      <c r="E14" t="n">
        <v>4800000000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4800000000</v>
      </c>
      <c r="M14" t="n">
        <v>1727577518</v>
      </c>
      <c r="N14" t="n">
        <v>1727577518</v>
      </c>
      <c r="O14" t="inlineStr">
        <is>
          <t>35.99 %</t>
        </is>
      </c>
      <c r="P14" t="n">
        <v>0</v>
      </c>
      <c r="Q14" t="n">
        <v>3072422482</v>
      </c>
      <c r="R14" t="inlineStr">
        <is>
          <t>00</t>
        </is>
      </c>
    </row>
    <row r="15">
      <c r="A15" t="inlineStr">
        <is>
          <t>1.1.01.02.200.01</t>
        </is>
      </c>
      <c r="B15" t="inlineStr">
        <is>
          <t>Impuesto de industria y comercio - sobre actividades comerciales</t>
        </is>
      </c>
      <c r="C15" t="inlineStr">
        <is>
          <t>C</t>
        </is>
      </c>
      <c r="E15" t="n">
        <v>4800000000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4800000000</v>
      </c>
      <c r="M15" t="n">
        <v>1727577518</v>
      </c>
      <c r="N15" t="n">
        <v>1727577518</v>
      </c>
      <c r="O15" t="inlineStr">
        <is>
          <t>35.99 %</t>
        </is>
      </c>
      <c r="P15" t="n">
        <v>0</v>
      </c>
      <c r="Q15" t="n">
        <v>3072422482</v>
      </c>
      <c r="R15" t="inlineStr">
        <is>
          <t>2.0</t>
        </is>
      </c>
    </row>
    <row r="16">
      <c r="A16" t="inlineStr">
        <is>
          <t>1.1.01.02.201</t>
        </is>
      </c>
      <c r="B16" t="inlineStr">
        <is>
          <t>Impuesto complementario de avisos y tableros</t>
        </is>
      </c>
      <c r="C16" t="inlineStr">
        <is>
          <t>C</t>
        </is>
      </c>
      <c r="E16" t="n">
        <v>600000000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600000000</v>
      </c>
      <c r="M16" t="n">
        <v>648911475.98</v>
      </c>
      <c r="N16" t="n">
        <v>648911475.98</v>
      </c>
      <c r="O16" t="inlineStr">
        <is>
          <t>108.15 %</t>
        </is>
      </c>
      <c r="P16" t="n">
        <v>48911475.98000002</v>
      </c>
      <c r="Q16" t="n">
        <v>-48911475.98000002</v>
      </c>
      <c r="R16" t="inlineStr">
        <is>
          <t>2.0</t>
        </is>
      </c>
    </row>
    <row r="17">
      <c r="A17" t="inlineStr">
        <is>
          <t>1.1.01.02.203</t>
        </is>
      </c>
      <c r="B17" t="inlineStr">
        <is>
          <t>Impuesto de circulación y tránsito sobre vehículos de servicio público</t>
        </is>
      </c>
      <c r="C17" t="inlineStr">
        <is>
          <t>C</t>
        </is>
      </c>
      <c r="E17" t="n">
        <v>918857461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918857461</v>
      </c>
      <c r="M17" t="n">
        <v>586903343.86</v>
      </c>
      <c r="N17" t="n">
        <v>586903343.86</v>
      </c>
      <c r="O17" t="inlineStr">
        <is>
          <t>63.87 %</t>
        </is>
      </c>
      <c r="P17" t="n">
        <v>0</v>
      </c>
      <c r="Q17" t="n">
        <v>331954117.14</v>
      </c>
      <c r="R17" t="inlineStr">
        <is>
          <t>2.0</t>
        </is>
      </c>
    </row>
    <row r="18">
      <c r="A18" t="inlineStr">
        <is>
          <t>1.1.01.02.204</t>
        </is>
      </c>
      <c r="B18" t="inlineStr">
        <is>
          <t>Impuesto de delineación</t>
        </is>
      </c>
      <c r="C18" t="inlineStr">
        <is>
          <t>C</t>
        </is>
      </c>
      <c r="E18" t="n">
        <v>403522894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403522894</v>
      </c>
      <c r="M18" t="n">
        <v>76937500</v>
      </c>
      <c r="N18" t="n">
        <v>76937500</v>
      </c>
      <c r="O18" t="inlineStr">
        <is>
          <t>19.07 %</t>
        </is>
      </c>
      <c r="P18" t="n">
        <v>0</v>
      </c>
      <c r="Q18" t="n">
        <v>326585394</v>
      </c>
      <c r="R18" t="inlineStr">
        <is>
          <t>2.0</t>
        </is>
      </c>
    </row>
    <row r="19">
      <c r="A19" t="inlineStr">
        <is>
          <t>1.1.01.02.211</t>
        </is>
      </c>
      <c r="B19" t="inlineStr">
        <is>
          <t>Impuesto de alumbrado público</t>
        </is>
      </c>
      <c r="C19" t="inlineStr">
        <is>
          <t>S</t>
        </is>
      </c>
      <c r="E19" t="n">
        <v>1800000000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1800000000</v>
      </c>
      <c r="M19" t="n">
        <v>0</v>
      </c>
      <c r="N19" t="n">
        <v>0</v>
      </c>
      <c r="O19" t="inlineStr">
        <is>
          <t>0 %</t>
        </is>
      </c>
      <c r="P19" t="n">
        <v>0</v>
      </c>
      <c r="Q19" t="n">
        <v>1800000000</v>
      </c>
      <c r="R19" t="inlineStr">
        <is>
          <t>17.0</t>
        </is>
      </c>
    </row>
    <row r="20">
      <c r="A20" t="inlineStr">
        <is>
          <t>1.1.01.02.212</t>
        </is>
      </c>
      <c r="B20" t="inlineStr">
        <is>
          <t>Sobretasa bomberil</t>
        </is>
      </c>
      <c r="C20" t="inlineStr">
        <is>
          <t>C</t>
        </is>
      </c>
      <c r="E20" t="n">
        <v>504448292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504448292</v>
      </c>
      <c r="M20" t="n">
        <v>527494557.6900001</v>
      </c>
      <c r="N20" t="n">
        <v>527494557.69</v>
      </c>
      <c r="O20" t="inlineStr">
        <is>
          <t>104.57 %</t>
        </is>
      </c>
      <c r="P20" t="n">
        <v>23046265.69</v>
      </c>
      <c r="Q20" t="n">
        <v>-23046265.69</v>
      </c>
      <c r="R20" t="inlineStr">
        <is>
          <t>18.0</t>
        </is>
      </c>
    </row>
    <row r="21">
      <c r="A21" t="inlineStr">
        <is>
          <t>1.1.01.02.214</t>
        </is>
      </c>
      <c r="B21" t="inlineStr">
        <is>
          <t>Impuesto de transporte por oleoductos y gasoductos</t>
        </is>
      </c>
      <c r="C21" t="inlineStr">
        <is>
          <t>C</t>
        </is>
      </c>
      <c r="E21" t="n">
        <v>12453173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12453173</v>
      </c>
      <c r="M21" t="n">
        <v>8876917</v>
      </c>
      <c r="N21" t="n">
        <v>8876917</v>
      </c>
      <c r="O21" t="inlineStr">
        <is>
          <t>71.28 %</t>
        </is>
      </c>
      <c r="P21" t="n">
        <v>0</v>
      </c>
      <c r="Q21" t="n">
        <v>3576256</v>
      </c>
      <c r="R21" t="inlineStr">
        <is>
          <t>20.0</t>
        </is>
      </c>
    </row>
    <row r="22">
      <c r="A22" t="inlineStr">
        <is>
          <t>1.1.01.02.216</t>
        </is>
      </c>
      <c r="B22" t="inlineStr">
        <is>
          <t>Impuesto de espectáculos públicos municipal</t>
        </is>
      </c>
      <c r="C22" t="inlineStr">
        <is>
          <t>C</t>
        </is>
      </c>
      <c r="E22" t="n">
        <v>18160000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18160000</v>
      </c>
      <c r="M22" t="n">
        <v>0</v>
      </c>
      <c r="N22" t="n">
        <v>0</v>
      </c>
      <c r="O22" t="inlineStr">
        <is>
          <t>0 %</t>
        </is>
      </c>
      <c r="P22" t="n">
        <v>0</v>
      </c>
      <c r="Q22" t="n">
        <v>18160000</v>
      </c>
      <c r="R22" t="inlineStr">
        <is>
          <t>2.0</t>
        </is>
      </c>
    </row>
    <row r="23">
      <c r="A23" t="inlineStr">
        <is>
          <t>1.1.01.02.217</t>
        </is>
      </c>
      <c r="B23" t="inlineStr">
        <is>
          <t>Sobretasa de solidaridad servicios publicos acueducto, aseo y alcantarillado</t>
        </is>
      </c>
      <c r="C23" t="inlineStr">
        <is>
          <t>C</t>
        </is>
      </c>
      <c r="E23" t="n">
        <v>545453820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545453820</v>
      </c>
      <c r="M23" t="n">
        <v>0</v>
      </c>
      <c r="N23" t="n">
        <v>0</v>
      </c>
      <c r="O23" t="inlineStr">
        <is>
          <t>0 %</t>
        </is>
      </c>
      <c r="P23" t="n">
        <v>0</v>
      </c>
      <c r="Q23" t="n">
        <v>545453820</v>
      </c>
      <c r="R23" t="inlineStr">
        <is>
          <t>00</t>
        </is>
      </c>
    </row>
    <row r="24">
      <c r="A24" t="inlineStr">
        <is>
          <t>1.1.01.02.217.01</t>
        </is>
      </c>
      <c r="B24" t="inlineStr">
        <is>
          <t>Sobretasa de solidaridad de servicios publicos - acueducto</t>
        </is>
      </c>
      <c r="C24" t="inlineStr">
        <is>
          <t>C</t>
        </is>
      </c>
      <c r="E24" t="n">
        <v>263272800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263272800</v>
      </c>
      <c r="M24" t="n">
        <v>0</v>
      </c>
      <c r="N24" t="n">
        <v>0</v>
      </c>
      <c r="O24" t="inlineStr">
        <is>
          <t>0 %</t>
        </is>
      </c>
      <c r="P24" t="n">
        <v>0</v>
      </c>
      <c r="Q24" t="n">
        <v>263272800</v>
      </c>
      <c r="R24" t="inlineStr">
        <is>
          <t>530.1</t>
        </is>
      </c>
    </row>
    <row r="25">
      <c r="A25" t="inlineStr">
        <is>
          <t>1.1.01.02.217.02</t>
        </is>
      </c>
      <c r="B25" t="inlineStr">
        <is>
          <t>Sobretasa de solidaridad de servicios publicos - aseo</t>
        </is>
      </c>
      <c r="C25" t="inlineStr">
        <is>
          <t>C</t>
        </is>
      </c>
      <c r="E25" t="n">
        <v>178927104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178927104</v>
      </c>
      <c r="M25" t="n">
        <v>0</v>
      </c>
      <c r="N25" t="n">
        <v>0</v>
      </c>
      <c r="O25" t="inlineStr">
        <is>
          <t>0 %</t>
        </is>
      </c>
      <c r="P25" t="n">
        <v>0</v>
      </c>
      <c r="Q25" t="n">
        <v>178927104</v>
      </c>
      <c r="R25" t="inlineStr">
        <is>
          <t>530.2</t>
        </is>
      </c>
    </row>
    <row r="26">
      <c r="A26" t="inlineStr">
        <is>
          <t>1.1.01.02.217.03</t>
        </is>
      </c>
      <c r="B26" t="inlineStr">
        <is>
          <t>Sobretasa de solidaridad de servicios publicos - alcantarillado</t>
        </is>
      </c>
      <c r="C26" t="inlineStr">
        <is>
          <t>C</t>
        </is>
      </c>
      <c r="E26" t="n">
        <v>103253916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103253916</v>
      </c>
      <c r="M26" t="n">
        <v>0</v>
      </c>
      <c r="N26" t="n">
        <v>0</v>
      </c>
      <c r="O26" t="inlineStr">
        <is>
          <t>0 %</t>
        </is>
      </c>
      <c r="P26" t="n">
        <v>0</v>
      </c>
      <c r="Q26" t="n">
        <v>103253916</v>
      </c>
      <c r="R26" t="inlineStr">
        <is>
          <t>530.3</t>
        </is>
      </c>
    </row>
    <row r="27">
      <c r="A27" t="inlineStr">
        <is>
          <t>1.1.01.02.218</t>
        </is>
      </c>
      <c r="B27" t="inlineStr">
        <is>
          <t>Tasa prodeporte y recreación</t>
        </is>
      </c>
      <c r="C27" t="inlineStr">
        <is>
          <t>C</t>
        </is>
      </c>
      <c r="E27" t="n">
        <v>244554221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244554221</v>
      </c>
      <c r="M27" t="n">
        <v>49391524</v>
      </c>
      <c r="N27" t="n">
        <v>49391524</v>
      </c>
      <c r="O27" t="inlineStr">
        <is>
          <t>20.2 %</t>
        </is>
      </c>
      <c r="P27" t="n">
        <v>0</v>
      </c>
      <c r="Q27" t="n">
        <v>195162697</v>
      </c>
      <c r="R27" t="inlineStr">
        <is>
          <t>27.1</t>
        </is>
      </c>
    </row>
    <row r="28">
      <c r="A28" t="inlineStr">
        <is>
          <t>1.1.01.02.300</t>
        </is>
      </c>
      <c r="B28" t="inlineStr">
        <is>
          <t>Estampillas</t>
        </is>
      </c>
      <c r="C28" t="inlineStr">
        <is>
          <t>C</t>
        </is>
      </c>
      <c r="E28" t="n">
        <v>639858947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639858947</v>
      </c>
      <c r="M28" t="n">
        <v>281018582</v>
      </c>
      <c r="N28" t="n">
        <v>281018582</v>
      </c>
      <c r="O28" t="inlineStr">
        <is>
          <t>43.92 %</t>
        </is>
      </c>
      <c r="P28" t="n">
        <v>0</v>
      </c>
      <c r="Q28" t="n">
        <v>358840365</v>
      </c>
      <c r="R28" t="inlineStr">
        <is>
          <t>00</t>
        </is>
      </c>
    </row>
    <row r="29">
      <c r="A29" t="inlineStr">
        <is>
          <t>1.1.01.02.300.01</t>
        </is>
      </c>
      <c r="B29" t="inlineStr">
        <is>
          <t>Estampilla para el bienestar del adulto mayor</t>
        </is>
      </c>
      <c r="C29" t="inlineStr">
        <is>
          <t>C</t>
        </is>
      </c>
      <c r="E29" t="n">
        <v>410903794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410903794</v>
      </c>
      <c r="M29" t="n">
        <v>188634213</v>
      </c>
      <c r="N29" t="n">
        <v>188634213</v>
      </c>
      <c r="O29" t="inlineStr">
        <is>
          <t>45.91 %</t>
        </is>
      </c>
      <c r="P29" t="n">
        <v>0</v>
      </c>
      <c r="Q29" t="n">
        <v>222269581</v>
      </c>
      <c r="R29" t="inlineStr">
        <is>
          <t>22.1</t>
        </is>
      </c>
    </row>
    <row r="30">
      <c r="A30" t="inlineStr">
        <is>
          <t>1.1.01.02.300.55</t>
        </is>
      </c>
      <c r="B30" t="inlineStr">
        <is>
          <t>Estampilla pro cultura</t>
        </is>
      </c>
      <c r="C30" t="inlineStr">
        <is>
          <t>C</t>
        </is>
      </c>
      <c r="E30" t="n">
        <v>111604008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111604008</v>
      </c>
      <c r="M30" t="n">
        <v>52933335</v>
      </c>
      <c r="N30" t="n">
        <v>52933335</v>
      </c>
      <c r="O30" t="inlineStr">
        <is>
          <t>47.43 %</t>
        </is>
      </c>
      <c r="P30" t="n">
        <v>0</v>
      </c>
      <c r="Q30" t="n">
        <v>58670673</v>
      </c>
      <c r="R30" t="inlineStr">
        <is>
          <t>22.2</t>
        </is>
      </c>
    </row>
    <row r="31">
      <c r="A31" t="inlineStr">
        <is>
          <t>1.1.01.02.300.61</t>
        </is>
      </c>
      <c r="B31" t="inlineStr">
        <is>
          <t>Estampilla para la justicia familiar</t>
        </is>
      </c>
      <c r="C31" t="inlineStr">
        <is>
          <t>C</t>
        </is>
      </c>
      <c r="E31" t="n">
        <v>117351145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117351145</v>
      </c>
      <c r="M31" t="n">
        <v>39451034</v>
      </c>
      <c r="N31" t="n">
        <v>39451034</v>
      </c>
      <c r="O31" t="inlineStr">
        <is>
          <t>33.62 %</t>
        </is>
      </c>
      <c r="P31" t="n">
        <v>0</v>
      </c>
      <c r="Q31" t="n">
        <v>77900111</v>
      </c>
      <c r="R31" t="inlineStr">
        <is>
          <t>22.3</t>
        </is>
      </c>
    </row>
    <row r="32">
      <c r="A32" t="inlineStr">
        <is>
          <t>1.1.02</t>
        </is>
      </c>
      <c r="B32" t="inlineStr">
        <is>
          <t>Ingresos no tributarios</t>
        </is>
      </c>
      <c r="C32" t="inlineStr">
        <is>
          <t>C</t>
        </is>
      </c>
      <c r="E32" t="n">
        <v>12085973189</v>
      </c>
      <c r="F32" t="n">
        <v>1161639958</v>
      </c>
      <c r="G32" t="n">
        <v>396773861</v>
      </c>
      <c r="H32" t="n">
        <v>0</v>
      </c>
      <c r="I32" t="n">
        <v>0</v>
      </c>
      <c r="J32" t="n">
        <v>0</v>
      </c>
      <c r="K32" t="n">
        <v>0</v>
      </c>
      <c r="L32" t="n">
        <v>12850839286</v>
      </c>
      <c r="M32" t="n">
        <v>4105351419.47</v>
      </c>
      <c r="N32" t="n">
        <v>4107394895.47</v>
      </c>
      <c r="O32" t="inlineStr">
        <is>
          <t>31.96 %</t>
        </is>
      </c>
      <c r="P32" t="n">
        <v>8305512</v>
      </c>
      <c r="Q32" t="n">
        <v>8743444390.530001</v>
      </c>
      <c r="R32" t="inlineStr">
        <is>
          <t>00</t>
        </is>
      </c>
    </row>
    <row r="33">
      <c r="A33" t="inlineStr">
        <is>
          <t>1.1.02.01</t>
        </is>
      </c>
      <c r="B33" t="inlineStr">
        <is>
          <t>Contribuciones</t>
        </is>
      </c>
      <c r="C33" t="inlineStr">
        <is>
          <t>C</t>
        </is>
      </c>
      <c r="E33" t="n">
        <v>75000000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75000000</v>
      </c>
      <c r="M33" t="n">
        <v>29854579</v>
      </c>
      <c r="N33" t="n">
        <v>29854579</v>
      </c>
      <c r="O33" t="inlineStr">
        <is>
          <t>39.81 %</t>
        </is>
      </c>
      <c r="P33" t="n">
        <v>0</v>
      </c>
      <c r="Q33" t="n">
        <v>45145421</v>
      </c>
      <c r="R33" t="inlineStr">
        <is>
          <t>00</t>
        </is>
      </c>
    </row>
    <row r="34">
      <c r="A34" t="inlineStr">
        <is>
          <t>1.1.02.01.005</t>
        </is>
      </c>
      <c r="B34" t="inlineStr">
        <is>
          <t>Contribuciones diversas</t>
        </is>
      </c>
      <c r="C34" t="inlineStr">
        <is>
          <t>C</t>
        </is>
      </c>
      <c r="E34" t="n">
        <v>75000000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75000000</v>
      </c>
      <c r="M34" t="n">
        <v>29854579</v>
      </c>
      <c r="N34" t="n">
        <v>29854579</v>
      </c>
      <c r="O34" t="inlineStr">
        <is>
          <t>39.81 %</t>
        </is>
      </c>
      <c r="P34" t="n">
        <v>0</v>
      </c>
      <c r="Q34" t="n">
        <v>45145421</v>
      </c>
      <c r="R34" t="inlineStr">
        <is>
          <t>00</t>
        </is>
      </c>
    </row>
    <row r="35">
      <c r="A35" t="inlineStr">
        <is>
          <t>1.1.02.01.005.59</t>
        </is>
      </c>
      <c r="B35" t="inlineStr">
        <is>
          <t>Contribución especial sobre contratos de obras públicas</t>
        </is>
      </c>
      <c r="C35" t="inlineStr">
        <is>
          <t>C</t>
        </is>
      </c>
      <c r="E35" t="n">
        <v>75000000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75000000</v>
      </c>
      <c r="M35" t="n">
        <v>29854579</v>
      </c>
      <c r="N35" t="n">
        <v>29854579</v>
      </c>
      <c r="O35" t="inlineStr">
        <is>
          <t>39.81 %</t>
        </is>
      </c>
      <c r="P35" t="n">
        <v>0</v>
      </c>
      <c r="Q35" t="n">
        <v>45145421</v>
      </c>
      <c r="R35" t="inlineStr">
        <is>
          <t>23.0</t>
        </is>
      </c>
    </row>
    <row r="36">
      <c r="A36" t="inlineStr">
        <is>
          <t>1.1.02.03</t>
        </is>
      </c>
      <c r="B36" t="inlineStr">
        <is>
          <t>Multas, sanciones e intereses de mora</t>
        </is>
      </c>
      <c r="C36" t="inlineStr">
        <is>
          <t>C</t>
        </is>
      </c>
      <c r="E36" t="n">
        <v>617015442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617015442</v>
      </c>
      <c r="M36" t="n">
        <v>292624752.48</v>
      </c>
      <c r="N36" t="n">
        <v>292624752.48</v>
      </c>
      <c r="O36" t="inlineStr">
        <is>
          <t>47.43 %</t>
        </is>
      </c>
      <c r="P36" t="n">
        <v>0</v>
      </c>
      <c r="Q36" t="n">
        <v>324390689.52</v>
      </c>
      <c r="R36" t="inlineStr">
        <is>
          <t>00</t>
        </is>
      </c>
    </row>
    <row r="37">
      <c r="A37" t="inlineStr">
        <is>
          <t>1.1.02.03.001</t>
        </is>
      </c>
      <c r="B37" t="inlineStr">
        <is>
          <t>Multas y sanciones</t>
        </is>
      </c>
      <c r="C37" t="inlineStr">
        <is>
          <t>C</t>
        </is>
      </c>
      <c r="E37" t="n">
        <v>470015442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470015442</v>
      </c>
      <c r="M37" t="n">
        <v>259080824.97</v>
      </c>
      <c r="N37" t="n">
        <v>259080824.97</v>
      </c>
      <c r="O37" t="inlineStr">
        <is>
          <t>55.12 %</t>
        </is>
      </c>
      <c r="P37" t="n">
        <v>0</v>
      </c>
      <c r="Q37" t="n">
        <v>210934617.03</v>
      </c>
      <c r="R37" t="inlineStr">
        <is>
          <t>00</t>
        </is>
      </c>
    </row>
    <row r="38">
      <c r="A38" t="inlineStr">
        <is>
          <t>1.1.02.03.001.09</t>
        </is>
      </c>
      <c r="B38" t="inlineStr">
        <is>
          <t>Multas de tránsito y transporte</t>
        </is>
      </c>
      <c r="C38" t="inlineStr">
        <is>
          <t>C</t>
        </is>
      </c>
      <c r="E38" t="n">
        <v>308015442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308015442</v>
      </c>
      <c r="M38" t="n">
        <v>185737992.97</v>
      </c>
      <c r="N38" t="n">
        <v>185737992.97</v>
      </c>
      <c r="O38" t="inlineStr">
        <is>
          <t>60.3 %</t>
        </is>
      </c>
      <c r="P38" t="n">
        <v>0</v>
      </c>
      <c r="Q38" t="n">
        <v>122277449.03</v>
      </c>
      <c r="R38" t="inlineStr">
        <is>
          <t>29.1</t>
        </is>
      </c>
    </row>
    <row r="39">
      <c r="A39" t="inlineStr">
        <is>
          <t>1.1.02.03.001.11</t>
        </is>
      </c>
      <c r="B39" t="inlineStr">
        <is>
          <t>Sanciones tributarias</t>
        </is>
      </c>
      <c r="C39" t="inlineStr">
        <is>
          <t>C</t>
        </is>
      </c>
      <c r="E39" t="n">
        <v>150000000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150000000</v>
      </c>
      <c r="M39" t="n">
        <v>70351608</v>
      </c>
      <c r="N39" t="n">
        <v>70351608</v>
      </c>
      <c r="O39" t="inlineStr">
        <is>
          <t>46.9 %</t>
        </is>
      </c>
      <c r="P39" t="n">
        <v>0</v>
      </c>
      <c r="Q39" t="n">
        <v>79648392</v>
      </c>
      <c r="R39" t="inlineStr">
        <is>
          <t>00</t>
        </is>
      </c>
    </row>
    <row r="40">
      <c r="A40" t="inlineStr">
        <is>
          <t>1.1.02.03.001.11.02</t>
        </is>
      </c>
      <c r="B40" t="inlineStr">
        <is>
          <t>Sanciones tributarias - Industria y Comercio</t>
        </is>
      </c>
      <c r="C40" t="inlineStr">
        <is>
          <t>C</t>
        </is>
      </c>
      <c r="E40" t="n">
        <v>150000000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150000000</v>
      </c>
      <c r="M40" t="n">
        <v>70351608</v>
      </c>
      <c r="N40" t="n">
        <v>70351608</v>
      </c>
      <c r="O40" t="inlineStr">
        <is>
          <t>46.9 %</t>
        </is>
      </c>
      <c r="P40" t="n">
        <v>0</v>
      </c>
      <c r="Q40" t="n">
        <v>79648392</v>
      </c>
      <c r="R40" t="inlineStr">
        <is>
          <t>2.0</t>
        </is>
      </c>
    </row>
    <row r="41">
      <c r="A41" t="inlineStr">
        <is>
          <t>1.1.02.03.001.20</t>
        </is>
      </c>
      <c r="B41" t="inlineStr">
        <is>
          <t>Multas establecidas en el Código Nacional de Policía y Convivencia</t>
        </is>
      </c>
      <c r="C41" t="inlineStr">
        <is>
          <t>C</t>
        </is>
      </c>
      <c r="E41" t="n">
        <v>12000000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12000000</v>
      </c>
      <c r="M41" t="n">
        <v>2991224</v>
      </c>
      <c r="N41" t="n">
        <v>2991224</v>
      </c>
      <c r="O41" t="inlineStr">
        <is>
          <t>24.93 %</t>
        </is>
      </c>
      <c r="P41" t="n">
        <v>0</v>
      </c>
      <c r="Q41" t="n">
        <v>9008776</v>
      </c>
      <c r="R41" t="inlineStr">
        <is>
          <t>00</t>
        </is>
      </c>
    </row>
    <row r="42">
      <c r="A42" t="inlineStr">
        <is>
          <t>1.1.02.03.001.20.01</t>
        </is>
      </c>
      <c r="B42" t="inlineStr">
        <is>
          <t>Multas código nacional de policía y convivencia - Multas generales</t>
        </is>
      </c>
      <c r="C42" t="inlineStr">
        <is>
          <t>C</t>
        </is>
      </c>
      <c r="E42" t="n">
        <v>12000000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12000000</v>
      </c>
      <c r="M42" t="n">
        <v>2991224</v>
      </c>
      <c r="N42" t="n">
        <v>2991224</v>
      </c>
      <c r="O42" t="inlineStr">
        <is>
          <t>24.93 %</t>
        </is>
      </c>
      <c r="P42" t="n">
        <v>0</v>
      </c>
      <c r="Q42" t="n">
        <v>9008776</v>
      </c>
      <c r="R42" t="inlineStr">
        <is>
          <t>28.0</t>
        </is>
      </c>
    </row>
    <row r="43">
      <c r="A43" t="inlineStr">
        <is>
          <t>1.1.02.03.002</t>
        </is>
      </c>
      <c r="B43" t="inlineStr">
        <is>
          <t>Intereses de mora</t>
        </is>
      </c>
      <c r="C43" t="inlineStr">
        <is>
          <t>C</t>
        </is>
      </c>
      <c r="E43" t="n">
        <v>147000000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147000000</v>
      </c>
      <c r="M43" t="n">
        <v>33543927.51</v>
      </c>
      <c r="N43" t="n">
        <v>33543927.51</v>
      </c>
      <c r="O43" t="inlineStr">
        <is>
          <t>22.82 %</t>
        </is>
      </c>
      <c r="P43" t="n">
        <v>0</v>
      </c>
      <c r="Q43" t="n">
        <v>113456072.49</v>
      </c>
      <c r="R43" t="inlineStr">
        <is>
          <t>00</t>
        </is>
      </c>
    </row>
    <row r="44">
      <c r="A44" t="inlineStr">
        <is>
          <t>1.1.02.03.002.01</t>
        </is>
      </c>
      <c r="B44" t="inlineStr">
        <is>
          <t>Impuesto de Industria y Comercio</t>
        </is>
      </c>
      <c r="C44" t="inlineStr">
        <is>
          <t>C</t>
        </is>
      </c>
      <c r="E44" t="n">
        <v>44000000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44000000</v>
      </c>
      <c r="M44" t="n">
        <v>8934526</v>
      </c>
      <c r="N44" t="n">
        <v>8934526</v>
      </c>
      <c r="O44" t="inlineStr">
        <is>
          <t>20.31 %</t>
        </is>
      </c>
      <c r="P44" t="n">
        <v>0</v>
      </c>
      <c r="Q44" t="n">
        <v>35065474</v>
      </c>
      <c r="R44" t="inlineStr">
        <is>
          <t>2.0</t>
        </is>
      </c>
    </row>
    <row r="45">
      <c r="A45" t="inlineStr">
        <is>
          <t>1.1.02.03.002.02</t>
        </is>
      </c>
      <c r="B45" t="inlineStr">
        <is>
          <t>Impuesto Predial Unificado</t>
        </is>
      </c>
      <c r="C45" t="inlineStr">
        <is>
          <t>C</t>
        </is>
      </c>
      <c r="E45" t="n">
        <v>103000000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103000000</v>
      </c>
      <c r="M45" t="n">
        <v>24609401.51</v>
      </c>
      <c r="N45" t="n">
        <v>24609401.51</v>
      </c>
      <c r="O45" t="inlineStr">
        <is>
          <t>23.89 %</t>
        </is>
      </c>
      <c r="P45" t="n">
        <v>0</v>
      </c>
      <c r="Q45" t="n">
        <v>78390598.49000001</v>
      </c>
      <c r="R45" t="inlineStr">
        <is>
          <t>2.0</t>
        </is>
      </c>
    </row>
    <row r="46">
      <c r="A46" t="inlineStr">
        <is>
          <t>1.1.02.05</t>
        </is>
      </c>
      <c r="B46" t="inlineStr">
        <is>
          <t>Venta de bienes y servicios</t>
        </is>
      </c>
      <c r="C46" t="inlineStr">
        <is>
          <t>C</t>
        </is>
      </c>
      <c r="E46" t="n">
        <v>600000000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600000000</v>
      </c>
      <c r="M46" t="n">
        <v>443997696</v>
      </c>
      <c r="N46" t="n">
        <v>446040296</v>
      </c>
      <c r="O46" t="inlineStr">
        <is>
          <t>74.34 %</t>
        </is>
      </c>
      <c r="P46" t="n">
        <v>0</v>
      </c>
      <c r="Q46" t="n">
        <v>153959704</v>
      </c>
      <c r="R46" t="inlineStr">
        <is>
          <t>00</t>
        </is>
      </c>
    </row>
    <row r="47">
      <c r="A47" t="inlineStr">
        <is>
          <t>1.1.02.05.002</t>
        </is>
      </c>
      <c r="B47" t="inlineStr">
        <is>
          <t>Ventas incidentales de establecimientos no de mercado</t>
        </is>
      </c>
      <c r="C47" t="inlineStr">
        <is>
          <t>C</t>
        </is>
      </c>
      <c r="E47" t="n">
        <v>600000000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600000000</v>
      </c>
      <c r="M47" t="n">
        <v>443997696</v>
      </c>
      <c r="N47" t="n">
        <v>446040296</v>
      </c>
      <c r="O47" t="inlineStr">
        <is>
          <t>74.34 %</t>
        </is>
      </c>
      <c r="P47" t="n">
        <v>0</v>
      </c>
      <c r="Q47" t="n">
        <v>153959704</v>
      </c>
      <c r="R47" t="inlineStr">
        <is>
          <t>00</t>
        </is>
      </c>
    </row>
    <row r="48">
      <c r="A48" t="inlineStr">
        <is>
          <t>1.1.02.05.002.07</t>
        </is>
      </c>
      <c r="B48" t="inlineStr">
        <is>
          <t>Servicios financieros y servicios conexos, servicios inmobiliarios y servicios de leasing</t>
        </is>
      </c>
      <c r="C48" t="inlineStr">
        <is>
          <t>C</t>
        </is>
      </c>
      <c r="E48" t="n">
        <v>75000000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75000000</v>
      </c>
      <c r="M48" t="n">
        <v>28522000</v>
      </c>
      <c r="N48" t="n">
        <v>28522000</v>
      </c>
      <c r="O48" t="inlineStr">
        <is>
          <t>38.03 %</t>
        </is>
      </c>
      <c r="P48" t="n">
        <v>0</v>
      </c>
      <c r="Q48" t="n">
        <v>46478000</v>
      </c>
      <c r="R48" t="inlineStr">
        <is>
          <t>2.0</t>
        </is>
      </c>
    </row>
    <row r="49">
      <c r="A49" t="inlineStr">
        <is>
          <t>1.1.02.05.002.09</t>
        </is>
      </c>
      <c r="B49" t="inlineStr">
        <is>
          <t>Servicios para la comunidad, sociales y personales</t>
        </is>
      </c>
      <c r="C49" t="inlineStr">
        <is>
          <t>C</t>
        </is>
      </c>
      <c r="E49" t="n">
        <v>525000000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525000000</v>
      </c>
      <c r="M49" t="n">
        <v>415475696</v>
      </c>
      <c r="N49" t="n">
        <v>417518296</v>
      </c>
      <c r="O49" t="inlineStr">
        <is>
          <t>79.53 %</t>
        </is>
      </c>
      <c r="P49" t="n">
        <v>0</v>
      </c>
      <c r="Q49" t="n">
        <v>107481704</v>
      </c>
      <c r="R49" t="inlineStr">
        <is>
          <t>2.0</t>
        </is>
      </c>
    </row>
    <row r="50">
      <c r="A50" t="inlineStr">
        <is>
          <t>1.1.02.06</t>
        </is>
      </c>
      <c r="B50" t="inlineStr">
        <is>
          <t>Transferencias corrientes</t>
        </is>
      </c>
      <c r="C50" t="inlineStr">
        <is>
          <t>C</t>
        </is>
      </c>
      <c r="E50" t="n">
        <v>57966063811</v>
      </c>
      <c r="F50" t="n">
        <v>2775416977</v>
      </c>
      <c r="G50" t="n">
        <v>396773861</v>
      </c>
      <c r="H50" t="n">
        <v>0</v>
      </c>
      <c r="I50" t="n">
        <v>0</v>
      </c>
      <c r="J50" t="n">
        <v>0</v>
      </c>
      <c r="K50" t="n">
        <v>0</v>
      </c>
      <c r="L50" t="n">
        <v>60344706927</v>
      </c>
      <c r="M50" t="n">
        <v>30999751794.61</v>
      </c>
      <c r="N50" t="n">
        <v>30999752670.61</v>
      </c>
      <c r="O50" t="inlineStr">
        <is>
          <t>51.37 %</t>
        </is>
      </c>
      <c r="P50" t="n">
        <v>8305512</v>
      </c>
      <c r="Q50" t="n">
        <v>29344954256.39</v>
      </c>
      <c r="R50" t="inlineStr">
        <is>
          <t>00</t>
        </is>
      </c>
    </row>
    <row r="51">
      <c r="A51" t="inlineStr">
        <is>
          <t>1.1.02.06.001</t>
        </is>
      </c>
      <c r="B51" t="inlineStr">
        <is>
          <t>Sistema General de Participaciones</t>
        </is>
      </c>
      <c r="C51" t="inlineStr">
        <is>
          <t>C</t>
        </is>
      </c>
      <c r="E51" t="n">
        <v>29372936741</v>
      </c>
      <c r="F51" t="n">
        <v>2775416977</v>
      </c>
      <c r="G51" t="n">
        <v>396773861</v>
      </c>
      <c r="H51" t="n">
        <v>0</v>
      </c>
      <c r="I51" t="n">
        <v>0</v>
      </c>
      <c r="J51" t="n">
        <v>0</v>
      </c>
      <c r="K51" t="n">
        <v>0</v>
      </c>
      <c r="L51" t="n">
        <v>31751579857</v>
      </c>
      <c r="M51" t="n">
        <v>12795270743</v>
      </c>
      <c r="N51" t="n">
        <v>12795270743</v>
      </c>
      <c r="O51" t="inlineStr">
        <is>
          <t>40.3 %</t>
        </is>
      </c>
      <c r="P51" t="n">
        <v>0</v>
      </c>
      <c r="Q51" t="n">
        <v>18956309114</v>
      </c>
      <c r="R51" t="inlineStr">
        <is>
          <t>00</t>
        </is>
      </c>
    </row>
    <row r="52">
      <c r="A52" t="inlineStr">
        <is>
          <t>1.1.02.06.001.01</t>
        </is>
      </c>
      <c r="B52" t="inlineStr">
        <is>
          <t>Participación para educación</t>
        </is>
      </c>
      <c r="C52" t="inlineStr">
        <is>
          <t>C</t>
        </is>
      </c>
      <c r="E52" t="n">
        <v>1571064724</v>
      </c>
      <c r="F52" t="n">
        <v>0</v>
      </c>
      <c r="G52" t="n">
        <v>396773861</v>
      </c>
      <c r="H52" t="n">
        <v>0</v>
      </c>
      <c r="I52" t="n">
        <v>0</v>
      </c>
      <c r="J52" t="n">
        <v>0</v>
      </c>
      <c r="K52" t="n">
        <v>0</v>
      </c>
      <c r="L52" t="n">
        <v>1174290863</v>
      </c>
      <c r="M52" t="n">
        <v>231427530</v>
      </c>
      <c r="N52" t="n">
        <v>231427530</v>
      </c>
      <c r="O52" t="inlineStr">
        <is>
          <t>19.71 %</t>
        </is>
      </c>
      <c r="P52" t="n">
        <v>0</v>
      </c>
      <c r="Q52" t="n">
        <v>942863333</v>
      </c>
      <c r="R52" t="inlineStr">
        <is>
          <t>00</t>
        </is>
      </c>
    </row>
    <row r="53">
      <c r="A53" t="inlineStr">
        <is>
          <t>1.1.02.06.001.01.03</t>
        </is>
      </c>
      <c r="B53" t="inlineStr">
        <is>
          <t>Calidad</t>
        </is>
      </c>
      <c r="C53" t="inlineStr">
        <is>
          <t>C</t>
        </is>
      </c>
      <c r="E53" t="n">
        <v>1571064724</v>
      </c>
      <c r="F53" t="n">
        <v>0</v>
      </c>
      <c r="G53" t="n">
        <v>396773861</v>
      </c>
      <c r="H53" t="n">
        <v>0</v>
      </c>
      <c r="I53" t="n">
        <v>0</v>
      </c>
      <c r="J53" t="n">
        <v>0</v>
      </c>
      <c r="K53" t="n">
        <v>0</v>
      </c>
      <c r="L53" t="n">
        <v>1174290863</v>
      </c>
      <c r="M53" t="n">
        <v>231427530</v>
      </c>
      <c r="N53" t="n">
        <v>231427530</v>
      </c>
      <c r="O53" t="inlineStr">
        <is>
          <t>19.71 %</t>
        </is>
      </c>
      <c r="P53" t="n">
        <v>0</v>
      </c>
      <c r="Q53" t="n">
        <v>942863333</v>
      </c>
      <c r="R53" t="inlineStr">
        <is>
          <t>00</t>
        </is>
      </c>
    </row>
    <row r="54">
      <c r="A54" t="inlineStr">
        <is>
          <t>1.1.02.06.001.01.03.01</t>
        </is>
      </c>
      <c r="B54" t="inlineStr">
        <is>
          <t>Calidad  por matrícula oficial</t>
        </is>
      </c>
      <c r="C54" t="inlineStr">
        <is>
          <t>C</t>
        </is>
      </c>
      <c r="E54" t="n">
        <v>577607167</v>
      </c>
      <c r="F54" t="n">
        <v>0</v>
      </c>
      <c r="G54" t="n">
        <v>22181095</v>
      </c>
      <c r="H54" t="n">
        <v>0</v>
      </c>
      <c r="I54" t="n">
        <v>0</v>
      </c>
      <c r="J54" t="n">
        <v>0</v>
      </c>
      <c r="K54" t="n">
        <v>0</v>
      </c>
      <c r="L54" t="n">
        <v>555426072</v>
      </c>
      <c r="M54" t="n">
        <v>231427530</v>
      </c>
      <c r="N54" t="n">
        <v>231427530</v>
      </c>
      <c r="O54" t="inlineStr">
        <is>
          <t>41.67 %</t>
        </is>
      </c>
      <c r="P54" t="n">
        <v>0</v>
      </c>
      <c r="Q54" t="n">
        <v>323998542</v>
      </c>
      <c r="R54" t="inlineStr">
        <is>
          <t>47.0</t>
        </is>
      </c>
    </row>
    <row r="55">
      <c r="A55" t="inlineStr">
        <is>
          <t>1.1.02.06.001.01.03.02</t>
        </is>
      </c>
      <c r="B55" t="inlineStr">
        <is>
          <t>Calidad  por gratuidad</t>
        </is>
      </c>
      <c r="C55" t="inlineStr">
        <is>
          <t>S</t>
        </is>
      </c>
      <c r="E55" t="n">
        <v>993457557</v>
      </c>
      <c r="F55" t="n">
        <v>0</v>
      </c>
      <c r="G55" t="n">
        <v>374592766</v>
      </c>
      <c r="H55" t="n">
        <v>0</v>
      </c>
      <c r="I55" t="n">
        <v>0</v>
      </c>
      <c r="J55" t="n">
        <v>0</v>
      </c>
      <c r="K55" t="n">
        <v>0</v>
      </c>
      <c r="L55" t="n">
        <v>618864791</v>
      </c>
      <c r="M55" t="n">
        <v>0</v>
      </c>
      <c r="N55" t="n">
        <v>0</v>
      </c>
      <c r="O55" t="inlineStr">
        <is>
          <t>0 %</t>
        </is>
      </c>
      <c r="P55" t="n">
        <v>0</v>
      </c>
      <c r="Q55" t="n">
        <v>618864791</v>
      </c>
      <c r="R55" t="inlineStr">
        <is>
          <t>48.0</t>
        </is>
      </c>
    </row>
    <row r="56">
      <c r="A56" t="inlineStr">
        <is>
          <t>1.1.02.06.001.02</t>
        </is>
      </c>
      <c r="B56" t="inlineStr">
        <is>
          <t>Participación para salud</t>
        </is>
      </c>
      <c r="C56" t="inlineStr">
        <is>
          <t>C</t>
        </is>
      </c>
      <c r="E56" t="n">
        <v>20071632426</v>
      </c>
      <c r="F56" t="n">
        <v>1613777019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21685409445</v>
      </c>
      <c r="M56" t="n">
        <v>10118622988</v>
      </c>
      <c r="N56" t="n">
        <v>10118622988</v>
      </c>
      <c r="O56" t="inlineStr">
        <is>
          <t>46.66 %</t>
        </is>
      </c>
      <c r="P56" t="n">
        <v>0</v>
      </c>
      <c r="Q56" t="n">
        <v>11566786457</v>
      </c>
      <c r="R56" t="inlineStr">
        <is>
          <t>00</t>
        </is>
      </c>
    </row>
    <row r="57">
      <c r="A57" t="inlineStr">
        <is>
          <t>1.1.02.06.001.02.01</t>
        </is>
      </c>
      <c r="B57" t="inlineStr">
        <is>
          <t>Régimen subsidiado</t>
        </is>
      </c>
      <c r="C57" t="inlineStr">
        <is>
          <t>S</t>
        </is>
      </c>
      <c r="D57" t="inlineStr">
        <is>
          <t>9 - FLS Aseguramiento</t>
        </is>
      </c>
      <c r="E57" t="n">
        <v>19252752301</v>
      </c>
      <c r="F57" t="n">
        <v>1575175815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20827928116</v>
      </c>
      <c r="M57" t="n">
        <v>9790790727</v>
      </c>
      <c r="N57" t="n">
        <v>9790790727</v>
      </c>
      <c r="O57" t="inlineStr">
        <is>
          <t>47.01 %</t>
        </is>
      </c>
      <c r="P57" t="n">
        <v>0</v>
      </c>
      <c r="Q57" t="n">
        <v>11037137389</v>
      </c>
      <c r="R57" t="inlineStr">
        <is>
          <t>49.0</t>
        </is>
      </c>
    </row>
    <row r="58">
      <c r="A58" t="inlineStr">
        <is>
          <t>1.1.02.06.001.02.02</t>
        </is>
      </c>
      <c r="B58" t="inlineStr">
        <is>
          <t>Salud pública</t>
        </is>
      </c>
      <c r="C58" t="inlineStr">
        <is>
          <t>C</t>
        </is>
      </c>
      <c r="D58" t="inlineStr">
        <is>
          <t>5 - FLS Salud publica</t>
        </is>
      </c>
      <c r="E58" t="n">
        <v>818880125</v>
      </c>
      <c r="F58" t="n">
        <v>38601204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857481329</v>
      </c>
      <c r="M58" t="n">
        <v>327832261</v>
      </c>
      <c r="N58" t="n">
        <v>327832261</v>
      </c>
      <c r="O58" t="inlineStr">
        <is>
          <t>38.23 %</t>
        </is>
      </c>
      <c r="P58" t="n">
        <v>0</v>
      </c>
      <c r="Q58" t="n">
        <v>529649068</v>
      </c>
      <c r="R58" t="inlineStr">
        <is>
          <t>50.0</t>
        </is>
      </c>
    </row>
    <row r="59">
      <c r="A59" t="inlineStr">
        <is>
          <t>1.1.02.06.001.03</t>
        </is>
      </c>
      <c r="B59" t="inlineStr">
        <is>
          <t>Participación para propósito general</t>
        </is>
      </c>
      <c r="C59" t="inlineStr">
        <is>
          <t>C</t>
        </is>
      </c>
      <c r="E59" t="n">
        <v>4785884583</v>
      </c>
      <c r="F59" t="n">
        <v>995191307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5781075890</v>
      </c>
      <c r="M59" t="n">
        <v>1771116963</v>
      </c>
      <c r="N59" t="n">
        <v>1771116963</v>
      </c>
      <c r="O59" t="inlineStr">
        <is>
          <t>30.64 %</t>
        </is>
      </c>
      <c r="P59" t="n">
        <v>0</v>
      </c>
      <c r="Q59" t="n">
        <v>4009958927</v>
      </c>
      <c r="R59" t="inlineStr">
        <is>
          <t>00</t>
        </is>
      </c>
    </row>
    <row r="60">
      <c r="A60" t="inlineStr">
        <is>
          <t>1.1.02.06.001.03.01</t>
        </is>
      </c>
      <c r="B60" t="inlineStr">
        <is>
          <t>Deporte y recreación</t>
        </is>
      </c>
      <c r="C60" t="inlineStr">
        <is>
          <t>C</t>
        </is>
      </c>
      <c r="E60" t="n">
        <v>235737839</v>
      </c>
      <c r="F60" t="n">
        <v>49020039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284757878</v>
      </c>
      <c r="M60" t="n">
        <v>87239731</v>
      </c>
      <c r="N60" t="n">
        <v>87239731</v>
      </c>
      <c r="O60" t="inlineStr">
        <is>
          <t>30.64 %</t>
        </is>
      </c>
      <c r="P60" t="n">
        <v>0</v>
      </c>
      <c r="Q60" t="n">
        <v>197518147</v>
      </c>
      <c r="R60" t="inlineStr">
        <is>
          <t>53.0</t>
        </is>
      </c>
    </row>
    <row r="61">
      <c r="A61" t="inlineStr">
        <is>
          <t>1.1.02.06.001.03.02</t>
        </is>
      </c>
      <c r="B61" t="inlineStr">
        <is>
          <t>Cultura</t>
        </is>
      </c>
      <c r="C61" t="inlineStr">
        <is>
          <t>C</t>
        </is>
      </c>
      <c r="E61" t="n">
        <v>176803380</v>
      </c>
      <c r="F61" t="n">
        <v>36765029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213568409</v>
      </c>
      <c r="M61" t="n">
        <v>65429799</v>
      </c>
      <c r="N61" t="n">
        <v>65429799</v>
      </c>
      <c r="O61" t="inlineStr">
        <is>
          <t>30.64 %</t>
        </is>
      </c>
      <c r="P61" t="n">
        <v>0</v>
      </c>
      <c r="Q61" t="n">
        <v>148138610</v>
      </c>
      <c r="R61" t="inlineStr">
        <is>
          <t>54.0</t>
        </is>
      </c>
    </row>
    <row r="62">
      <c r="A62" t="inlineStr">
        <is>
          <t>1.1.02.06.001.03.03</t>
        </is>
      </c>
      <c r="B62" t="inlineStr">
        <is>
          <t>Propósito general Libre inversión</t>
        </is>
      </c>
      <c r="C62" t="inlineStr">
        <is>
          <t>C</t>
        </is>
      </c>
      <c r="E62" t="n">
        <v>2239509474</v>
      </c>
      <c r="F62" t="n">
        <v>465690369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2705199843</v>
      </c>
      <c r="M62" t="n">
        <v>828777450</v>
      </c>
      <c r="N62" t="n">
        <v>828777450</v>
      </c>
      <c r="O62" t="inlineStr">
        <is>
          <t>30.64 %</t>
        </is>
      </c>
      <c r="P62" t="n">
        <v>0</v>
      </c>
      <c r="Q62" t="n">
        <v>1876422393</v>
      </c>
      <c r="R62" t="inlineStr">
        <is>
          <t>55.0</t>
        </is>
      </c>
    </row>
    <row r="63">
      <c r="A63" t="inlineStr">
        <is>
          <t>1.1.02.06.001.03.04</t>
        </is>
      </c>
      <c r="B63" t="inlineStr">
        <is>
          <t>Propósito general libre destinación municipios categorías 4, 5 y 6</t>
        </is>
      </c>
      <c r="C63" t="inlineStr">
        <is>
          <t>C</t>
        </is>
      </c>
      <c r="E63" t="n">
        <v>2133833890</v>
      </c>
      <c r="F63" t="n">
        <v>443715870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2577549760</v>
      </c>
      <c r="M63" t="n">
        <v>789669983</v>
      </c>
      <c r="N63" t="n">
        <v>789669983</v>
      </c>
      <c r="O63" t="inlineStr">
        <is>
          <t>30.64 %</t>
        </is>
      </c>
      <c r="P63" t="n">
        <v>0</v>
      </c>
      <c r="Q63" t="n">
        <v>1787879777</v>
      </c>
      <c r="R63" t="inlineStr">
        <is>
          <t>56.0</t>
        </is>
      </c>
    </row>
    <row r="64">
      <c r="A64" t="inlineStr">
        <is>
          <t>1.1.02.06.001.04</t>
        </is>
      </c>
      <c r="B64" t="inlineStr">
        <is>
          <t>Asignaciones especiales</t>
        </is>
      </c>
      <c r="C64" t="inlineStr">
        <is>
          <t>C</t>
        </is>
      </c>
      <c r="E64" t="n">
        <v>208037621</v>
      </c>
      <c r="F64" t="n">
        <v>18293207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226330828</v>
      </c>
      <c r="M64" t="n">
        <v>66349047</v>
      </c>
      <c r="N64" t="n">
        <v>66349047</v>
      </c>
      <c r="O64" t="inlineStr">
        <is>
          <t>29.32 %</t>
        </is>
      </c>
      <c r="P64" t="n">
        <v>0</v>
      </c>
      <c r="Q64" t="n">
        <v>159981781</v>
      </c>
      <c r="R64" t="inlineStr">
        <is>
          <t>00</t>
        </is>
      </c>
    </row>
    <row r="65">
      <c r="A65" t="inlineStr">
        <is>
          <t>1.1.02.06.001.04.01</t>
        </is>
      </c>
      <c r="B65" t="inlineStr">
        <is>
          <t>Programas de alimentación escolar</t>
        </is>
      </c>
      <c r="C65" t="inlineStr">
        <is>
          <t>C</t>
        </is>
      </c>
      <c r="E65" t="n">
        <v>208037621</v>
      </c>
      <c r="F65" t="n">
        <v>18293207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226330828</v>
      </c>
      <c r="M65" t="n">
        <v>66349047</v>
      </c>
      <c r="N65" t="n">
        <v>66349047</v>
      </c>
      <c r="O65" t="inlineStr">
        <is>
          <t>29.32 %</t>
        </is>
      </c>
      <c r="P65" t="n">
        <v>0</v>
      </c>
      <c r="Q65" t="n">
        <v>159981781</v>
      </c>
      <c r="R65" t="inlineStr">
        <is>
          <t>57.0</t>
        </is>
      </c>
    </row>
    <row r="66">
      <c r="A66" t="inlineStr">
        <is>
          <t>1.1.02.06.001.05</t>
        </is>
      </c>
      <c r="B66" t="inlineStr">
        <is>
          <t>Agua potable y saneamiento básico</t>
        </is>
      </c>
      <c r="C66" t="inlineStr">
        <is>
          <t>C</t>
        </is>
      </c>
      <c r="E66" t="n">
        <v>2736317387</v>
      </c>
      <c r="F66" t="n">
        <v>148155444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2884472831</v>
      </c>
      <c r="M66" t="n">
        <v>607754215</v>
      </c>
      <c r="N66" t="n">
        <v>607754215</v>
      </c>
      <c r="O66" t="inlineStr">
        <is>
          <t>21.07 %</t>
        </is>
      </c>
      <c r="P66" t="n">
        <v>0</v>
      </c>
      <c r="Q66" t="n">
        <v>2276718616</v>
      </c>
      <c r="R66" t="inlineStr">
        <is>
          <t>61.0</t>
        </is>
      </c>
    </row>
    <row r="67">
      <c r="A67" t="inlineStr">
        <is>
          <t>1.1.02.06.003</t>
        </is>
      </c>
      <c r="B67" t="inlineStr">
        <is>
          <t>Participaciones distintas del SGP</t>
        </is>
      </c>
      <c r="C67" t="inlineStr">
        <is>
          <t>C</t>
        </is>
      </c>
      <c r="E67" t="n">
        <v>90000000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90000000</v>
      </c>
      <c r="M67" t="n">
        <v>34992370</v>
      </c>
      <c r="N67" t="n">
        <v>34993246</v>
      </c>
      <c r="O67" t="inlineStr">
        <is>
          <t>38.88 %</t>
        </is>
      </c>
      <c r="P67" t="n">
        <v>0</v>
      </c>
      <c r="Q67" t="n">
        <v>55006754</v>
      </c>
      <c r="R67" t="inlineStr">
        <is>
          <t>00</t>
        </is>
      </c>
    </row>
    <row r="68">
      <c r="A68" t="inlineStr">
        <is>
          <t>1.1.02.06.003.01</t>
        </is>
      </c>
      <c r="B68" t="inlineStr">
        <is>
          <t>Participación en impuestos</t>
        </is>
      </c>
      <c r="C68" t="inlineStr">
        <is>
          <t>C</t>
        </is>
      </c>
      <c r="E68" t="n">
        <v>90000000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90000000</v>
      </c>
      <c r="M68" t="n">
        <v>34992370</v>
      </c>
      <c r="N68" t="n">
        <v>34993246</v>
      </c>
      <c r="O68" t="inlineStr">
        <is>
          <t>38.88 %</t>
        </is>
      </c>
      <c r="P68" t="n">
        <v>0</v>
      </c>
      <c r="Q68" t="n">
        <v>55006754</v>
      </c>
      <c r="R68" t="inlineStr">
        <is>
          <t>00</t>
        </is>
      </c>
    </row>
    <row r="69">
      <c r="A69" t="inlineStr">
        <is>
          <t>1.1.02.06.003.01.08</t>
        </is>
      </c>
      <c r="B69" t="inlineStr">
        <is>
          <t>Participación del impuesto al degüello de ganado mayor (en los términos que lo defina la Ordenanza)</t>
        </is>
      </c>
      <c r="C69" t="inlineStr">
        <is>
          <t>C</t>
        </is>
      </c>
      <c r="E69" t="n">
        <v>90000000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90000000</v>
      </c>
      <c r="M69" t="n">
        <v>34992370</v>
      </c>
      <c r="N69" t="n">
        <v>34993246</v>
      </c>
      <c r="O69" t="inlineStr">
        <is>
          <t>38.88 %</t>
        </is>
      </c>
      <c r="P69" t="n">
        <v>0</v>
      </c>
      <c r="Q69" t="n">
        <v>55006754</v>
      </c>
      <c r="R69" t="inlineStr">
        <is>
          <t>34.1</t>
        </is>
      </c>
    </row>
    <row r="70">
      <c r="A70" t="inlineStr">
        <is>
          <t>1.1.02.06.006</t>
        </is>
      </c>
      <c r="B70" t="inlineStr">
        <is>
          <t>Transferencias de otras entidades del gobierno general</t>
        </is>
      </c>
      <c r="C70" t="inlineStr">
        <is>
          <t>C</t>
        </is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8305512</v>
      </c>
      <c r="N70" t="n">
        <v>8305512</v>
      </c>
      <c r="O70" t="inlineStr">
        <is>
          <t>-</t>
        </is>
      </c>
      <c r="P70" t="n">
        <v>8305512</v>
      </c>
      <c r="Q70" t="n">
        <v>-8305512</v>
      </c>
      <c r="R70" t="inlineStr">
        <is>
          <t>00</t>
        </is>
      </c>
    </row>
    <row r="71">
      <c r="A71" t="inlineStr">
        <is>
          <t>1.1.02.06.006.06</t>
        </is>
      </c>
      <c r="B71" t="inlineStr">
        <is>
          <t>Otras unidades de gobierno</t>
        </is>
      </c>
      <c r="C71" t="inlineStr">
        <is>
          <t>C</t>
        </is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8305512</v>
      </c>
      <c r="N71" t="n">
        <v>8305512</v>
      </c>
      <c r="O71" t="inlineStr">
        <is>
          <t>-</t>
        </is>
      </c>
      <c r="P71" t="n">
        <v>8305512</v>
      </c>
      <c r="Q71" t="n">
        <v>-8305512</v>
      </c>
      <c r="R71" t="inlineStr">
        <is>
          <t>00</t>
        </is>
      </c>
    </row>
    <row r="72">
      <c r="A72" t="inlineStr">
        <is>
          <t>1.1.02.06.006.06.01</t>
        </is>
      </c>
      <c r="B72" t="inlineStr">
        <is>
          <t>Juegos Superate</t>
        </is>
      </c>
      <c r="C72" t="inlineStr">
        <is>
          <t>C</t>
        </is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8305512</v>
      </c>
      <c r="N72" t="n">
        <v>8305512</v>
      </c>
      <c r="O72" t="inlineStr">
        <is>
          <t>-</t>
        </is>
      </c>
      <c r="P72" t="n">
        <v>8305512</v>
      </c>
      <c r="Q72" t="n">
        <v>-8305512</v>
      </c>
      <c r="R72" t="inlineStr">
        <is>
          <t>37.7</t>
        </is>
      </c>
    </row>
    <row r="73">
      <c r="A73" t="inlineStr">
        <is>
          <t>1.1.02.06.009</t>
        </is>
      </c>
      <c r="B73" t="inlineStr">
        <is>
          <t>Recursos del sistema de seguridad social integral</t>
        </is>
      </c>
      <c r="C73" t="inlineStr">
        <is>
          <t>C</t>
        </is>
      </c>
      <c r="E73" t="n">
        <v>28503127070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28503127070</v>
      </c>
      <c r="M73" t="n">
        <v>18161183169.61</v>
      </c>
      <c r="N73" t="n">
        <v>18161183169.61</v>
      </c>
      <c r="O73" t="inlineStr">
        <is>
          <t>63.72 %</t>
        </is>
      </c>
      <c r="P73" t="n">
        <v>0</v>
      </c>
      <c r="Q73" t="n">
        <v>10341943900.39</v>
      </c>
      <c r="R73" t="inlineStr">
        <is>
          <t>00</t>
        </is>
      </c>
    </row>
    <row r="74">
      <c r="A74" t="inlineStr">
        <is>
          <t>1.1.02.06.009.01</t>
        </is>
      </c>
      <c r="B74" t="inlineStr">
        <is>
          <t>Sistema General de Seguridad Social en Salud</t>
        </is>
      </c>
      <c r="C74" t="inlineStr">
        <is>
          <t>C</t>
        </is>
      </c>
      <c r="E74" t="n">
        <v>28448394500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28448394500</v>
      </c>
      <c r="M74" t="n">
        <v>18158399657.61</v>
      </c>
      <c r="N74" t="n">
        <v>18158399657.61</v>
      </c>
      <c r="O74" t="inlineStr">
        <is>
          <t>63.83 %</t>
        </is>
      </c>
      <c r="P74" t="n">
        <v>0</v>
      </c>
      <c r="Q74" t="n">
        <v>10289994842.39</v>
      </c>
      <c r="R74" t="inlineStr">
        <is>
          <t>00</t>
        </is>
      </c>
    </row>
    <row r="75">
      <c r="A75" t="inlineStr">
        <is>
          <t>1.1.02.06.009.01.06</t>
        </is>
      </c>
      <c r="B75" t="inlineStr">
        <is>
          <t>Recursos ADRES - Cofinanciación UPC régimen subsidiado</t>
        </is>
      </c>
      <c r="C75" t="inlineStr">
        <is>
          <t>S</t>
        </is>
      </c>
      <c r="D75" t="inlineStr">
        <is>
          <t>9 - FLS Aseguramiento</t>
        </is>
      </c>
      <c r="E75" t="n">
        <v>27228419182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27228419182</v>
      </c>
      <c r="M75" t="n">
        <v>17484164924.33</v>
      </c>
      <c r="N75" t="n">
        <v>17484164924.33</v>
      </c>
      <c r="O75" t="inlineStr">
        <is>
          <t>64.21 %</t>
        </is>
      </c>
      <c r="P75" t="n">
        <v>0</v>
      </c>
      <c r="Q75" t="n">
        <v>9744254257.669998</v>
      </c>
      <c r="R75" t="inlineStr">
        <is>
          <t>37.6</t>
        </is>
      </c>
    </row>
    <row r="76">
      <c r="A76" t="inlineStr">
        <is>
          <t>1.1.02.06.009.01.09</t>
        </is>
      </c>
      <c r="B76" t="inlineStr">
        <is>
          <t>Transferencia Cajas de Compensación Familiar - Financiación del Régimen Subsidiado en Salud - Ley 100 de 1993</t>
        </is>
      </c>
      <c r="C76" t="inlineStr">
        <is>
          <t>S</t>
        </is>
      </c>
      <c r="D76" t="inlineStr">
        <is>
          <t>9 - FLS Aseguramiento</t>
        </is>
      </c>
      <c r="E76" t="n">
        <v>78964936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78964936</v>
      </c>
      <c r="M76" t="n">
        <v>40753385.05999999</v>
      </c>
      <c r="N76" t="n">
        <v>40753385.05999999</v>
      </c>
      <c r="O76" t="inlineStr">
        <is>
          <t>51.61 %</t>
        </is>
      </c>
      <c r="P76" t="n">
        <v>0</v>
      </c>
      <c r="Q76" t="n">
        <v>38211550.94000001</v>
      </c>
      <c r="R76" t="inlineStr">
        <is>
          <t>37.5</t>
        </is>
      </c>
    </row>
    <row r="77">
      <c r="A77" t="inlineStr">
        <is>
          <t>1.1.02.06.009.01.11</t>
        </is>
      </c>
      <c r="B77" t="inlineStr">
        <is>
          <t>Aportes de unidades del gobierno general para el financiamiento del SGSSS</t>
        </is>
      </c>
      <c r="C77" t="inlineStr">
        <is>
          <t>C</t>
        </is>
      </c>
      <c r="E77" t="n">
        <v>1141010382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1141010382</v>
      </c>
      <c r="M77" t="n">
        <v>633481348.2200001</v>
      </c>
      <c r="N77" t="n">
        <v>633481348.2200001</v>
      </c>
      <c r="O77" t="inlineStr">
        <is>
          <t>55.52 %</t>
        </is>
      </c>
      <c r="P77" t="n">
        <v>0</v>
      </c>
      <c r="Q77" t="n">
        <v>507529033.7799999</v>
      </c>
      <c r="R77" t="inlineStr">
        <is>
          <t>00</t>
        </is>
      </c>
    </row>
    <row r="78">
      <c r="A78" t="inlineStr">
        <is>
          <t>1.1.02.06.009.01.11.09</t>
        </is>
      </c>
      <c r="B78" t="inlineStr">
        <is>
          <t>Recursos departamentales para Aseguramiento del Régimen Subsidiado</t>
        </is>
      </c>
      <c r="C78" t="inlineStr">
        <is>
          <t>S</t>
        </is>
      </c>
      <c r="D78" t="inlineStr">
        <is>
          <t>9 - FLS Aseguramiento</t>
        </is>
      </c>
      <c r="E78" t="n">
        <v>1141010382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1141010382</v>
      </c>
      <c r="M78" t="n">
        <v>633481348.2200001</v>
      </c>
      <c r="N78" t="n">
        <v>633481348.2200001</v>
      </c>
      <c r="O78" t="inlineStr">
        <is>
          <t>55.52 %</t>
        </is>
      </c>
      <c r="P78" t="n">
        <v>0</v>
      </c>
      <c r="Q78" t="n">
        <v>507529033.7799999</v>
      </c>
      <c r="R78" t="inlineStr">
        <is>
          <t>37.3</t>
        </is>
      </c>
    </row>
    <row r="79">
      <c r="A79" t="inlineStr">
        <is>
          <t>1.1.02.06.009.02</t>
        </is>
      </c>
      <c r="B79" t="inlineStr">
        <is>
          <t>Sistema general de pensiones</t>
        </is>
      </c>
      <c r="C79" t="inlineStr">
        <is>
          <t>C</t>
        </is>
      </c>
      <c r="E79" t="n">
        <v>54732570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54732570</v>
      </c>
      <c r="M79" t="n">
        <v>2783512</v>
      </c>
      <c r="N79" t="n">
        <v>2783512</v>
      </c>
      <c r="O79" t="inlineStr">
        <is>
          <t>5.09 %</t>
        </is>
      </c>
      <c r="P79" t="n">
        <v>0</v>
      </c>
      <c r="Q79" t="n">
        <v>51949058</v>
      </c>
      <c r="R79" t="inlineStr">
        <is>
          <t>00</t>
        </is>
      </c>
    </row>
    <row r="80">
      <c r="A80" t="inlineStr">
        <is>
          <t>1.1.02.06.009.02.02</t>
        </is>
      </c>
      <c r="B80" t="inlineStr">
        <is>
          <t>Cuotas partes pensionales</t>
        </is>
      </c>
      <c r="C80" t="inlineStr">
        <is>
          <t>C</t>
        </is>
      </c>
      <c r="E80" t="n">
        <v>54732570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54732570</v>
      </c>
      <c r="M80" t="n">
        <v>2783512</v>
      </c>
      <c r="N80" t="n">
        <v>2783512</v>
      </c>
      <c r="O80" t="inlineStr">
        <is>
          <t>5.09 %</t>
        </is>
      </c>
      <c r="P80" t="n">
        <v>0</v>
      </c>
      <c r="Q80" t="n">
        <v>51949058</v>
      </c>
      <c r="R80" t="inlineStr">
        <is>
          <t>2.0</t>
        </is>
      </c>
    </row>
    <row r="81">
      <c r="A81" t="inlineStr">
        <is>
          <t>1.1.02.07</t>
        </is>
      </c>
      <c r="B81" t="inlineStr">
        <is>
          <t>Participación y derechos por monopolio</t>
        </is>
      </c>
      <c r="C81" t="inlineStr">
        <is>
          <t>C</t>
        </is>
      </c>
      <c r="E81" t="n">
        <v>1347920862</v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1347920862</v>
      </c>
      <c r="M81" t="n">
        <v>616145242.99</v>
      </c>
      <c r="N81" t="n">
        <v>616145242.99</v>
      </c>
      <c r="O81" t="inlineStr">
        <is>
          <t>45.71 %</t>
        </is>
      </c>
      <c r="P81" t="n">
        <v>0</v>
      </c>
      <c r="Q81" t="n">
        <v>731775619.01</v>
      </c>
      <c r="R81" t="inlineStr">
        <is>
          <t>00</t>
        </is>
      </c>
    </row>
    <row r="82">
      <c r="A82" t="inlineStr">
        <is>
          <t>1.1.02.07.001</t>
        </is>
      </c>
      <c r="B82" t="inlineStr">
        <is>
          <t>Derechos por la explotación juegos de suerte y azar</t>
        </is>
      </c>
      <c r="C82" t="inlineStr">
        <is>
          <t>C</t>
        </is>
      </c>
      <c r="E82" t="n">
        <v>1347920862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1347920862</v>
      </c>
      <c r="M82" t="n">
        <v>616145242.99</v>
      </c>
      <c r="N82" t="n">
        <v>616145242.99</v>
      </c>
      <c r="O82" t="inlineStr">
        <is>
          <t>45.71 %</t>
        </is>
      </c>
      <c r="P82" t="n">
        <v>0</v>
      </c>
      <c r="Q82" t="n">
        <v>731775619.01</v>
      </c>
      <c r="R82" t="inlineStr">
        <is>
          <t>00</t>
        </is>
      </c>
    </row>
    <row r="83">
      <c r="A83" t="inlineStr">
        <is>
          <t>1.1.02.07.001.05</t>
        </is>
      </c>
      <c r="B83" t="inlineStr">
        <is>
          <t>Derechos por la explotacion juegos de suerte y azar de rifas</t>
        </is>
      </c>
      <c r="C83" t="inlineStr">
        <is>
          <t>C</t>
        </is>
      </c>
      <c r="E83" t="n">
        <v>1347920862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1347920862</v>
      </c>
      <c r="M83" t="n">
        <v>616145242.99</v>
      </c>
      <c r="N83" t="n">
        <v>616145242.99</v>
      </c>
      <c r="O83" t="inlineStr">
        <is>
          <t>45.71 %</t>
        </is>
      </c>
      <c r="P83" t="n">
        <v>0</v>
      </c>
      <c r="Q83" t="n">
        <v>731775619.01</v>
      </c>
      <c r="R83" t="inlineStr">
        <is>
          <t>00</t>
        </is>
      </c>
    </row>
    <row r="84">
      <c r="A84" t="inlineStr">
        <is>
          <t>1.1.02.07.001.05.01</t>
        </is>
      </c>
      <c r="B84" t="inlineStr">
        <is>
          <t>Coljuegos SSF</t>
        </is>
      </c>
      <c r="C84" t="inlineStr">
        <is>
          <t>S</t>
        </is>
      </c>
      <c r="D84" t="inlineStr">
        <is>
          <t>9 - FLS Aseguramiento</t>
        </is>
      </c>
      <c r="E84" t="n">
        <v>1037920862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1037920862</v>
      </c>
      <c r="M84" t="n">
        <v>474257572.9899999</v>
      </c>
      <c r="N84" t="n">
        <v>474257572.9899999</v>
      </c>
      <c r="O84" t="inlineStr">
        <is>
          <t>45.69 %</t>
        </is>
      </c>
      <c r="P84" t="n">
        <v>0</v>
      </c>
      <c r="Q84" t="n">
        <v>563663289.01</v>
      </c>
      <c r="R84" t="inlineStr">
        <is>
          <t>37.2</t>
        </is>
      </c>
    </row>
    <row r="85">
      <c r="A85" t="inlineStr">
        <is>
          <t>1.1.02.07.001.05.02</t>
        </is>
      </c>
      <c r="B85" t="inlineStr">
        <is>
          <t>Coljuegos CSF 25%</t>
        </is>
      </c>
      <c r="C85" t="inlineStr">
        <is>
          <t>C</t>
        </is>
      </c>
      <c r="D85" t="inlineStr">
        <is>
          <t>9 - FLS Aseguramiento</t>
        </is>
      </c>
      <c r="E85" t="n">
        <v>310000000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310000000</v>
      </c>
      <c r="M85" t="n">
        <v>141887670</v>
      </c>
      <c r="N85" t="n">
        <v>141887670</v>
      </c>
      <c r="O85" t="inlineStr">
        <is>
          <t>45.77 %</t>
        </is>
      </c>
      <c r="P85" t="n">
        <v>0</v>
      </c>
      <c r="Q85" t="n">
        <v>168112330</v>
      </c>
      <c r="R85" t="inlineStr">
        <is>
          <t>37.1</t>
        </is>
      </c>
    </row>
    <row r="86">
      <c r="A86" t="inlineStr">
        <is>
          <t>1.2</t>
        </is>
      </c>
      <c r="B86" t="inlineStr">
        <is>
          <t>Recursos de capital</t>
        </is>
      </c>
      <c r="C86" t="inlineStr">
        <is>
          <t>C</t>
        </is>
      </c>
      <c r="E86" t="n">
        <v>2808035883</v>
      </c>
      <c r="F86" t="n">
        <v>6388631388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9196667271</v>
      </c>
      <c r="M86" t="n">
        <v>76192466.77</v>
      </c>
      <c r="N86" t="n">
        <v>76192466.77</v>
      </c>
      <c r="O86" t="inlineStr">
        <is>
          <t>0.83 %</t>
        </is>
      </c>
      <c r="P86" t="n">
        <v>62535164.55</v>
      </c>
      <c r="Q86" t="n">
        <v>9120474804.23</v>
      </c>
      <c r="R86" t="inlineStr">
        <is>
          <t>00</t>
        </is>
      </c>
    </row>
    <row r="87">
      <c r="A87" t="inlineStr">
        <is>
          <t>1.2.05</t>
        </is>
      </c>
      <c r="B87" t="inlineStr">
        <is>
          <t>Rendimientos financieros</t>
        </is>
      </c>
      <c r="C87" t="inlineStr">
        <is>
          <t>C</t>
        </is>
      </c>
      <c r="E87" t="n">
        <v>58035883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58035883</v>
      </c>
      <c r="M87" t="n">
        <v>76192466.77</v>
      </c>
      <c r="N87" t="n">
        <v>76192466.77</v>
      </c>
      <c r="O87" t="inlineStr">
        <is>
          <t>131.29 %</t>
        </is>
      </c>
      <c r="P87" t="n">
        <v>62535164.55</v>
      </c>
      <c r="Q87" t="n">
        <v>-18156583.77</v>
      </c>
      <c r="R87" t="inlineStr">
        <is>
          <t>00</t>
        </is>
      </c>
    </row>
    <row r="88">
      <c r="A88" t="inlineStr">
        <is>
          <t>1.2.05.02</t>
        </is>
      </c>
      <c r="B88" t="inlineStr">
        <is>
          <t>Depositos</t>
        </is>
      </c>
      <c r="C88" t="inlineStr">
        <is>
          <t>C</t>
        </is>
      </c>
      <c r="E88" t="n">
        <v>58035883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58035883</v>
      </c>
      <c r="M88" t="n">
        <v>76192466.77</v>
      </c>
      <c r="N88" t="n">
        <v>76192466.77</v>
      </c>
      <c r="O88" t="inlineStr">
        <is>
          <t>131.29 %</t>
        </is>
      </c>
      <c r="P88" t="n">
        <v>62535164.55</v>
      </c>
      <c r="Q88" t="n">
        <v>-18156583.77</v>
      </c>
      <c r="R88" t="inlineStr">
        <is>
          <t>00</t>
        </is>
      </c>
    </row>
    <row r="89">
      <c r="A89" t="inlineStr">
        <is>
          <t>1.2.05.02.01</t>
        </is>
      </c>
      <c r="B89" t="inlineStr">
        <is>
          <t>Recursos propios</t>
        </is>
      </c>
      <c r="C89" t="inlineStr">
        <is>
          <t>C</t>
        </is>
      </c>
      <c r="E89" t="n">
        <v>14402702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14402702</v>
      </c>
      <c r="M89" t="n">
        <v>2073937.7</v>
      </c>
      <c r="N89" t="n">
        <v>2073937.7</v>
      </c>
      <c r="O89" t="inlineStr">
        <is>
          <t>14.4 %</t>
        </is>
      </c>
      <c r="P89" t="n">
        <v>0</v>
      </c>
      <c r="Q89" t="n">
        <v>12328764.3</v>
      </c>
      <c r="R89" t="inlineStr">
        <is>
          <t>93.01</t>
        </is>
      </c>
    </row>
    <row r="90">
      <c r="A90" t="inlineStr">
        <is>
          <t>1.2.05.02.02</t>
        </is>
      </c>
      <c r="B90" t="inlineStr">
        <is>
          <t>Impuesto de transporte por oleoductos y gasoductos</t>
        </is>
      </c>
      <c r="C90" t="inlineStr">
        <is>
          <t>C</t>
        </is>
      </c>
      <c r="E90" t="n">
        <v>5830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5830</v>
      </c>
      <c r="M90" t="n">
        <v>923</v>
      </c>
      <c r="N90" t="n">
        <v>923</v>
      </c>
      <c r="O90" t="inlineStr">
        <is>
          <t>15.83 %</t>
        </is>
      </c>
      <c r="P90" t="n">
        <v>0</v>
      </c>
      <c r="Q90" t="n">
        <v>4907</v>
      </c>
      <c r="R90" t="inlineStr">
        <is>
          <t>97.01</t>
        </is>
      </c>
    </row>
    <row r="91">
      <c r="A91" t="inlineStr">
        <is>
          <t>1.2.05.02.03</t>
        </is>
      </c>
      <c r="B91" t="inlineStr">
        <is>
          <t>Tasa prodeporte y recreación</t>
        </is>
      </c>
      <c r="C91" t="inlineStr">
        <is>
          <t>C</t>
        </is>
      </c>
      <c r="E91" t="n">
        <v>1000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1000</v>
      </c>
      <c r="M91" t="n">
        <v>0</v>
      </c>
      <c r="N91" t="n">
        <v>0</v>
      </c>
      <c r="O91" t="inlineStr">
        <is>
          <t>0 %</t>
        </is>
      </c>
      <c r="P91" t="n">
        <v>0</v>
      </c>
      <c r="Q91" t="n">
        <v>1000</v>
      </c>
      <c r="R91" t="inlineStr">
        <is>
          <t>93.02</t>
        </is>
      </c>
    </row>
    <row r="92">
      <c r="A92" t="inlineStr">
        <is>
          <t>1.2.05.02.04</t>
        </is>
      </c>
      <c r="B92" t="inlineStr">
        <is>
          <t>Estampilla para el bienestar del adulto mayor</t>
        </is>
      </c>
      <c r="C92" t="inlineStr">
        <is>
          <t>C</t>
        </is>
      </c>
      <c r="E92" t="n">
        <v>5000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5000</v>
      </c>
      <c r="M92" t="n">
        <v>0</v>
      </c>
      <c r="N92" t="n">
        <v>0</v>
      </c>
      <c r="O92" t="inlineStr">
        <is>
          <t>0 %</t>
        </is>
      </c>
      <c r="P92" t="n">
        <v>0</v>
      </c>
      <c r="Q92" t="n">
        <v>5000</v>
      </c>
      <c r="R92" t="inlineStr">
        <is>
          <t>93.03</t>
        </is>
      </c>
    </row>
    <row r="93">
      <c r="A93" t="inlineStr">
        <is>
          <t>1.2.05.02.05</t>
        </is>
      </c>
      <c r="B93" t="inlineStr">
        <is>
          <t>Estampilla pro cultura</t>
        </is>
      </c>
      <c r="C93" t="inlineStr">
        <is>
          <t>C</t>
        </is>
      </c>
      <c r="E93" t="n">
        <v>135000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135000</v>
      </c>
      <c r="M93" t="n">
        <v>18964</v>
      </c>
      <c r="N93" t="n">
        <v>18964</v>
      </c>
      <c r="O93" t="inlineStr">
        <is>
          <t>14.05 %</t>
        </is>
      </c>
      <c r="P93" t="n">
        <v>0</v>
      </c>
      <c r="Q93" t="n">
        <v>116036</v>
      </c>
      <c r="R93" t="inlineStr">
        <is>
          <t>93.04</t>
        </is>
      </c>
    </row>
    <row r="94">
      <c r="A94" t="inlineStr">
        <is>
          <t>1.2.05.02.06</t>
        </is>
      </c>
      <c r="B94" t="inlineStr">
        <is>
          <t>Estampilla para la justicia familiar</t>
        </is>
      </c>
      <c r="C94" t="inlineStr">
        <is>
          <t>C</t>
        </is>
      </c>
      <c r="E94" t="n">
        <v>1000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1000</v>
      </c>
      <c r="M94" t="n">
        <v>0</v>
      </c>
      <c r="N94" t="n">
        <v>0</v>
      </c>
      <c r="O94" t="inlineStr">
        <is>
          <t>0 %</t>
        </is>
      </c>
      <c r="P94" t="n">
        <v>0</v>
      </c>
      <c r="Q94" t="n">
        <v>1000</v>
      </c>
      <c r="R94" t="inlineStr">
        <is>
          <t>93.05</t>
        </is>
      </c>
    </row>
    <row r="95">
      <c r="A95" t="inlineStr">
        <is>
          <t>1.2.05.02.07</t>
        </is>
      </c>
      <c r="B95" t="inlineStr">
        <is>
          <t>Contribución especial sobre contratos de obras públicas</t>
        </is>
      </c>
      <c r="C95" t="inlineStr">
        <is>
          <t>C</t>
        </is>
      </c>
      <c r="E95" t="n">
        <v>1000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1000</v>
      </c>
      <c r="M95" t="n">
        <v>0</v>
      </c>
      <c r="N95" t="n">
        <v>0</v>
      </c>
      <c r="O95" t="inlineStr">
        <is>
          <t>0 %</t>
        </is>
      </c>
      <c r="P95" t="n">
        <v>0</v>
      </c>
      <c r="Q95" t="n">
        <v>1000</v>
      </c>
      <c r="R95" t="inlineStr">
        <is>
          <t>93.06</t>
        </is>
      </c>
    </row>
    <row r="96">
      <c r="A96" t="inlineStr">
        <is>
          <t>1.2.05.02.08</t>
        </is>
      </c>
      <c r="B96" t="inlineStr">
        <is>
          <t>Multas de tránsito y transporte</t>
        </is>
      </c>
      <c r="C96" t="inlineStr">
        <is>
          <t>C</t>
        </is>
      </c>
      <c r="E96" t="n">
        <v>85000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85000</v>
      </c>
      <c r="M96" t="n">
        <v>60080.51</v>
      </c>
      <c r="N96" t="n">
        <v>60080.51</v>
      </c>
      <c r="O96" t="inlineStr">
        <is>
          <t>70.68 %</t>
        </is>
      </c>
      <c r="P96" t="n">
        <v>0</v>
      </c>
      <c r="Q96" t="n">
        <v>24919.49</v>
      </c>
      <c r="R96" t="inlineStr">
        <is>
          <t>93.07</t>
        </is>
      </c>
    </row>
    <row r="97">
      <c r="A97" t="inlineStr">
        <is>
          <t>1.2.05.02.09</t>
        </is>
      </c>
      <c r="B97" t="inlineStr">
        <is>
          <t>Multas código nacional de Seguridad y Convivencia Ciudadana - Multas generales</t>
        </is>
      </c>
      <c r="C97" t="inlineStr">
        <is>
          <t>C</t>
        </is>
      </c>
      <c r="E97" t="n">
        <v>44197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44197</v>
      </c>
      <c r="M97" t="n">
        <v>85.5</v>
      </c>
      <c r="N97" t="n">
        <v>85.5</v>
      </c>
      <c r="O97" t="inlineStr">
        <is>
          <t>0.19 %</t>
        </is>
      </c>
      <c r="P97" t="n">
        <v>0</v>
      </c>
      <c r="Q97" t="n">
        <v>44111.5</v>
      </c>
      <c r="R97" t="inlineStr">
        <is>
          <t>93.08</t>
        </is>
      </c>
    </row>
    <row r="98">
      <c r="A98" t="inlineStr">
        <is>
          <t>1.2.05.02.10</t>
        </is>
      </c>
      <c r="B98" t="inlineStr">
        <is>
          <t>SGP Educacion -Calidad  por matrícula oficial</t>
        </is>
      </c>
      <c r="C98" t="inlineStr">
        <is>
          <t>C</t>
        </is>
      </c>
      <c r="E98" t="n">
        <v>400000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400000</v>
      </c>
      <c r="M98" t="n">
        <v>383738.18</v>
      </c>
      <c r="N98" t="n">
        <v>383738.18</v>
      </c>
      <c r="O98" t="inlineStr">
        <is>
          <t>95.93 %</t>
        </is>
      </c>
      <c r="P98" t="n">
        <v>0</v>
      </c>
      <c r="Q98" t="n">
        <v>16261.82000000001</v>
      </c>
      <c r="R98" t="inlineStr">
        <is>
          <t>82.0</t>
        </is>
      </c>
    </row>
    <row r="99">
      <c r="A99" t="inlineStr">
        <is>
          <t>1.2.05.02.11</t>
        </is>
      </c>
      <c r="B99" t="inlineStr">
        <is>
          <t>SGP -Participación para propósito general</t>
        </is>
      </c>
      <c r="C99" t="inlineStr">
        <is>
          <t>C</t>
        </is>
      </c>
      <c r="E99" t="n">
        <v>20000000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20000000</v>
      </c>
      <c r="M99" t="n">
        <v>8482959</v>
      </c>
      <c r="N99" t="n">
        <v>8482959</v>
      </c>
      <c r="O99" t="inlineStr">
        <is>
          <t>42.41 %</t>
        </is>
      </c>
      <c r="P99" t="n">
        <v>0</v>
      </c>
      <c r="Q99" t="n">
        <v>11517041</v>
      </c>
      <c r="R99" t="inlineStr">
        <is>
          <t>87.0</t>
        </is>
      </c>
    </row>
    <row r="100">
      <c r="A100" t="inlineStr">
        <is>
          <t>1.2.05.02.12</t>
        </is>
      </c>
      <c r="B100" t="inlineStr">
        <is>
          <t>SGP-Programas de alimentación escolar</t>
        </is>
      </c>
      <c r="C100" t="inlineStr">
        <is>
          <t>C</t>
        </is>
      </c>
      <c r="E100" t="n">
        <v>1242647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1242647</v>
      </c>
      <c r="M100" t="n">
        <v>760702</v>
      </c>
      <c r="N100" t="n">
        <v>760702</v>
      </c>
      <c r="O100" t="inlineStr">
        <is>
          <t>61.22 %</t>
        </is>
      </c>
      <c r="P100" t="n">
        <v>0</v>
      </c>
      <c r="Q100" t="n">
        <v>481945</v>
      </c>
      <c r="R100" t="inlineStr">
        <is>
          <t>88.0</t>
        </is>
      </c>
    </row>
    <row r="101">
      <c r="A101" t="inlineStr">
        <is>
          <t>1.2.05.02.13</t>
        </is>
      </c>
      <c r="B101" t="inlineStr">
        <is>
          <t>SGP-Agua potable y saneamiento básico</t>
        </is>
      </c>
      <c r="C101" t="inlineStr">
        <is>
          <t>C</t>
        </is>
      </c>
      <c r="E101" t="n">
        <v>20000000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20000000</v>
      </c>
      <c r="M101" t="n">
        <v>1717489.39</v>
      </c>
      <c r="N101" t="n">
        <v>1717489.39</v>
      </c>
      <c r="O101" t="inlineStr">
        <is>
          <t>8.59 %</t>
        </is>
      </c>
      <c r="P101" t="n">
        <v>0</v>
      </c>
      <c r="Q101" t="n">
        <v>18282510.61</v>
      </c>
      <c r="R101" t="inlineStr">
        <is>
          <t>92.0</t>
        </is>
      </c>
    </row>
    <row r="102">
      <c r="A102" t="inlineStr">
        <is>
          <t>1.2.05.02.14</t>
        </is>
      </c>
      <c r="B102" t="inlineStr">
        <is>
          <t>Participación del impuesto al degüello de ganado mayor (en los términos que los defina la Ordenanza)</t>
        </is>
      </c>
      <c r="C102" t="inlineStr">
        <is>
          <t>C</t>
        </is>
      </c>
      <c r="E102" t="n">
        <v>20507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20507</v>
      </c>
      <c r="M102" t="n">
        <v>17433</v>
      </c>
      <c r="N102" t="n">
        <v>17433</v>
      </c>
      <c r="O102" t="inlineStr">
        <is>
          <t>85.01 %</t>
        </is>
      </c>
      <c r="P102" t="n">
        <v>0</v>
      </c>
      <c r="Q102" t="n">
        <v>3074</v>
      </c>
      <c r="R102" t="inlineStr">
        <is>
          <t>93.10</t>
        </is>
      </c>
    </row>
    <row r="103">
      <c r="A103" t="inlineStr">
        <is>
          <t>1.2.05.02.15</t>
        </is>
      </c>
      <c r="B103" t="inlineStr">
        <is>
          <t>Retiros FONPET</t>
        </is>
      </c>
      <c r="C103" t="inlineStr">
        <is>
          <t>C</t>
        </is>
      </c>
      <c r="E103" t="n">
        <v>1600000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1600000</v>
      </c>
      <c r="M103" t="n">
        <v>132561.5</v>
      </c>
      <c r="N103" t="n">
        <v>132561.5</v>
      </c>
      <c r="O103" t="inlineStr">
        <is>
          <t>8.29 %</t>
        </is>
      </c>
      <c r="P103" t="n">
        <v>0</v>
      </c>
      <c r="Q103" t="n">
        <v>1467438.5</v>
      </c>
      <c r="R103" t="inlineStr">
        <is>
          <t>93.09</t>
        </is>
      </c>
    </row>
    <row r="104">
      <c r="A104" t="inlineStr">
        <is>
          <t>1.2.05.02.16</t>
        </is>
      </c>
      <c r="B104" t="inlineStr">
        <is>
          <t>Sgp Régimen Subisiado ssf</t>
        </is>
      </c>
      <c r="C104" t="inlineStr">
        <is>
          <t>C</t>
        </is>
      </c>
      <c r="D104" t="inlineStr">
        <is>
          <t>9 - FLS Aseguramiento</t>
        </is>
      </c>
      <c r="E104" t="n">
        <v>2000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2000</v>
      </c>
      <c r="M104" t="n">
        <v>0</v>
      </c>
      <c r="N104" t="n">
        <v>0</v>
      </c>
      <c r="O104" t="inlineStr">
        <is>
          <t>0 %</t>
        </is>
      </c>
      <c r="P104" t="n">
        <v>0</v>
      </c>
      <c r="Q104" t="n">
        <v>2000</v>
      </c>
      <c r="R104" t="inlineStr">
        <is>
          <t>84.0</t>
        </is>
      </c>
    </row>
    <row r="105">
      <c r="A105" t="inlineStr">
        <is>
          <t>1.2.05.02.17</t>
        </is>
      </c>
      <c r="B105" t="inlineStr">
        <is>
          <t>SGP-Salud pública</t>
        </is>
      </c>
      <c r="C105" t="inlineStr">
        <is>
          <t>C</t>
        </is>
      </c>
      <c r="D105" t="inlineStr">
        <is>
          <t>5 - FLS Salud publica</t>
        </is>
      </c>
      <c r="E105" t="n">
        <v>30000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30000</v>
      </c>
      <c r="M105" t="n">
        <v>5872.440000000001</v>
      </c>
      <c r="N105" t="n">
        <v>5872.440000000001</v>
      </c>
      <c r="O105" t="inlineStr">
        <is>
          <t>19.57 %</t>
        </is>
      </c>
      <c r="P105" t="n">
        <v>0</v>
      </c>
      <c r="Q105" t="n">
        <v>24127.56</v>
      </c>
      <c r="R105" t="inlineStr">
        <is>
          <t>85.0</t>
        </is>
      </c>
    </row>
    <row r="106">
      <c r="A106" t="inlineStr">
        <is>
          <t>1.2.05.02.18</t>
        </is>
      </c>
      <c r="B106" t="inlineStr">
        <is>
          <t>Coljuegos 25% CSF</t>
        </is>
      </c>
      <c r="C106" t="inlineStr">
        <is>
          <t>C</t>
        </is>
      </c>
      <c r="D106" t="inlineStr">
        <is>
          <t>9 - FLS Aseguramiento</t>
        </is>
      </c>
      <c r="E106" t="n">
        <v>60000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60000</v>
      </c>
      <c r="M106" t="n">
        <v>2556</v>
      </c>
      <c r="N106" t="n">
        <v>2556</v>
      </c>
      <c r="O106" t="inlineStr">
        <is>
          <t>4.26 %</t>
        </is>
      </c>
      <c r="P106" t="n">
        <v>0</v>
      </c>
      <c r="Q106" t="n">
        <v>57444</v>
      </c>
      <c r="R106" t="inlineStr">
        <is>
          <t>93.11</t>
        </is>
      </c>
    </row>
    <row r="107">
      <c r="A107" t="inlineStr">
        <is>
          <t>1.2.05.02.19</t>
        </is>
      </c>
      <c r="B107" t="inlineStr">
        <is>
          <t>R.F. Credito Interno</t>
        </is>
      </c>
      <c r="C107" t="inlineStr">
        <is>
          <t>C</t>
        </is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62535164.55</v>
      </c>
      <c r="N107" t="n">
        <v>62535164.55</v>
      </c>
      <c r="O107" t="inlineStr">
        <is>
          <t>-</t>
        </is>
      </c>
      <c r="P107" t="n">
        <v>62535164.55</v>
      </c>
      <c r="Q107" t="n">
        <v>-62535164.55</v>
      </c>
      <c r="R107" t="inlineStr">
        <is>
          <t>93.12</t>
        </is>
      </c>
    </row>
    <row r="108">
      <c r="A108" t="inlineStr">
        <is>
          <t>1.2.07</t>
        </is>
      </c>
      <c r="B108" t="inlineStr">
        <is>
          <t>Recursos de crédito interno</t>
        </is>
      </c>
      <c r="C108" t="inlineStr">
        <is>
          <t>C</t>
        </is>
      </c>
      <c r="E108" t="n">
        <v>2000000000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2000000000</v>
      </c>
      <c r="M108" t="n">
        <v>0</v>
      </c>
      <c r="N108" t="n">
        <v>0</v>
      </c>
      <c r="O108" t="inlineStr">
        <is>
          <t>0 %</t>
        </is>
      </c>
      <c r="P108" t="n">
        <v>0</v>
      </c>
      <c r="Q108" t="n">
        <v>2000000000</v>
      </c>
      <c r="R108" t="inlineStr">
        <is>
          <t>00</t>
        </is>
      </c>
    </row>
    <row r="109">
      <c r="A109" t="inlineStr">
        <is>
          <t>1.2.07.01</t>
        </is>
      </c>
      <c r="B109" t="inlineStr">
        <is>
          <t>Recursos de contratos de empréstitos internos</t>
        </is>
      </c>
      <c r="C109" t="inlineStr">
        <is>
          <t>C</t>
        </is>
      </c>
      <c r="E109" t="n">
        <v>2000000000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2000000000</v>
      </c>
      <c r="M109" t="n">
        <v>0</v>
      </c>
      <c r="N109" t="n">
        <v>0</v>
      </c>
      <c r="O109" t="inlineStr">
        <is>
          <t>0 %</t>
        </is>
      </c>
      <c r="P109" t="n">
        <v>0</v>
      </c>
      <c r="Q109" t="n">
        <v>2000000000</v>
      </c>
      <c r="R109" t="inlineStr">
        <is>
          <t>00</t>
        </is>
      </c>
    </row>
    <row r="110">
      <c r="A110" t="inlineStr">
        <is>
          <t>1.2.07.01.001</t>
        </is>
      </c>
      <c r="B110" t="inlineStr">
        <is>
          <t>Banca comercial</t>
        </is>
      </c>
      <c r="C110" t="inlineStr">
        <is>
          <t>C</t>
        </is>
      </c>
      <c r="E110" t="n">
        <v>2000000000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2000000000</v>
      </c>
      <c r="M110" t="n">
        <v>0</v>
      </c>
      <c r="N110" t="n">
        <v>0</v>
      </c>
      <c r="O110" t="inlineStr">
        <is>
          <t>0 %</t>
        </is>
      </c>
      <c r="P110" t="n">
        <v>0</v>
      </c>
      <c r="Q110" t="n">
        <v>2000000000</v>
      </c>
      <c r="R110" t="inlineStr">
        <is>
          <t>00</t>
        </is>
      </c>
    </row>
    <row r="111">
      <c r="A111" t="inlineStr">
        <is>
          <t>1.2.07.01.001.01</t>
        </is>
      </c>
      <c r="B111" t="inlineStr">
        <is>
          <t>Credito 2025</t>
        </is>
      </c>
      <c r="C111" t="inlineStr">
        <is>
          <t>C</t>
        </is>
      </c>
      <c r="E111" t="n">
        <v>2000000000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2000000000</v>
      </c>
      <c r="M111" t="n">
        <v>0</v>
      </c>
      <c r="N111" t="n">
        <v>0</v>
      </c>
      <c r="O111" t="inlineStr">
        <is>
          <t>0 %</t>
        </is>
      </c>
      <c r="P111" t="n">
        <v>0</v>
      </c>
      <c r="Q111" t="n">
        <v>2000000000</v>
      </c>
      <c r="R111" t="inlineStr">
        <is>
          <t>0035</t>
        </is>
      </c>
    </row>
    <row r="112">
      <c r="A112" t="inlineStr">
        <is>
          <t>1.2.10</t>
        </is>
      </c>
      <c r="B112" t="inlineStr">
        <is>
          <t>Recursos del balance</t>
        </is>
      </c>
      <c r="C112" t="inlineStr">
        <is>
          <t>C</t>
        </is>
      </c>
      <c r="E112" t="n">
        <v>0</v>
      </c>
      <c r="F112" t="n">
        <v>6388631388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6388631388</v>
      </c>
      <c r="M112" t="n">
        <v>0</v>
      </c>
      <c r="N112" t="n">
        <v>0</v>
      </c>
      <c r="O112" t="inlineStr">
        <is>
          <t>0 %</t>
        </is>
      </c>
      <c r="P112" t="n">
        <v>0</v>
      </c>
      <c r="Q112" t="n">
        <v>6388631388</v>
      </c>
      <c r="R112" t="inlineStr">
        <is>
          <t>00</t>
        </is>
      </c>
    </row>
    <row r="113">
      <c r="A113" t="inlineStr">
        <is>
          <t>1.2.10.02</t>
        </is>
      </c>
      <c r="B113" t="inlineStr">
        <is>
          <t>Superavit fiscal</t>
        </is>
      </c>
      <c r="C113" t="inlineStr">
        <is>
          <t>C</t>
        </is>
      </c>
      <c r="E113" t="n">
        <v>0</v>
      </c>
      <c r="F113" t="n">
        <v>6388631388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6388631388</v>
      </c>
      <c r="M113" t="n">
        <v>0</v>
      </c>
      <c r="N113" t="n">
        <v>0</v>
      </c>
      <c r="O113" t="inlineStr">
        <is>
          <t>0 %</t>
        </is>
      </c>
      <c r="P113" t="n">
        <v>0</v>
      </c>
      <c r="Q113" t="n">
        <v>6388631388</v>
      </c>
      <c r="R113" t="inlineStr">
        <is>
          <t>00</t>
        </is>
      </c>
    </row>
    <row r="114">
      <c r="A114" t="inlineStr">
        <is>
          <t>1.2.10.02.01</t>
        </is>
      </c>
      <c r="B114" t="inlineStr">
        <is>
          <t>RECURSOS DEL BALANCE DE LIBRE DESTINACION</t>
        </is>
      </c>
      <c r="C114" t="inlineStr">
        <is>
          <t>C</t>
        </is>
      </c>
      <c r="E114" t="n">
        <v>0</v>
      </c>
      <c r="F114" t="n">
        <v>2695175271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2695175271</v>
      </c>
      <c r="M114" t="n">
        <v>0</v>
      </c>
      <c r="N114" t="n">
        <v>0</v>
      </c>
      <c r="O114" t="inlineStr">
        <is>
          <t>0 %</t>
        </is>
      </c>
      <c r="P114" t="n">
        <v>0</v>
      </c>
      <c r="Q114" t="n">
        <v>2695175271</v>
      </c>
      <c r="R114" t="inlineStr">
        <is>
          <t>98.0</t>
        </is>
      </c>
    </row>
    <row r="115">
      <c r="A115" t="inlineStr">
        <is>
          <t>1.2.10.02.03</t>
        </is>
      </c>
      <c r="B115" t="inlineStr">
        <is>
          <t>R.B. RETIROS FONPET</t>
        </is>
      </c>
      <c r="C115" t="inlineStr">
        <is>
          <t>C</t>
        </is>
      </c>
      <c r="E115" t="n">
        <v>0</v>
      </c>
      <c r="F115" t="n">
        <v>721308398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721308398</v>
      </c>
      <c r="M115" t="n">
        <v>0</v>
      </c>
      <c r="N115" t="n">
        <v>0</v>
      </c>
      <c r="O115" t="inlineStr">
        <is>
          <t>0 %</t>
        </is>
      </c>
      <c r="P115" t="n">
        <v>0</v>
      </c>
      <c r="Q115" t="n">
        <v>721308398</v>
      </c>
      <c r="R115" t="inlineStr">
        <is>
          <t>167.0</t>
        </is>
      </c>
    </row>
    <row r="116">
      <c r="A116" t="inlineStr">
        <is>
          <t>1.2.10.02.04</t>
        </is>
      </c>
      <c r="B116" t="inlineStr">
        <is>
          <t>R.B. SGP - PROPOSITO GENERAL - PROPOSITO GENERAL LIBRE INVERSION</t>
        </is>
      </c>
      <c r="C116" t="inlineStr">
        <is>
          <t>C</t>
        </is>
      </c>
      <c r="E116" t="n">
        <v>0</v>
      </c>
      <c r="F116" t="n">
        <v>461641347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461641347</v>
      </c>
      <c r="M116" t="n">
        <v>0</v>
      </c>
      <c r="N116" t="n">
        <v>0</v>
      </c>
      <c r="O116" t="inlineStr">
        <is>
          <t>0 %</t>
        </is>
      </c>
      <c r="P116" t="n">
        <v>0</v>
      </c>
      <c r="Q116" t="n">
        <v>461641347</v>
      </c>
      <c r="R116" t="inlineStr">
        <is>
          <t>151.0</t>
        </is>
      </c>
    </row>
    <row r="117">
      <c r="A117" t="inlineStr">
        <is>
          <t>1.2.10.02.05</t>
        </is>
      </c>
      <c r="B117" t="inlineStr">
        <is>
          <t>R.B. ESTAMPILLA ADULTO MAYOR</t>
        </is>
      </c>
      <c r="C117" t="inlineStr">
        <is>
          <t>C</t>
        </is>
      </c>
      <c r="E117" t="n">
        <v>0</v>
      </c>
      <c r="F117" t="n">
        <v>314775834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314775834</v>
      </c>
      <c r="M117" t="n">
        <v>0</v>
      </c>
      <c r="N117" t="n">
        <v>0</v>
      </c>
      <c r="O117" t="inlineStr">
        <is>
          <t>0 %</t>
        </is>
      </c>
      <c r="P117" t="n">
        <v>0</v>
      </c>
      <c r="Q117" t="n">
        <v>314775834</v>
      </c>
      <c r="R117" t="inlineStr">
        <is>
          <t>118.1</t>
        </is>
      </c>
    </row>
    <row r="118">
      <c r="A118" t="inlineStr">
        <is>
          <t>1.2.10.02.06</t>
        </is>
      </c>
      <c r="B118" t="inlineStr">
        <is>
          <t>R.B. MULTAS DE TRANSITO</t>
        </is>
      </c>
      <c r="C118" t="inlineStr">
        <is>
          <t>C</t>
        </is>
      </c>
      <c r="E118" t="n">
        <v>0</v>
      </c>
      <c r="F118" t="n">
        <v>306535789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306535789</v>
      </c>
      <c r="M118" t="n">
        <v>0</v>
      </c>
      <c r="N118" t="n">
        <v>0</v>
      </c>
      <c r="O118" t="inlineStr">
        <is>
          <t>0 %</t>
        </is>
      </c>
      <c r="P118" t="n">
        <v>0</v>
      </c>
      <c r="Q118" t="n">
        <v>306535789</v>
      </c>
      <c r="R118" t="inlineStr">
        <is>
          <t>125.0</t>
        </is>
      </c>
    </row>
    <row r="119">
      <c r="A119" t="inlineStr">
        <is>
          <t>1.2.10.02.07</t>
        </is>
      </c>
      <c r="B119" t="inlineStr">
        <is>
          <t>R.B. SGP - AGUA POTABLE Y SANEAMIENTO BASICO</t>
        </is>
      </c>
      <c r="C119" t="inlineStr">
        <is>
          <t>C</t>
        </is>
      </c>
      <c r="E119" t="n">
        <v>0</v>
      </c>
      <c r="F119" t="n">
        <v>286956453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286956453</v>
      </c>
      <c r="M119" t="n">
        <v>0</v>
      </c>
      <c r="N119" t="n">
        <v>0</v>
      </c>
      <c r="O119" t="inlineStr">
        <is>
          <t>0 %</t>
        </is>
      </c>
      <c r="P119" t="n">
        <v>0</v>
      </c>
      <c r="Q119" t="n">
        <v>286956453</v>
      </c>
      <c r="R119" t="inlineStr">
        <is>
          <t>157.0</t>
        </is>
      </c>
    </row>
    <row r="120">
      <c r="A120" t="inlineStr">
        <is>
          <t>1.2.10.02.08</t>
        </is>
      </c>
      <c r="B120" t="inlineStr">
        <is>
          <t>R.B. SOBRETASA BOMBERIL</t>
        </is>
      </c>
      <c r="C120" t="inlineStr">
        <is>
          <t>C</t>
        </is>
      </c>
      <c r="E120" t="n">
        <v>0</v>
      </c>
      <c r="F120" t="n">
        <v>233701775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233701775</v>
      </c>
      <c r="M120" t="n">
        <v>0</v>
      </c>
      <c r="N120" t="n">
        <v>0</v>
      </c>
      <c r="O120" t="inlineStr">
        <is>
          <t>0 %</t>
        </is>
      </c>
      <c r="P120" t="n">
        <v>0</v>
      </c>
      <c r="Q120" t="n">
        <v>233701775</v>
      </c>
      <c r="R120" t="inlineStr">
        <is>
          <t>114.0</t>
        </is>
      </c>
    </row>
    <row r="121">
      <c r="A121" t="inlineStr">
        <is>
          <t>1.2.10.02.09</t>
        </is>
      </c>
      <c r="B121" t="inlineStr">
        <is>
          <t>R.B. DEGUELLO GANADO MAYOR</t>
        </is>
      </c>
      <c r="C121" t="inlineStr">
        <is>
          <t>C</t>
        </is>
      </c>
      <c r="E121" t="n">
        <v>0</v>
      </c>
      <c r="F121" t="n">
        <v>224483389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224483389</v>
      </c>
      <c r="M121" t="n">
        <v>0</v>
      </c>
      <c r="N121" t="n">
        <v>0</v>
      </c>
      <c r="O121" t="inlineStr">
        <is>
          <t>0 %</t>
        </is>
      </c>
      <c r="P121" t="n">
        <v>0</v>
      </c>
      <c r="Q121" t="n">
        <v>224483389</v>
      </c>
      <c r="R121" t="inlineStr">
        <is>
          <t>130.1</t>
        </is>
      </c>
    </row>
    <row r="122">
      <c r="A122" t="inlineStr">
        <is>
          <t>1.2.10.02.10</t>
        </is>
      </c>
      <c r="B122" t="inlineStr">
        <is>
          <t>R.B. CONTRIBUCION SOBRE CONTRATOS DE OBRA PUBLICA</t>
        </is>
      </c>
      <c r="C122" t="inlineStr">
        <is>
          <t>C</t>
        </is>
      </c>
      <c r="E122" t="n">
        <v>0</v>
      </c>
      <c r="F122" t="n">
        <v>206213924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206213924</v>
      </c>
      <c r="M122" t="n">
        <v>0</v>
      </c>
      <c r="N122" t="n">
        <v>0</v>
      </c>
      <c r="O122" t="inlineStr">
        <is>
          <t>0 %</t>
        </is>
      </c>
      <c r="P122" t="n">
        <v>0</v>
      </c>
      <c r="Q122" t="n">
        <v>206213924</v>
      </c>
      <c r="R122" t="inlineStr">
        <is>
          <t>119.0</t>
        </is>
      </c>
    </row>
    <row r="123">
      <c r="A123" t="inlineStr">
        <is>
          <t>1.2.10.02.11</t>
        </is>
      </c>
      <c r="B123" t="inlineStr">
        <is>
          <t>R.B. ESTAMPILLA PRO CULTURA</t>
        </is>
      </c>
      <c r="C123" t="inlineStr">
        <is>
          <t>C</t>
        </is>
      </c>
      <c r="E123" t="n">
        <v>0</v>
      </c>
      <c r="F123" t="n">
        <v>150478443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150478443</v>
      </c>
      <c r="M123" t="n">
        <v>0</v>
      </c>
      <c r="N123" t="n">
        <v>0</v>
      </c>
      <c r="O123" t="inlineStr">
        <is>
          <t>0 %</t>
        </is>
      </c>
      <c r="P123" t="n">
        <v>0</v>
      </c>
      <c r="Q123" t="n">
        <v>150478443</v>
      </c>
      <c r="R123" t="inlineStr">
        <is>
          <t>118.2</t>
        </is>
      </c>
    </row>
    <row r="124">
      <c r="A124" t="inlineStr">
        <is>
          <t>1.2.10.02.12</t>
        </is>
      </c>
      <c r="B124" t="inlineStr">
        <is>
          <t>R.B. ESTAMPILLA JUSTICIA FAMILIAR</t>
        </is>
      </c>
      <c r="C124" t="inlineStr">
        <is>
          <t>C</t>
        </is>
      </c>
      <c r="E124" t="n">
        <v>0</v>
      </c>
      <c r="F124" t="n">
        <v>129473831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129473831</v>
      </c>
      <c r="M124" t="n">
        <v>0</v>
      </c>
      <c r="N124" t="n">
        <v>0</v>
      </c>
      <c r="O124" t="inlineStr">
        <is>
          <t>0 %</t>
        </is>
      </c>
      <c r="P124" t="n">
        <v>0</v>
      </c>
      <c r="Q124" t="n">
        <v>129473831</v>
      </c>
      <c r="R124" t="inlineStr">
        <is>
          <t>118.3</t>
        </is>
      </c>
    </row>
    <row r="125">
      <c r="A125" t="inlineStr">
        <is>
          <t>1.2.10.02.13</t>
        </is>
      </c>
      <c r="B125" t="inlineStr">
        <is>
          <t>R.B. TASA AL DEPORTE Y RECREACION</t>
        </is>
      </c>
      <c r="C125" t="inlineStr">
        <is>
          <t>C</t>
        </is>
      </c>
      <c r="E125" t="n">
        <v>0</v>
      </c>
      <c r="F125" t="n">
        <v>107692655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107692655</v>
      </c>
      <c r="M125" t="n">
        <v>0</v>
      </c>
      <c r="N125" t="n">
        <v>0</v>
      </c>
      <c r="O125" t="inlineStr">
        <is>
          <t>0 %</t>
        </is>
      </c>
      <c r="P125" t="n">
        <v>0</v>
      </c>
      <c r="Q125" t="n">
        <v>107692655</v>
      </c>
      <c r="R125" t="inlineStr">
        <is>
          <t>123.1</t>
        </is>
      </c>
    </row>
    <row r="126">
      <c r="A126" t="inlineStr">
        <is>
          <t>1.2.10.02.14</t>
        </is>
      </c>
      <c r="B126" t="inlineStr">
        <is>
          <t>R.B. MULTAS CODIGO NACIONAL DE POLICIA Y CONVIVENCIA</t>
        </is>
      </c>
      <c r="C126" t="inlineStr">
        <is>
          <t>C</t>
        </is>
      </c>
      <c r="E126" t="n">
        <v>0</v>
      </c>
      <c r="F126" t="n">
        <v>97822102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97822102</v>
      </c>
      <c r="M126" t="n">
        <v>0</v>
      </c>
      <c r="N126" t="n">
        <v>0</v>
      </c>
      <c r="O126" t="inlineStr">
        <is>
          <t>0 %</t>
        </is>
      </c>
      <c r="P126" t="n">
        <v>0</v>
      </c>
      <c r="Q126" t="n">
        <v>97822102</v>
      </c>
      <c r="R126" t="inlineStr">
        <is>
          <t>124.0</t>
        </is>
      </c>
    </row>
    <row r="127">
      <c r="A127" t="inlineStr">
        <is>
          <t>1.2.10.02.15</t>
        </is>
      </c>
      <c r="B127" t="inlineStr">
        <is>
          <t>R.B. SGP - PROPOSITO GENERAL - LIBRE DESTINACION MUNICIPIOS CATEGORIAS 4, 5 Y 6</t>
        </is>
      </c>
      <c r="C127" t="inlineStr">
        <is>
          <t>C</t>
        </is>
      </c>
      <c r="E127" t="n">
        <v>0</v>
      </c>
      <c r="F127" t="n">
        <v>88391121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88391121</v>
      </c>
      <c r="M127" t="n">
        <v>0</v>
      </c>
      <c r="N127" t="n">
        <v>0</v>
      </c>
      <c r="O127" t="inlineStr">
        <is>
          <t>0 %</t>
        </is>
      </c>
      <c r="P127" t="n">
        <v>0</v>
      </c>
      <c r="Q127" t="n">
        <v>88391121</v>
      </c>
      <c r="R127" t="inlineStr">
        <is>
          <t>152.0</t>
        </is>
      </c>
    </row>
    <row r="128">
      <c r="A128" t="inlineStr">
        <is>
          <t>1.2.10.02.16</t>
        </is>
      </c>
      <c r="B128" t="inlineStr">
        <is>
          <t>R.B. SGP - ASIGNACION ESPECIAL - PROGRAMAS DE ALIMENTACION ESCOLAR</t>
        </is>
      </c>
      <c r="C128" t="inlineStr">
        <is>
          <t>C</t>
        </is>
      </c>
      <c r="E128" t="n">
        <v>0</v>
      </c>
      <c r="F128" t="n">
        <v>43670843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43670843</v>
      </c>
      <c r="M128" t="n">
        <v>0</v>
      </c>
      <c r="N128" t="n">
        <v>0</v>
      </c>
      <c r="O128" t="inlineStr">
        <is>
          <t>0 %</t>
        </is>
      </c>
      <c r="P128" t="n">
        <v>0</v>
      </c>
      <c r="Q128" t="n">
        <v>43670843</v>
      </c>
      <c r="R128" t="inlineStr">
        <is>
          <t>153.0</t>
        </is>
      </c>
    </row>
    <row r="129">
      <c r="A129" t="inlineStr">
        <is>
          <t>1.2.10.02.17</t>
        </is>
      </c>
      <c r="B129" t="inlineStr">
        <is>
          <t>R.B. SGP - EDUCACION - CALIDAD  POR MATRICULA OFICIAL</t>
        </is>
      </c>
      <c r="C129" t="inlineStr">
        <is>
          <t>C</t>
        </is>
      </c>
      <c r="E129" t="n">
        <v>0</v>
      </c>
      <c r="F129" t="n">
        <v>41785441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41785441</v>
      </c>
      <c r="M129" t="n">
        <v>0</v>
      </c>
      <c r="N129" t="n">
        <v>0</v>
      </c>
      <c r="O129" t="inlineStr">
        <is>
          <t>0 %</t>
        </is>
      </c>
      <c r="P129" t="n">
        <v>0</v>
      </c>
      <c r="Q129" t="n">
        <v>41785441</v>
      </c>
      <c r="R129" t="inlineStr">
        <is>
          <t>143.0</t>
        </is>
      </c>
    </row>
    <row r="130">
      <c r="A130" t="inlineStr">
        <is>
          <t>1.2.10.02.18</t>
        </is>
      </c>
      <c r="B130" t="inlineStr">
        <is>
          <t>R.B. COLJUEGOS 25%</t>
        </is>
      </c>
      <c r="C130" t="inlineStr">
        <is>
          <t>C</t>
        </is>
      </c>
      <c r="E130" t="n">
        <v>0</v>
      </c>
      <c r="F130" t="n">
        <v>28579533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28579533</v>
      </c>
      <c r="M130" t="n">
        <v>0</v>
      </c>
      <c r="N130" t="n">
        <v>0</v>
      </c>
      <c r="O130" t="inlineStr">
        <is>
          <t>0 %</t>
        </is>
      </c>
      <c r="P130" t="n">
        <v>0</v>
      </c>
      <c r="Q130" t="n">
        <v>28579533</v>
      </c>
      <c r="R130" t="inlineStr">
        <is>
          <t>133.1</t>
        </is>
      </c>
    </row>
    <row r="131">
      <c r="A131" t="inlineStr">
        <is>
          <t>1.2.10.02.19</t>
        </is>
      </c>
      <c r="B131" t="inlineStr">
        <is>
          <t>R.B. SGP - PROPOSITO GENERAL - DEPORTE Y RECREACION</t>
        </is>
      </c>
      <c r="C131" t="inlineStr">
        <is>
          <t>C</t>
        </is>
      </c>
      <c r="E131" t="n">
        <v>0</v>
      </c>
      <c r="F131" t="n">
        <v>24480455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24480455</v>
      </c>
      <c r="M131" t="n">
        <v>0</v>
      </c>
      <c r="N131" t="n">
        <v>0</v>
      </c>
      <c r="O131" t="inlineStr">
        <is>
          <t>0 %</t>
        </is>
      </c>
      <c r="P131" t="n">
        <v>0</v>
      </c>
      <c r="Q131" t="n">
        <v>24480455</v>
      </c>
      <c r="R131" t="inlineStr">
        <is>
          <t>149.0</t>
        </is>
      </c>
    </row>
    <row r="132">
      <c r="A132" t="inlineStr">
        <is>
          <t>1.2.10.02.20</t>
        </is>
      </c>
      <c r="B132" t="inlineStr">
        <is>
          <t>R.B. JUEGOS SUPERATE</t>
        </is>
      </c>
      <c r="C132" t="inlineStr">
        <is>
          <t>C</t>
        </is>
      </c>
      <c r="E132" t="n">
        <v>0</v>
      </c>
      <c r="F132" t="n">
        <v>17601842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17601842</v>
      </c>
      <c r="M132" t="n">
        <v>0</v>
      </c>
      <c r="N132" t="n">
        <v>0</v>
      </c>
      <c r="O132" t="inlineStr">
        <is>
          <t>0 %</t>
        </is>
      </c>
      <c r="P132" t="n">
        <v>0</v>
      </c>
      <c r="Q132" t="n">
        <v>17601842</v>
      </c>
      <c r="R132" t="inlineStr">
        <is>
          <t>133.2</t>
        </is>
      </c>
    </row>
    <row r="133">
      <c r="A133" t="inlineStr">
        <is>
          <t>1.2.10.02.21</t>
        </is>
      </c>
      <c r="B133" t="inlineStr">
        <is>
          <t>R.B. SGP - SALUD - REGIMEN SUBSIDIADO</t>
        </is>
      </c>
      <c r="C133" t="inlineStr">
        <is>
          <t>C</t>
        </is>
      </c>
      <c r="E133" t="n">
        <v>0</v>
      </c>
      <c r="F133" t="n">
        <v>3811770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3811770</v>
      </c>
      <c r="M133" t="n">
        <v>0</v>
      </c>
      <c r="N133" t="n">
        <v>0</v>
      </c>
      <c r="O133" t="inlineStr">
        <is>
          <t>0 %</t>
        </is>
      </c>
      <c r="P133" t="n">
        <v>0</v>
      </c>
      <c r="Q133" t="n">
        <v>3811770</v>
      </c>
      <c r="R133" t="inlineStr">
        <is>
          <t>145.0</t>
        </is>
      </c>
    </row>
    <row r="134">
      <c r="A134" t="inlineStr">
        <is>
          <t>1.2.10.02.22</t>
        </is>
      </c>
      <c r="B134" t="inlineStr">
        <is>
          <t>R.B. TRANSFERENCIAS DE CAPITAL DE OTRAS ENTIDADES DEL GOBIERNO GENERAL</t>
        </is>
      </c>
      <c r="C134" t="inlineStr">
        <is>
          <t>C</t>
        </is>
      </c>
      <c r="E134" t="n">
        <v>0</v>
      </c>
      <c r="F134" t="n">
        <v>144710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144710</v>
      </c>
      <c r="M134" t="n">
        <v>0</v>
      </c>
      <c r="N134" t="n">
        <v>0</v>
      </c>
      <c r="O134" t="inlineStr">
        <is>
          <t>0 %</t>
        </is>
      </c>
      <c r="P134" t="n">
        <v>0</v>
      </c>
      <c r="Q134" t="n">
        <v>144710</v>
      </c>
      <c r="R134" t="inlineStr">
        <is>
          <t>164.0</t>
        </is>
      </c>
    </row>
    <row r="135">
      <c r="A135" t="inlineStr">
        <is>
          <t>1.2.10.02.23</t>
        </is>
      </c>
      <c r="B135" t="inlineStr">
        <is>
          <t>R.B. SGP - SALUD - SALUD PUBLICA</t>
        </is>
      </c>
      <c r="C135" t="inlineStr">
        <is>
          <t>C</t>
        </is>
      </c>
      <c r="E135" t="n">
        <v>0</v>
      </c>
      <c r="F135" t="n">
        <v>30778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30778</v>
      </c>
      <c r="M135" t="n">
        <v>0</v>
      </c>
      <c r="N135" t="n">
        <v>0</v>
      </c>
      <c r="O135" t="inlineStr">
        <is>
          <t>0 %</t>
        </is>
      </c>
      <c r="P135" t="n">
        <v>0</v>
      </c>
      <c r="Q135" t="n">
        <v>30778</v>
      </c>
      <c r="R135" t="inlineStr">
        <is>
          <t>146.0</t>
        </is>
      </c>
    </row>
    <row r="136">
      <c r="A136" t="inlineStr">
        <is>
          <t>1.2.10.02.24</t>
        </is>
      </c>
      <c r="B136" t="inlineStr">
        <is>
          <t>R.B. SGP - PROPOSITO GENERAL - CULTURA</t>
        </is>
      </c>
      <c r="C136" t="inlineStr">
        <is>
          <t>C</t>
        </is>
      </c>
      <c r="E136" t="n">
        <v>0</v>
      </c>
      <c r="F136" t="n">
        <v>2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2</v>
      </c>
      <c r="M136" t="n">
        <v>0</v>
      </c>
      <c r="N136" t="n">
        <v>0</v>
      </c>
      <c r="O136" t="inlineStr">
        <is>
          <t>0 %</t>
        </is>
      </c>
      <c r="P136" t="n">
        <v>0</v>
      </c>
      <c r="Q136" t="n">
        <v>2</v>
      </c>
      <c r="R136" t="inlineStr">
        <is>
          <t>150.0</t>
        </is>
      </c>
    </row>
    <row r="137">
      <c r="A137" t="inlineStr">
        <is>
          <t>1.2.10.02.25</t>
        </is>
      </c>
      <c r="B137" t="inlineStr">
        <is>
          <t>R.B. Otras unidades de gobierno (IAT)</t>
        </is>
      </c>
      <c r="C137" t="inlineStr">
        <is>
          <t>C</t>
        </is>
      </c>
      <c r="E137" t="n">
        <v>0</v>
      </c>
      <c r="F137" t="n">
        <v>203875682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203875682</v>
      </c>
      <c r="M137" t="n">
        <v>0</v>
      </c>
      <c r="N137" t="n">
        <v>0</v>
      </c>
      <c r="O137" t="inlineStr">
        <is>
          <t>0 %</t>
        </is>
      </c>
      <c r="P137" t="n">
        <v>0</v>
      </c>
      <c r="Q137" t="n">
        <v>203875682</v>
      </c>
      <c r="R137" t="inlineStr">
        <is>
          <t>133.0</t>
        </is>
      </c>
    </row>
    <row r="138">
      <c r="A138" t="inlineStr">
        <is>
          <t>1.2.12</t>
        </is>
      </c>
      <c r="B138" t="inlineStr">
        <is>
          <t>Retiros FONPET</t>
        </is>
      </c>
      <c r="C138" t="inlineStr">
        <is>
          <t>C</t>
        </is>
      </c>
      <c r="E138" t="n">
        <v>750000000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750000000</v>
      </c>
      <c r="M138" t="n">
        <v>0</v>
      </c>
      <c r="N138" t="n">
        <v>0</v>
      </c>
      <c r="O138" t="inlineStr">
        <is>
          <t>0 %</t>
        </is>
      </c>
      <c r="P138" t="n">
        <v>0</v>
      </c>
      <c r="Q138" t="n">
        <v>750000000</v>
      </c>
      <c r="R138" t="inlineStr">
        <is>
          <t>00</t>
        </is>
      </c>
    </row>
    <row r="139">
      <c r="A139" t="inlineStr">
        <is>
          <t>1.2.12.09</t>
        </is>
      </c>
      <c r="B139" t="inlineStr">
        <is>
          <t>Para el pago de obligaciones pensionales corrientes</t>
        </is>
      </c>
      <c r="C139" t="inlineStr">
        <is>
          <t>C</t>
        </is>
      </c>
      <c r="E139" t="n">
        <v>750000000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750000000</v>
      </c>
      <c r="M139" t="n">
        <v>0</v>
      </c>
      <c r="N139" t="n">
        <v>0</v>
      </c>
      <c r="O139" t="inlineStr">
        <is>
          <t>0 %</t>
        </is>
      </c>
      <c r="P139" t="n">
        <v>0</v>
      </c>
      <c r="Q139" t="n">
        <v>750000000</v>
      </c>
      <c r="R139" t="inlineStr">
        <is>
          <t>167.0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34"/>
  <sheetViews>
    <sheetView workbookViewId="0">
      <selection activeCell="A1" sqref="A1"/>
    </sheetView>
  </sheetViews>
  <sheetFormatPr baseColWidth="8" defaultRowHeight="15"/>
  <sheetData>
    <row r="1"/>
    <row r="2">
      <c r="A2" t="inlineStr">
        <is>
          <t>UNIDAD EJECUTORA</t>
        </is>
      </c>
      <c r="B2" t="inlineStr">
        <is>
          <t>SECTOR</t>
        </is>
      </c>
      <c r="C2" t="inlineStr">
        <is>
          <t>SUBPROGRAMA</t>
        </is>
      </c>
      <c r="D2" t="inlineStr">
        <is>
          <t>PROGRAMA</t>
        </is>
      </c>
      <c r="E2" t="inlineStr">
        <is>
          <t>PRODUCTO</t>
        </is>
      </c>
      <c r="F2" t="inlineStr">
        <is>
          <t xml:space="preserve">NOMBRE DEL PRODUCTO </t>
        </is>
      </c>
      <c r="G2" t="inlineStr">
        <is>
          <t>BPIN</t>
        </is>
      </c>
      <c r="H2" t="inlineStr">
        <is>
          <t xml:space="preserve">NOMBRE DEL BPIN </t>
        </is>
      </c>
      <c r="I2" t="inlineStr">
        <is>
          <t>PRODUCTO DANE</t>
        </is>
      </c>
      <c r="J2" t="inlineStr">
        <is>
          <t>NOMBRE DEL PRODUCTO DANE</t>
        </is>
      </c>
      <c r="K2" t="inlineStr">
        <is>
          <t>ATRIBUTO</t>
        </is>
      </c>
      <c r="L2" t="inlineStr">
        <is>
          <t>NOMBRE DEL ATRIBUTO</t>
        </is>
      </c>
      <c r="M2" t="inlineStr">
        <is>
          <t>DEPENDENCIA</t>
        </is>
      </c>
      <c r="N2" t="inlineStr">
        <is>
          <t xml:space="preserve">RUBRO </t>
        </is>
      </c>
      <c r="O2" t="inlineStr">
        <is>
          <t xml:space="preserve">NOMBRE DEL RUBRO </t>
        </is>
      </c>
      <c r="P2" t="inlineStr">
        <is>
          <t>FUENTE DE RECURSO</t>
        </is>
      </c>
      <c r="Q2" t="inlineStr">
        <is>
          <t xml:space="preserve">NOMBRE DE FUENTE DE RECURSO </t>
        </is>
      </c>
      <c r="R2" t="inlineStr">
        <is>
          <t xml:space="preserve">PRESUPUESTO INICIAL </t>
        </is>
      </c>
      <c r="S2" t="inlineStr">
        <is>
          <t>ADICIONES</t>
        </is>
      </c>
      <c r="T2" t="inlineStr">
        <is>
          <t xml:space="preserve">REDUCCIONES </t>
        </is>
      </c>
      <c r="U2" t="inlineStr">
        <is>
          <t>CREDITOS</t>
        </is>
      </c>
      <c r="V2" t="inlineStr">
        <is>
          <t>CONTRACREDITOS</t>
        </is>
      </c>
      <c r="W2" t="inlineStr">
        <is>
          <t>LIBERACIONES</t>
        </is>
      </c>
      <c r="X2" t="inlineStr">
        <is>
          <t xml:space="preserve">APLAZAMIENTOS
</t>
        </is>
      </c>
      <c r="Y2" t="inlineStr">
        <is>
          <t xml:space="preserve">PRESUPUESTO DEFINITIVO </t>
        </is>
      </c>
      <c r="Z2" t="inlineStr">
        <is>
          <t>DISPONIBILIDAD</t>
        </is>
      </c>
      <c r="AA2" t="inlineStr">
        <is>
          <t xml:space="preserve">REGISTRO </t>
        </is>
      </c>
      <c r="AB2" t="inlineStr">
        <is>
          <t xml:space="preserve">DEFINITIVAS 
</t>
        </is>
      </c>
      <c r="AC2" t="inlineStr">
        <is>
          <t>PAGOS</t>
        </is>
      </c>
      <c r="AD2" t="inlineStr">
        <is>
          <t>SALDO POR EJECUTAR</t>
        </is>
      </c>
      <c r="AE2" t="inlineStr">
        <is>
          <t xml:space="preserve">% EJECUTADO
</t>
        </is>
      </c>
    </row>
    <row r="3">
      <c r="A3" t="inlineStr">
        <is>
          <t>1 - ADMINISTRACIÓN CENTRAL</t>
        </is>
      </c>
      <c r="B3" t="inlineStr">
        <is>
          <t>00 - SIN SECTOR</t>
        </is>
      </c>
      <c r="C3" t="inlineStr">
        <is>
          <t>00</t>
        </is>
      </c>
      <c r="D3" t="inlineStr">
        <is>
          <t>0000</t>
        </is>
      </c>
      <c r="E3" t="inlineStr">
        <is>
          <t>0000000</t>
        </is>
      </c>
      <c r="F3" t="inlineStr">
        <is>
          <t>SIN PRODUCTO</t>
        </is>
      </c>
      <c r="G3" t="inlineStr">
        <is>
          <t>00</t>
        </is>
      </c>
      <c r="H3" t="inlineStr">
        <is>
          <t>SIN CODIGO BPIN</t>
        </is>
      </c>
      <c r="I3" t="inlineStr">
        <is>
          <t>00</t>
        </is>
      </c>
      <c r="J3" t="inlineStr">
        <is>
          <t>SIN PRODUCTO DANE</t>
        </is>
      </c>
      <c r="K3" t="inlineStr">
        <is>
          <t>00</t>
        </is>
      </c>
      <c r="L3" t="inlineStr">
        <is>
          <t>SIN ATRIBUTO</t>
        </is>
      </c>
      <c r="N3" t="inlineStr">
        <is>
          <t>2</t>
        </is>
      </c>
      <c r="O3" t="inlineStr">
        <is>
          <t>Gastos</t>
        </is>
      </c>
      <c r="P3" t="inlineStr">
        <is>
          <t>00</t>
        </is>
      </c>
      <c r="Q3" t="inlineStr">
        <is>
          <t>RECURSO PROPIOS</t>
        </is>
      </c>
      <c r="R3" t="n">
        <v>82561221976</v>
      </c>
      <c r="S3" t="n">
        <v>8944986607.639999</v>
      </c>
      <c r="T3" t="n">
        <v>56271499</v>
      </c>
      <c r="U3" t="n">
        <v>4173600000</v>
      </c>
      <c r="V3" t="n">
        <v>4177200000</v>
      </c>
      <c r="W3" t="n">
        <v>0</v>
      </c>
      <c r="X3" t="n">
        <v>0</v>
      </c>
      <c r="Y3" t="n">
        <v>91446337084.64</v>
      </c>
      <c r="Z3" t="n">
        <v>37402348541.49</v>
      </c>
      <c r="AA3" t="n">
        <v>30235697921.49</v>
      </c>
      <c r="AB3" t="n">
        <v>21246471122.19</v>
      </c>
      <c r="AC3" t="n">
        <v>20619424342.39</v>
      </c>
      <c r="AD3" t="n">
        <v>61210639163.15</v>
      </c>
      <c r="AE3" t="n">
        <v>33.06</v>
      </c>
    </row>
    <row r="4">
      <c r="A4" t="inlineStr">
        <is>
          <t>1 - ADMINISTRACIÓN CENTRAL</t>
        </is>
      </c>
      <c r="B4" t="inlineStr">
        <is>
          <t>00 - SIN SECTOR</t>
        </is>
      </c>
      <c r="C4" t="inlineStr">
        <is>
          <t>00</t>
        </is>
      </c>
      <c r="D4" t="inlineStr">
        <is>
          <t>0000</t>
        </is>
      </c>
      <c r="E4" t="inlineStr">
        <is>
          <t>0000000</t>
        </is>
      </c>
      <c r="F4" t="inlineStr">
        <is>
          <t>SIN PRODUCTO</t>
        </is>
      </c>
      <c r="G4" t="inlineStr">
        <is>
          <t>00</t>
        </is>
      </c>
      <c r="H4" t="inlineStr">
        <is>
          <t>SIN CODIGO BPIN</t>
        </is>
      </c>
      <c r="I4" t="inlineStr">
        <is>
          <t>00</t>
        </is>
      </c>
      <c r="J4" t="inlineStr">
        <is>
          <t>SIN PRODUCTO DANE</t>
        </is>
      </c>
      <c r="K4" t="inlineStr">
        <is>
          <t>00</t>
        </is>
      </c>
      <c r="L4" t="inlineStr">
        <is>
          <t>SIN ATRIBUTO</t>
        </is>
      </c>
      <c r="N4" t="inlineStr">
        <is>
          <t>2.1</t>
        </is>
      </c>
      <c r="O4" t="inlineStr">
        <is>
          <t>Funcionamiento</t>
        </is>
      </c>
      <c r="P4" t="inlineStr">
        <is>
          <t>00</t>
        </is>
      </c>
      <c r="Q4" t="inlineStr">
        <is>
          <t>RECURSO PROPIOS</t>
        </is>
      </c>
      <c r="R4" t="n">
        <v>26075426309</v>
      </c>
      <c r="S4" t="n">
        <v>483696989.24</v>
      </c>
      <c r="T4" t="n">
        <v>56271499</v>
      </c>
      <c r="U4" t="n">
        <v>1821400000</v>
      </c>
      <c r="V4" t="n">
        <v>1825000000</v>
      </c>
      <c r="W4" t="n">
        <v>0</v>
      </c>
      <c r="X4" t="n">
        <v>0</v>
      </c>
      <c r="Y4" t="n">
        <v>26499251799.24</v>
      </c>
      <c r="Z4" t="n">
        <v>10751458893.82</v>
      </c>
      <c r="AA4" t="n">
        <v>9661996785.82</v>
      </c>
      <c r="AB4" t="n">
        <v>7372618830.15</v>
      </c>
      <c r="AC4" t="n">
        <v>6934599723.28</v>
      </c>
      <c r="AD4" t="n">
        <v>16837255013.42</v>
      </c>
      <c r="AE4" t="n">
        <v>36.46</v>
      </c>
    </row>
    <row r="5">
      <c r="A5" t="inlineStr">
        <is>
          <t>1 - ADMINISTRACIÓN CENTRAL</t>
        </is>
      </c>
      <c r="B5" t="inlineStr">
        <is>
          <t>00 - SIN SECTOR</t>
        </is>
      </c>
      <c r="C5" t="inlineStr">
        <is>
          <t>00</t>
        </is>
      </c>
      <c r="D5" t="inlineStr">
        <is>
          <t>0000</t>
        </is>
      </c>
      <c r="E5" t="inlineStr">
        <is>
          <t>0000000</t>
        </is>
      </c>
      <c r="F5" t="inlineStr">
        <is>
          <t>SIN PRODUCTO</t>
        </is>
      </c>
      <c r="G5" t="inlineStr">
        <is>
          <t>00</t>
        </is>
      </c>
      <c r="H5" t="inlineStr">
        <is>
          <t>SIN CODIGO BPIN</t>
        </is>
      </c>
      <c r="I5" t="inlineStr">
        <is>
          <t>00</t>
        </is>
      </c>
      <c r="J5" t="inlineStr">
        <is>
          <t>SIN PRODUCTO DANE</t>
        </is>
      </c>
      <c r="K5" t="inlineStr">
        <is>
          <t>00</t>
        </is>
      </c>
      <c r="L5" t="inlineStr">
        <is>
          <t>SIN ATRIBUTO</t>
        </is>
      </c>
      <c r="N5" t="inlineStr">
        <is>
          <t>2.1.1</t>
        </is>
      </c>
      <c r="O5" t="inlineStr">
        <is>
          <t>Gastos de personal</t>
        </is>
      </c>
      <c r="P5" t="inlineStr">
        <is>
          <t>00</t>
        </is>
      </c>
      <c r="Q5" t="inlineStr">
        <is>
          <t>RECURSO PROPIOS</t>
        </is>
      </c>
      <c r="R5" t="n">
        <v>10596091559</v>
      </c>
      <c r="S5" t="n">
        <v>0</v>
      </c>
      <c r="T5" t="n">
        <v>56271499</v>
      </c>
      <c r="U5" t="n">
        <v>0</v>
      </c>
      <c r="V5" t="n">
        <v>185000000</v>
      </c>
      <c r="W5" t="n">
        <v>0</v>
      </c>
      <c r="X5" t="n">
        <v>0</v>
      </c>
      <c r="Y5" t="n">
        <v>10354820060</v>
      </c>
      <c r="Z5" t="n">
        <v>3354802855</v>
      </c>
      <c r="AA5" t="n">
        <v>3285380120</v>
      </c>
      <c r="AB5" t="n">
        <v>3224445200</v>
      </c>
      <c r="AC5" t="n">
        <v>3173693595</v>
      </c>
      <c r="AD5" t="n">
        <v>7069439940</v>
      </c>
      <c r="AE5" t="n">
        <v>31.73</v>
      </c>
    </row>
    <row r="6">
      <c r="A6" t="inlineStr">
        <is>
          <t>1 - ADMINISTRACIÓN CENTRAL</t>
        </is>
      </c>
      <c r="B6" t="inlineStr">
        <is>
          <t>00 - SIN SECTOR</t>
        </is>
      </c>
      <c r="C6" t="inlineStr">
        <is>
          <t>00</t>
        </is>
      </c>
      <c r="D6" t="inlineStr">
        <is>
          <t>0000</t>
        </is>
      </c>
      <c r="E6" t="inlineStr">
        <is>
          <t>0000000</t>
        </is>
      </c>
      <c r="F6" t="inlineStr">
        <is>
          <t>SIN PRODUCTO</t>
        </is>
      </c>
      <c r="G6" t="inlineStr">
        <is>
          <t>00</t>
        </is>
      </c>
      <c r="H6" t="inlineStr">
        <is>
          <t>SIN CODIGO BPIN</t>
        </is>
      </c>
      <c r="I6" t="inlineStr">
        <is>
          <t>00</t>
        </is>
      </c>
      <c r="J6" t="inlineStr">
        <is>
          <t>SIN PRODUCTO DANE</t>
        </is>
      </c>
      <c r="K6" t="inlineStr">
        <is>
          <t>00</t>
        </is>
      </c>
      <c r="L6" t="inlineStr">
        <is>
          <t>SIN ATRIBUTO</t>
        </is>
      </c>
      <c r="N6" t="inlineStr">
        <is>
          <t>2.1.1.01</t>
        </is>
      </c>
      <c r="O6" t="inlineStr">
        <is>
          <t>Planta de personal permanente</t>
        </is>
      </c>
      <c r="P6" t="inlineStr">
        <is>
          <t>00</t>
        </is>
      </c>
      <c r="Q6" t="inlineStr">
        <is>
          <t>RECURSO PROPIOS</t>
        </is>
      </c>
      <c r="R6" t="n">
        <v>10564091559</v>
      </c>
      <c r="S6" t="n">
        <v>0</v>
      </c>
      <c r="T6" t="n">
        <v>56271499</v>
      </c>
      <c r="U6" t="n">
        <v>0</v>
      </c>
      <c r="V6" t="n">
        <v>185000000</v>
      </c>
      <c r="W6" t="n">
        <v>0</v>
      </c>
      <c r="X6" t="n">
        <v>0</v>
      </c>
      <c r="Y6" t="n">
        <v>10322820060</v>
      </c>
      <c r="Z6" t="n">
        <v>3343802855</v>
      </c>
      <c r="AA6" t="n">
        <v>3274380120</v>
      </c>
      <c r="AB6" t="n">
        <v>3221445200</v>
      </c>
      <c r="AC6" t="n">
        <v>3170693595</v>
      </c>
      <c r="AD6" t="n">
        <v>7048439940</v>
      </c>
      <c r="AE6" t="n">
        <v>31.72</v>
      </c>
    </row>
    <row r="7">
      <c r="A7" t="inlineStr">
        <is>
          <t>1 - ADMINISTRACIÓN CENTRAL</t>
        </is>
      </c>
      <c r="B7" t="inlineStr">
        <is>
          <t>00 - SIN SECTOR</t>
        </is>
      </c>
      <c r="C7" t="inlineStr">
        <is>
          <t>00</t>
        </is>
      </c>
      <c r="D7" t="inlineStr">
        <is>
          <t>0000</t>
        </is>
      </c>
      <c r="E7" t="inlineStr">
        <is>
          <t>0000000</t>
        </is>
      </c>
      <c r="F7" t="inlineStr">
        <is>
          <t>SIN PRODUCTO</t>
        </is>
      </c>
      <c r="G7" t="inlineStr">
        <is>
          <t>00</t>
        </is>
      </c>
      <c r="H7" t="inlineStr">
        <is>
          <t>SIN CODIGO BPIN</t>
        </is>
      </c>
      <c r="I7" t="inlineStr">
        <is>
          <t>00</t>
        </is>
      </c>
      <c r="J7" t="inlineStr">
        <is>
          <t>SIN PRODUCTO DANE</t>
        </is>
      </c>
      <c r="K7" t="inlineStr">
        <is>
          <t>00</t>
        </is>
      </c>
      <c r="L7" t="inlineStr">
        <is>
          <t>SIN ATRIBUTO</t>
        </is>
      </c>
      <c r="N7" t="inlineStr">
        <is>
          <t>2.1.1.01.01</t>
        </is>
      </c>
      <c r="O7" t="inlineStr">
        <is>
          <t>Factores constitutivos de salario</t>
        </is>
      </c>
      <c r="P7" t="inlineStr">
        <is>
          <t>00</t>
        </is>
      </c>
      <c r="Q7" t="inlineStr">
        <is>
          <t>RECURSO PROPIOS</t>
        </is>
      </c>
      <c r="R7" t="n">
        <v>7381696013</v>
      </c>
      <c r="S7" t="n">
        <v>0</v>
      </c>
      <c r="T7" t="n">
        <v>56271499</v>
      </c>
      <c r="U7" t="n">
        <v>0</v>
      </c>
      <c r="V7" t="n">
        <v>185000000</v>
      </c>
      <c r="W7" t="n">
        <v>0</v>
      </c>
      <c r="X7" t="n">
        <v>0</v>
      </c>
      <c r="Y7" t="n">
        <v>7140424514</v>
      </c>
      <c r="Z7" t="n">
        <v>2476084791</v>
      </c>
      <c r="AA7" t="n">
        <v>2459363990</v>
      </c>
      <c r="AB7" t="n">
        <v>2456373575</v>
      </c>
      <c r="AC7" t="n">
        <v>2413542384</v>
      </c>
      <c r="AD7" t="n">
        <v>4681060524</v>
      </c>
      <c r="AE7" t="n">
        <v>34.44</v>
      </c>
    </row>
    <row r="8">
      <c r="A8" t="inlineStr">
        <is>
          <t>1 - ADMINISTRACIÓN CENTRAL</t>
        </is>
      </c>
      <c r="B8" t="inlineStr">
        <is>
          <t>00 - SIN SECTOR</t>
        </is>
      </c>
      <c r="C8" t="inlineStr">
        <is>
          <t>00</t>
        </is>
      </c>
      <c r="D8" t="inlineStr">
        <is>
          <t>0000</t>
        </is>
      </c>
      <c r="E8" t="inlineStr">
        <is>
          <t>0000000</t>
        </is>
      </c>
      <c r="F8" t="inlineStr">
        <is>
          <t>SIN PRODUCTO</t>
        </is>
      </c>
      <c r="G8" t="inlineStr">
        <is>
          <t>00</t>
        </is>
      </c>
      <c r="H8" t="inlineStr">
        <is>
          <t>SIN CODIGO BPIN</t>
        </is>
      </c>
      <c r="I8" t="inlineStr">
        <is>
          <t>00</t>
        </is>
      </c>
      <c r="J8" t="inlineStr">
        <is>
          <t>SIN PRODUCTO DANE</t>
        </is>
      </c>
      <c r="K8" t="inlineStr">
        <is>
          <t>00</t>
        </is>
      </c>
      <c r="L8" t="inlineStr">
        <is>
          <t>SIN ATRIBUTO</t>
        </is>
      </c>
      <c r="N8" t="inlineStr">
        <is>
          <t>2.1.1.01.01.001</t>
        </is>
      </c>
      <c r="O8" t="inlineStr">
        <is>
          <t>Factores salariales comunes</t>
        </is>
      </c>
      <c r="P8" t="inlineStr">
        <is>
          <t>00</t>
        </is>
      </c>
      <c r="Q8" t="inlineStr">
        <is>
          <t>RECURSO PROPIOS</t>
        </is>
      </c>
      <c r="R8" t="n">
        <v>7381696013</v>
      </c>
      <c r="S8" t="n">
        <v>0</v>
      </c>
      <c r="T8" t="n">
        <v>56271499</v>
      </c>
      <c r="U8" t="n">
        <v>0</v>
      </c>
      <c r="V8" t="n">
        <v>185000000</v>
      </c>
      <c r="W8" t="n">
        <v>0</v>
      </c>
      <c r="X8" t="n">
        <v>0</v>
      </c>
      <c r="Y8" t="n">
        <v>7140424514</v>
      </c>
      <c r="Z8" t="n">
        <v>2476084791</v>
      </c>
      <c r="AA8" t="n">
        <v>2459363990</v>
      </c>
      <c r="AB8" t="n">
        <v>2456373575</v>
      </c>
      <c r="AC8" t="n">
        <v>2413542384</v>
      </c>
      <c r="AD8" t="n">
        <v>4681060524</v>
      </c>
      <c r="AE8" t="n">
        <v>34.44</v>
      </c>
    </row>
    <row r="9">
      <c r="A9" t="inlineStr">
        <is>
          <t>1 - ADMINISTRACIÓN CENTRAL</t>
        </is>
      </c>
      <c r="B9" t="inlineStr">
        <is>
          <t>00 - SIN SECTOR</t>
        </is>
      </c>
      <c r="C9" t="inlineStr">
        <is>
          <t>00</t>
        </is>
      </c>
      <c r="D9" t="inlineStr">
        <is>
          <t>0000</t>
        </is>
      </c>
      <c r="E9" t="inlineStr">
        <is>
          <t>0000000</t>
        </is>
      </c>
      <c r="F9" t="inlineStr">
        <is>
          <t>SIN PRODUCTO</t>
        </is>
      </c>
      <c r="G9" t="inlineStr">
        <is>
          <t>00</t>
        </is>
      </c>
      <c r="H9" t="inlineStr">
        <is>
          <t>SIN CODIGO BPIN</t>
        </is>
      </c>
      <c r="I9" t="inlineStr">
        <is>
          <t>00</t>
        </is>
      </c>
      <c r="J9" t="inlineStr">
        <is>
          <t>SIN PRODUCTO DANE</t>
        </is>
      </c>
      <c r="K9" t="inlineStr">
        <is>
          <t>00</t>
        </is>
      </c>
      <c r="L9" t="inlineStr">
        <is>
          <t>SIN ATRIBUTO</t>
        </is>
      </c>
      <c r="N9" t="inlineStr">
        <is>
          <t>2.1.1.01.01.001.01</t>
        </is>
      </c>
      <c r="O9" t="inlineStr">
        <is>
          <t>Sueldo basico</t>
        </is>
      </c>
      <c r="P9" t="inlineStr">
        <is>
          <t>1.2.1.0.00</t>
        </is>
      </c>
      <c r="Q9" t="inlineStr">
        <is>
          <t>INGRESOS CORRIENTES DE LIBRE DESTINACION</t>
        </is>
      </c>
      <c r="R9" t="n">
        <v>5862483914</v>
      </c>
      <c r="S9" t="n">
        <v>0</v>
      </c>
      <c r="T9" t="n">
        <v>56271499</v>
      </c>
      <c r="U9" t="n">
        <v>0</v>
      </c>
      <c r="V9" t="n">
        <v>185000000</v>
      </c>
      <c r="W9" t="n">
        <v>0</v>
      </c>
      <c r="X9" t="n">
        <v>0</v>
      </c>
      <c r="Y9" t="n">
        <v>5621212415</v>
      </c>
      <c r="Z9" t="n">
        <v>2142344190</v>
      </c>
      <c r="AA9" t="n">
        <v>2142344190</v>
      </c>
      <c r="AB9" t="n">
        <v>2140338642</v>
      </c>
      <c r="AC9" t="n">
        <v>2134808962</v>
      </c>
      <c r="AD9" t="n">
        <v>3478868225</v>
      </c>
      <c r="AE9" t="n">
        <v>38.11</v>
      </c>
    </row>
    <row r="10">
      <c r="A10" t="inlineStr">
        <is>
          <t>1 - ADMINISTRACIÓN CENTRAL</t>
        </is>
      </c>
      <c r="B10" t="inlineStr">
        <is>
          <t>00 - SIN SECTOR</t>
        </is>
      </c>
      <c r="C10" t="inlineStr">
        <is>
          <t>00</t>
        </is>
      </c>
      <c r="D10" t="inlineStr">
        <is>
          <t>0000</t>
        </is>
      </c>
      <c r="E10" t="inlineStr">
        <is>
          <t>0000000</t>
        </is>
      </c>
      <c r="F10" t="inlineStr">
        <is>
          <t>SIN PRODUCTO</t>
        </is>
      </c>
      <c r="G10" t="inlineStr">
        <is>
          <t>00</t>
        </is>
      </c>
      <c r="H10" t="inlineStr">
        <is>
          <t>SIN CODIGO BPIN</t>
        </is>
      </c>
      <c r="I10" t="inlineStr">
        <is>
          <t>00</t>
        </is>
      </c>
      <c r="J10" t="inlineStr">
        <is>
          <t>SIN PRODUCTO DANE</t>
        </is>
      </c>
      <c r="K10" t="inlineStr">
        <is>
          <t>00</t>
        </is>
      </c>
      <c r="L10" t="inlineStr">
        <is>
          <t>SIN ATRIBUTO</t>
        </is>
      </c>
      <c r="N10" t="inlineStr">
        <is>
          <t>2.1.1.01.01.001.04</t>
        </is>
      </c>
      <c r="O10" t="inlineStr">
        <is>
          <t>Subsidio de alimentacion</t>
        </is>
      </c>
      <c r="P10" t="inlineStr">
        <is>
          <t>1.2.1.0.00</t>
        </is>
      </c>
      <c r="Q10" t="inlineStr">
        <is>
          <t>INGRESOS CORRIENTES DE LIBRE DESTINACION</t>
        </is>
      </c>
      <c r="R10" t="n">
        <v>51036816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51036816</v>
      </c>
      <c r="Z10" t="n">
        <v>20625859</v>
      </c>
      <c r="AA10" t="n">
        <v>20625859</v>
      </c>
      <c r="AB10" t="n">
        <v>20625859</v>
      </c>
      <c r="AC10" t="n">
        <v>19843219</v>
      </c>
      <c r="AD10" t="n">
        <v>30410957</v>
      </c>
      <c r="AE10" t="n">
        <v>40.41</v>
      </c>
    </row>
    <row r="11">
      <c r="A11" t="inlineStr">
        <is>
          <t>1 - ADMINISTRACIÓN CENTRAL</t>
        </is>
      </c>
      <c r="B11" t="inlineStr">
        <is>
          <t>00 - SIN SECTOR</t>
        </is>
      </c>
      <c r="C11" t="inlineStr">
        <is>
          <t>00</t>
        </is>
      </c>
      <c r="D11" t="inlineStr">
        <is>
          <t>0000</t>
        </is>
      </c>
      <c r="E11" t="inlineStr">
        <is>
          <t>0000000</t>
        </is>
      </c>
      <c r="F11" t="inlineStr">
        <is>
          <t>SIN PRODUCTO</t>
        </is>
      </c>
      <c r="G11" t="inlineStr">
        <is>
          <t>00</t>
        </is>
      </c>
      <c r="H11" t="inlineStr">
        <is>
          <t>SIN CODIGO BPIN</t>
        </is>
      </c>
      <c r="I11" t="inlineStr">
        <is>
          <t>00</t>
        </is>
      </c>
      <c r="J11" t="inlineStr">
        <is>
          <t>SIN PRODUCTO DANE</t>
        </is>
      </c>
      <c r="K11" t="inlineStr">
        <is>
          <t>00</t>
        </is>
      </c>
      <c r="L11" t="inlineStr">
        <is>
          <t>SIN ATRIBUTO</t>
        </is>
      </c>
      <c r="N11" t="inlineStr">
        <is>
          <t>2.1.1.01.01.001.05</t>
        </is>
      </c>
      <c r="O11" t="inlineStr">
        <is>
          <t>Auxilio de transporte</t>
        </is>
      </c>
      <c r="P11" t="inlineStr">
        <is>
          <t>1.2.1.0.00</t>
        </is>
      </c>
      <c r="Q11" t="inlineStr">
        <is>
          <t>INGRESOS CORRIENTES DE LIBRE DESTINACION</t>
        </is>
      </c>
      <c r="R11" t="n">
        <v>110400000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110400000</v>
      </c>
      <c r="Z11" t="n">
        <v>69157077</v>
      </c>
      <c r="AA11" t="n">
        <v>69157077</v>
      </c>
      <c r="AB11" t="n">
        <v>69157077</v>
      </c>
      <c r="AC11" t="n">
        <v>69157077</v>
      </c>
      <c r="AD11" t="n">
        <v>41242923</v>
      </c>
      <c r="AE11" t="n">
        <v>62.64</v>
      </c>
    </row>
    <row r="12">
      <c r="A12" t="inlineStr">
        <is>
          <t>1 - ADMINISTRACIÓN CENTRAL</t>
        </is>
      </c>
      <c r="B12" t="inlineStr">
        <is>
          <t>00 - SIN SECTOR</t>
        </is>
      </c>
      <c r="C12" t="inlineStr">
        <is>
          <t>00</t>
        </is>
      </c>
      <c r="D12" t="inlineStr">
        <is>
          <t>0000</t>
        </is>
      </c>
      <c r="E12" t="inlineStr">
        <is>
          <t>0000000</t>
        </is>
      </c>
      <c r="F12" t="inlineStr">
        <is>
          <t>SIN PRODUCTO</t>
        </is>
      </c>
      <c r="G12" t="inlineStr">
        <is>
          <t>00</t>
        </is>
      </c>
      <c r="H12" t="inlineStr">
        <is>
          <t>SIN CODIGO BPIN</t>
        </is>
      </c>
      <c r="I12" t="inlineStr">
        <is>
          <t>00</t>
        </is>
      </c>
      <c r="J12" t="inlineStr">
        <is>
          <t>SIN PRODUCTO DANE</t>
        </is>
      </c>
      <c r="K12" t="inlineStr">
        <is>
          <t>00</t>
        </is>
      </c>
      <c r="L12" t="inlineStr">
        <is>
          <t>SIN ATRIBUTO</t>
        </is>
      </c>
      <c r="N12" t="inlineStr">
        <is>
          <t>2.1.1.01.01.001.06</t>
        </is>
      </c>
      <c r="O12" t="inlineStr">
        <is>
          <t>Prima de servicio</t>
        </is>
      </c>
      <c r="P12" t="inlineStr">
        <is>
          <t>1.2.1.0.00</t>
        </is>
      </c>
      <c r="Q12" t="inlineStr">
        <is>
          <t>INGRESOS CORRIENTES DE LIBRE DESTINACION</t>
        </is>
      </c>
      <c r="R12" t="n">
        <v>257724925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257724925</v>
      </c>
      <c r="Z12" t="n">
        <v>15696822</v>
      </c>
      <c r="AA12" t="n">
        <v>14943243</v>
      </c>
      <c r="AB12" t="n">
        <v>14943243</v>
      </c>
      <c r="AC12" t="n">
        <v>14943243</v>
      </c>
      <c r="AD12" t="n">
        <v>242781682</v>
      </c>
      <c r="AE12" t="n">
        <v>5.8</v>
      </c>
    </row>
    <row r="13">
      <c r="A13" t="inlineStr">
        <is>
          <t>1 - ADMINISTRACIÓN CENTRAL</t>
        </is>
      </c>
      <c r="B13" t="inlineStr">
        <is>
          <t>00 - SIN SECTOR</t>
        </is>
      </c>
      <c r="C13" t="inlineStr">
        <is>
          <t>00</t>
        </is>
      </c>
      <c r="D13" t="inlineStr">
        <is>
          <t>0000</t>
        </is>
      </c>
      <c r="E13" t="inlineStr">
        <is>
          <t>0000000</t>
        </is>
      </c>
      <c r="F13" t="inlineStr">
        <is>
          <t>SIN PRODUCTO</t>
        </is>
      </c>
      <c r="G13" t="inlineStr">
        <is>
          <t>00</t>
        </is>
      </c>
      <c r="H13" t="inlineStr">
        <is>
          <t>SIN CODIGO BPIN</t>
        </is>
      </c>
      <c r="I13" t="inlineStr">
        <is>
          <t>00</t>
        </is>
      </c>
      <c r="J13" t="inlineStr">
        <is>
          <t>SIN PRODUCTO DANE</t>
        </is>
      </c>
      <c r="K13" t="inlineStr">
        <is>
          <t>00</t>
        </is>
      </c>
      <c r="L13" t="inlineStr">
        <is>
          <t>SIN ATRIBUTO</t>
        </is>
      </c>
      <c r="N13" t="inlineStr">
        <is>
          <t>2.1.1.01.01.001.07</t>
        </is>
      </c>
      <c r="O13" t="inlineStr">
        <is>
          <t>Bonificacion por servicios prestados</t>
        </is>
      </c>
      <c r="P13" t="inlineStr">
        <is>
          <t>1.2.1.0.00</t>
        </is>
      </c>
      <c r="Q13" t="inlineStr">
        <is>
          <t>INGRESOS CORRIENTES DE LIBRE DESTINACION</t>
        </is>
      </c>
      <c r="R13" t="n">
        <v>170989114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170989114</v>
      </c>
      <c r="Z13" t="n">
        <v>68009620</v>
      </c>
      <c r="AA13" t="n">
        <v>67219699</v>
      </c>
      <c r="AB13" t="n">
        <v>66626420</v>
      </c>
      <c r="AC13" t="n">
        <v>63190950</v>
      </c>
      <c r="AD13" t="n">
        <v>103769415</v>
      </c>
      <c r="AE13" t="n">
        <v>39.31</v>
      </c>
    </row>
    <row r="14">
      <c r="A14" t="inlineStr">
        <is>
          <t>1 - ADMINISTRACIÓN CENTRAL</t>
        </is>
      </c>
      <c r="B14" t="inlineStr">
        <is>
          <t>00 - SIN SECTOR</t>
        </is>
      </c>
      <c r="C14" t="inlineStr">
        <is>
          <t>00</t>
        </is>
      </c>
      <c r="D14" t="inlineStr">
        <is>
          <t>0000</t>
        </is>
      </c>
      <c r="E14" t="inlineStr">
        <is>
          <t>0000000</t>
        </is>
      </c>
      <c r="F14" t="inlineStr">
        <is>
          <t>SIN PRODUCTO</t>
        </is>
      </c>
      <c r="G14" t="inlineStr">
        <is>
          <t>00</t>
        </is>
      </c>
      <c r="H14" t="inlineStr">
        <is>
          <t>SIN CODIGO BPIN</t>
        </is>
      </c>
      <c r="I14" t="inlineStr">
        <is>
          <t>00</t>
        </is>
      </c>
      <c r="J14" t="inlineStr">
        <is>
          <t>SIN PRODUCTO DANE</t>
        </is>
      </c>
      <c r="K14" t="inlineStr">
        <is>
          <t>00</t>
        </is>
      </c>
      <c r="L14" t="inlineStr">
        <is>
          <t>SIN ATRIBUTO</t>
        </is>
      </c>
      <c r="N14" t="inlineStr">
        <is>
          <t>2.1.1.01.01.001.08</t>
        </is>
      </c>
      <c r="O14" t="inlineStr">
        <is>
          <t>Prestaciones sociales</t>
        </is>
      </c>
      <c r="P14" t="inlineStr">
        <is>
          <t>00</t>
        </is>
      </c>
      <c r="Q14" t="inlineStr">
        <is>
          <t>RECURSO PROPIOS</t>
        </is>
      </c>
      <c r="R14" t="n">
        <v>829061244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829061244</v>
      </c>
      <c r="Z14" t="n">
        <v>149749464</v>
      </c>
      <c r="AA14" t="n">
        <v>135313751</v>
      </c>
      <c r="AB14" t="n">
        <v>134922163</v>
      </c>
      <c r="AC14" t="n">
        <v>101838762</v>
      </c>
      <c r="AD14" t="n">
        <v>693747493</v>
      </c>
      <c r="AE14" t="n">
        <v>16.32</v>
      </c>
    </row>
    <row r="15">
      <c r="A15" t="inlineStr">
        <is>
          <t>1 - ADMINISTRACIÓN CENTRAL</t>
        </is>
      </c>
      <c r="B15" t="inlineStr">
        <is>
          <t>00 - SIN SECTOR</t>
        </is>
      </c>
      <c r="C15" t="inlineStr">
        <is>
          <t>00</t>
        </is>
      </c>
      <c r="D15" t="inlineStr">
        <is>
          <t>0000</t>
        </is>
      </c>
      <c r="E15" t="inlineStr">
        <is>
          <t>0000000</t>
        </is>
      </c>
      <c r="F15" t="inlineStr">
        <is>
          <t>SIN PRODUCTO</t>
        </is>
      </c>
      <c r="G15" t="inlineStr">
        <is>
          <t>00</t>
        </is>
      </c>
      <c r="H15" t="inlineStr">
        <is>
          <t>SIN CODIGO BPIN</t>
        </is>
      </c>
      <c r="I15" t="inlineStr">
        <is>
          <t>00</t>
        </is>
      </c>
      <c r="J15" t="inlineStr">
        <is>
          <t>SIN PRODUCTO DANE</t>
        </is>
      </c>
      <c r="K15" t="inlineStr">
        <is>
          <t>00</t>
        </is>
      </c>
      <c r="L15" t="inlineStr">
        <is>
          <t>SIN ATRIBUTO</t>
        </is>
      </c>
      <c r="N15" t="inlineStr">
        <is>
          <t>2.1.1.01.01.001.08.01</t>
        </is>
      </c>
      <c r="O15" t="inlineStr">
        <is>
          <t>Prima de navidad</t>
        </is>
      </c>
      <c r="P15" t="inlineStr">
        <is>
          <t>1.2.1.0.00</t>
        </is>
      </c>
      <c r="Q15" t="inlineStr">
        <is>
          <t>INGRESOS CORRIENTES DE LIBRE DESTINACION</t>
        </is>
      </c>
      <c r="R15" t="n">
        <v>560184948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560184948</v>
      </c>
      <c r="Z15" t="n">
        <v>4382191</v>
      </c>
      <c r="AA15" t="n">
        <v>4303937</v>
      </c>
      <c r="AB15" t="n">
        <v>4303937</v>
      </c>
      <c r="AC15" t="n">
        <v>4303937</v>
      </c>
      <c r="AD15" t="n">
        <v>555881011</v>
      </c>
      <c r="AE15" t="n">
        <v>0.77</v>
      </c>
    </row>
    <row r="16">
      <c r="A16" t="inlineStr">
        <is>
          <t>1 - ADMINISTRACIÓN CENTRAL</t>
        </is>
      </c>
      <c r="B16" t="inlineStr">
        <is>
          <t>00 - SIN SECTOR</t>
        </is>
      </c>
      <c r="C16" t="inlineStr">
        <is>
          <t>00</t>
        </is>
      </c>
      <c r="D16" t="inlineStr">
        <is>
          <t>0000</t>
        </is>
      </c>
      <c r="E16" t="inlineStr">
        <is>
          <t>0000000</t>
        </is>
      </c>
      <c r="F16" t="inlineStr">
        <is>
          <t>SIN PRODUCTO</t>
        </is>
      </c>
      <c r="G16" t="inlineStr">
        <is>
          <t>00</t>
        </is>
      </c>
      <c r="H16" t="inlineStr">
        <is>
          <t>SIN CODIGO BPIN</t>
        </is>
      </c>
      <c r="I16" t="inlineStr">
        <is>
          <t>00</t>
        </is>
      </c>
      <c r="J16" t="inlineStr">
        <is>
          <t>SIN PRODUCTO DANE</t>
        </is>
      </c>
      <c r="K16" t="inlineStr">
        <is>
          <t>00</t>
        </is>
      </c>
      <c r="L16" t="inlineStr">
        <is>
          <t>SIN ATRIBUTO</t>
        </is>
      </c>
      <c r="N16" t="inlineStr">
        <is>
          <t>2.1.1.01.01.001.08.02</t>
        </is>
      </c>
      <c r="O16" t="inlineStr">
        <is>
          <t>Prima de vacaciones</t>
        </is>
      </c>
      <c r="P16" t="inlineStr">
        <is>
          <t>1.2.1.0.00</t>
        </is>
      </c>
      <c r="Q16" t="inlineStr">
        <is>
          <t>INGRESOS CORRIENTES DE LIBRE DESTINACION</t>
        </is>
      </c>
      <c r="R16" t="n">
        <v>268876296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268876296</v>
      </c>
      <c r="Z16" t="n">
        <v>145367273</v>
      </c>
      <c r="AA16" t="n">
        <v>131009814</v>
      </c>
      <c r="AB16" t="n">
        <v>130618226</v>
      </c>
      <c r="AC16" t="n">
        <v>97534825</v>
      </c>
      <c r="AD16" t="n">
        <v>137866482</v>
      </c>
      <c r="AE16" t="n">
        <v>48.72</v>
      </c>
    </row>
    <row r="17">
      <c r="A17" t="inlineStr">
        <is>
          <t>1 - ADMINISTRACIÓN CENTRAL</t>
        </is>
      </c>
      <c r="B17" t="inlineStr">
        <is>
          <t>00 - SIN SECTOR</t>
        </is>
      </c>
      <c r="C17" t="inlineStr">
        <is>
          <t>00</t>
        </is>
      </c>
      <c r="D17" t="inlineStr">
        <is>
          <t>0000</t>
        </is>
      </c>
      <c r="E17" t="inlineStr">
        <is>
          <t>0000000</t>
        </is>
      </c>
      <c r="F17" t="inlineStr">
        <is>
          <t>SIN PRODUCTO</t>
        </is>
      </c>
      <c r="G17" t="inlineStr">
        <is>
          <t>00</t>
        </is>
      </c>
      <c r="H17" t="inlineStr">
        <is>
          <t>SIN CODIGO BPIN</t>
        </is>
      </c>
      <c r="I17" t="inlineStr">
        <is>
          <t>00</t>
        </is>
      </c>
      <c r="J17" t="inlineStr">
        <is>
          <t>SIN PRODUCTO DANE</t>
        </is>
      </c>
      <c r="K17" t="inlineStr">
        <is>
          <t>00</t>
        </is>
      </c>
      <c r="L17" t="inlineStr">
        <is>
          <t>SIN ATRIBUTO</t>
        </is>
      </c>
      <c r="N17" t="inlineStr">
        <is>
          <t>2.1.1.01.01.001.10</t>
        </is>
      </c>
      <c r="O17" t="inlineStr">
        <is>
          <t>Viaticos de los funcionarios en comision</t>
        </is>
      </c>
      <c r="P17" t="inlineStr">
        <is>
          <t>1.2.1.0.00</t>
        </is>
      </c>
      <c r="Q17" t="inlineStr">
        <is>
          <t>INGRESOS CORRIENTES DE LIBRE DESTINACION</t>
        </is>
      </c>
      <c r="R17" t="n">
        <v>100000000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100000000</v>
      </c>
      <c r="Z17" t="n">
        <v>10501759</v>
      </c>
      <c r="AA17" t="n">
        <v>9760171</v>
      </c>
      <c r="AB17" t="n">
        <v>9760171</v>
      </c>
      <c r="AC17" t="n">
        <v>9760171</v>
      </c>
      <c r="AD17" t="n">
        <v>90239829</v>
      </c>
      <c r="AE17" t="n">
        <v>9.76</v>
      </c>
    </row>
    <row r="18">
      <c r="A18" t="inlineStr">
        <is>
          <t>1 - ADMINISTRACIÓN CENTRAL</t>
        </is>
      </c>
      <c r="B18" t="inlineStr">
        <is>
          <t>00 - SIN SECTOR</t>
        </is>
      </c>
      <c r="C18" t="inlineStr">
        <is>
          <t>00</t>
        </is>
      </c>
      <c r="D18" t="inlineStr">
        <is>
          <t>0000</t>
        </is>
      </c>
      <c r="E18" t="inlineStr">
        <is>
          <t>0000000</t>
        </is>
      </c>
      <c r="F18" t="inlineStr">
        <is>
          <t>SIN PRODUCTO</t>
        </is>
      </c>
      <c r="G18" t="inlineStr">
        <is>
          <t>00</t>
        </is>
      </c>
      <c r="H18" t="inlineStr">
        <is>
          <t>SIN CODIGO BPIN</t>
        </is>
      </c>
      <c r="I18" t="inlineStr">
        <is>
          <t>00</t>
        </is>
      </c>
      <c r="J18" t="inlineStr">
        <is>
          <t>SIN PRODUCTO DANE</t>
        </is>
      </c>
      <c r="K18" t="inlineStr">
        <is>
          <t>00</t>
        </is>
      </c>
      <c r="L18" t="inlineStr">
        <is>
          <t>SIN ATRIBUTO</t>
        </is>
      </c>
      <c r="N18" t="inlineStr">
        <is>
          <t>2.1.1.01.02</t>
        </is>
      </c>
      <c r="O18" t="inlineStr">
        <is>
          <t>Contribuciones inherentes a la nomina</t>
        </is>
      </c>
      <c r="P18" t="inlineStr">
        <is>
          <t>00</t>
        </is>
      </c>
      <c r="Q18" t="inlineStr">
        <is>
          <t>RECURSO PROPIOS</t>
        </is>
      </c>
      <c r="R18" t="n">
        <v>2611612858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2611612858</v>
      </c>
      <c r="Z18" t="n">
        <v>639021762</v>
      </c>
      <c r="AA18" t="n">
        <v>609954758</v>
      </c>
      <c r="AB18" t="n">
        <v>609954758</v>
      </c>
      <c r="AC18" t="n">
        <v>609954758</v>
      </c>
      <c r="AD18" t="n">
        <v>2001658100</v>
      </c>
      <c r="AE18" t="n">
        <v>23.36</v>
      </c>
    </row>
    <row r="19">
      <c r="A19" t="inlineStr">
        <is>
          <t>1 - ADMINISTRACIÓN CENTRAL</t>
        </is>
      </c>
      <c r="B19" t="inlineStr">
        <is>
          <t>00 - SIN SECTOR</t>
        </is>
      </c>
      <c r="C19" t="inlineStr">
        <is>
          <t>00</t>
        </is>
      </c>
      <c r="D19" t="inlineStr">
        <is>
          <t>0000</t>
        </is>
      </c>
      <c r="E19" t="inlineStr">
        <is>
          <t>0000000</t>
        </is>
      </c>
      <c r="F19" t="inlineStr">
        <is>
          <t>SIN PRODUCTO</t>
        </is>
      </c>
      <c r="G19" t="inlineStr">
        <is>
          <t>00</t>
        </is>
      </c>
      <c r="H19" t="inlineStr">
        <is>
          <t>SIN CODIGO BPIN</t>
        </is>
      </c>
      <c r="I19" t="inlineStr">
        <is>
          <t>00</t>
        </is>
      </c>
      <c r="J19" t="inlineStr">
        <is>
          <t>SIN PRODUCTO DANE</t>
        </is>
      </c>
      <c r="K19" t="inlineStr">
        <is>
          <t>00</t>
        </is>
      </c>
      <c r="L19" t="inlineStr">
        <is>
          <t>SIN ATRIBUTO</t>
        </is>
      </c>
      <c r="N19" t="inlineStr">
        <is>
          <t>2.1.1.01.02.001</t>
        </is>
      </c>
      <c r="O19" t="inlineStr">
        <is>
          <t>Aportes a la seguridad social en pensiones</t>
        </is>
      </c>
      <c r="P19" t="inlineStr">
        <is>
          <t>1.2.1.0.00</t>
        </is>
      </c>
      <c r="Q19" t="inlineStr">
        <is>
          <t>INGRESOS CORRIENTES DE LIBRE DESTINACION</t>
        </is>
      </c>
      <c r="R19" t="n">
        <v>724016755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724016755</v>
      </c>
      <c r="Z19" t="n">
        <v>213474400</v>
      </c>
      <c r="AA19" t="n">
        <v>213474400</v>
      </c>
      <c r="AB19" t="n">
        <v>213474400</v>
      </c>
      <c r="AC19" t="n">
        <v>213474400</v>
      </c>
      <c r="AD19" t="n">
        <v>510542355</v>
      </c>
      <c r="AE19" t="n">
        <v>29.48</v>
      </c>
    </row>
    <row r="20">
      <c r="A20" t="inlineStr">
        <is>
          <t>1 - ADMINISTRACIÓN CENTRAL</t>
        </is>
      </c>
      <c r="B20" t="inlineStr">
        <is>
          <t>00 - SIN SECTOR</t>
        </is>
      </c>
      <c r="C20" t="inlineStr">
        <is>
          <t>00</t>
        </is>
      </c>
      <c r="D20" t="inlineStr">
        <is>
          <t>0000</t>
        </is>
      </c>
      <c r="E20" t="inlineStr">
        <is>
          <t>0000000</t>
        </is>
      </c>
      <c r="F20" t="inlineStr">
        <is>
          <t>SIN PRODUCTO</t>
        </is>
      </c>
      <c r="G20" t="inlineStr">
        <is>
          <t>00</t>
        </is>
      </c>
      <c r="H20" t="inlineStr">
        <is>
          <t>SIN CODIGO BPIN</t>
        </is>
      </c>
      <c r="I20" t="inlineStr">
        <is>
          <t>00</t>
        </is>
      </c>
      <c r="J20" t="inlineStr">
        <is>
          <t>SIN PRODUCTO DANE</t>
        </is>
      </c>
      <c r="K20" t="inlineStr">
        <is>
          <t>00</t>
        </is>
      </c>
      <c r="L20" t="inlineStr">
        <is>
          <t>SIN ATRIBUTO</t>
        </is>
      </c>
      <c r="N20" t="inlineStr">
        <is>
          <t>2.1.1.01.02.002</t>
        </is>
      </c>
      <c r="O20" t="inlineStr">
        <is>
          <t>Aportes a la seguridad social en salud</t>
        </is>
      </c>
      <c r="P20" t="inlineStr">
        <is>
          <t>1.2.1.0.00</t>
        </is>
      </c>
      <c r="Q20" t="inlineStr">
        <is>
          <t>INGRESOS CORRIENTES DE LIBRE DESTINACION</t>
        </is>
      </c>
      <c r="R20" t="n">
        <v>512845200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512845200</v>
      </c>
      <c r="Z20" t="n">
        <v>151797200</v>
      </c>
      <c r="AA20" t="n">
        <v>151797200</v>
      </c>
      <c r="AB20" t="n">
        <v>151797200</v>
      </c>
      <c r="AC20" t="n">
        <v>151797200</v>
      </c>
      <c r="AD20" t="n">
        <v>361048000</v>
      </c>
      <c r="AE20" t="n">
        <v>29.6</v>
      </c>
    </row>
    <row r="21">
      <c r="A21" t="inlineStr">
        <is>
          <t>1 - ADMINISTRACIÓN CENTRAL</t>
        </is>
      </c>
      <c r="B21" t="inlineStr">
        <is>
          <t>00 - SIN SECTOR</t>
        </is>
      </c>
      <c r="C21" t="inlineStr">
        <is>
          <t>00</t>
        </is>
      </c>
      <c r="D21" t="inlineStr">
        <is>
          <t>0000</t>
        </is>
      </c>
      <c r="E21" t="inlineStr">
        <is>
          <t>0000000</t>
        </is>
      </c>
      <c r="F21" t="inlineStr">
        <is>
          <t>SIN PRODUCTO</t>
        </is>
      </c>
      <c r="G21" t="inlineStr">
        <is>
          <t>00</t>
        </is>
      </c>
      <c r="H21" t="inlineStr">
        <is>
          <t>SIN CODIGO BPIN</t>
        </is>
      </c>
      <c r="I21" t="inlineStr">
        <is>
          <t>00</t>
        </is>
      </c>
      <c r="J21" t="inlineStr">
        <is>
          <t>SIN PRODUCTO DANE</t>
        </is>
      </c>
      <c r="K21" t="inlineStr">
        <is>
          <t>00</t>
        </is>
      </c>
      <c r="L21" t="inlineStr">
        <is>
          <t>SIN ATRIBUTO</t>
        </is>
      </c>
      <c r="N21" t="inlineStr">
        <is>
          <t>2.1.1.01.02.003</t>
        </is>
      </c>
      <c r="O21" t="inlineStr">
        <is>
          <t>Aportes de cesantias</t>
        </is>
      </c>
      <c r="P21" t="inlineStr">
        <is>
          <t>1.2.1.0.00</t>
        </is>
      </c>
      <c r="Q21" t="inlineStr">
        <is>
          <t>INGRESOS CORRIENTES DE LIBRE DESTINACION</t>
        </is>
      </c>
      <c r="R21" t="n">
        <v>679659525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679659525</v>
      </c>
      <c r="Z21" t="n">
        <v>48177162</v>
      </c>
      <c r="AA21" t="n">
        <v>48091358</v>
      </c>
      <c r="AB21" t="n">
        <v>48091358</v>
      </c>
      <c r="AC21" t="n">
        <v>48091358</v>
      </c>
      <c r="AD21" t="n">
        <v>631568167</v>
      </c>
      <c r="AE21" t="n">
        <v>7.08</v>
      </c>
    </row>
    <row r="22">
      <c r="A22" t="inlineStr">
        <is>
          <t>1 - ADMINISTRACIÓN CENTRAL</t>
        </is>
      </c>
      <c r="B22" t="inlineStr">
        <is>
          <t>00 - SIN SECTOR</t>
        </is>
      </c>
      <c r="C22" t="inlineStr">
        <is>
          <t>00</t>
        </is>
      </c>
      <c r="D22" t="inlineStr">
        <is>
          <t>0000</t>
        </is>
      </c>
      <c r="E22" t="inlineStr">
        <is>
          <t>0000000</t>
        </is>
      </c>
      <c r="F22" t="inlineStr">
        <is>
          <t>SIN PRODUCTO</t>
        </is>
      </c>
      <c r="G22" t="inlineStr">
        <is>
          <t>00</t>
        </is>
      </c>
      <c r="H22" t="inlineStr">
        <is>
          <t>SIN CODIGO BPIN</t>
        </is>
      </c>
      <c r="I22" t="inlineStr">
        <is>
          <t>00</t>
        </is>
      </c>
      <c r="J22" t="inlineStr">
        <is>
          <t>SIN PRODUCTO DANE</t>
        </is>
      </c>
      <c r="K22" t="inlineStr">
        <is>
          <t>00</t>
        </is>
      </c>
      <c r="L22" t="inlineStr">
        <is>
          <t>SIN ATRIBUTO</t>
        </is>
      </c>
      <c r="N22" t="inlineStr">
        <is>
          <t>2.1.1.01.02.004</t>
        </is>
      </c>
      <c r="O22" t="inlineStr">
        <is>
          <t>Aportes a cajas de compensacion familiar</t>
        </is>
      </c>
      <c r="P22" t="inlineStr">
        <is>
          <t>1.2.1.0.00</t>
        </is>
      </c>
      <c r="Q22" t="inlineStr">
        <is>
          <t>INGRESOS CORRIENTES DE LIBRE DESTINACION</t>
        </is>
      </c>
      <c r="R22" t="n">
        <v>268876296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268876296</v>
      </c>
      <c r="Z22" t="n">
        <v>74160500</v>
      </c>
      <c r="AA22" t="n">
        <v>74160500</v>
      </c>
      <c r="AB22" t="n">
        <v>74160500</v>
      </c>
      <c r="AC22" t="n">
        <v>74160500</v>
      </c>
      <c r="AD22" t="n">
        <v>194715796</v>
      </c>
      <c r="AE22" t="n">
        <v>27.58</v>
      </c>
    </row>
    <row r="23">
      <c r="A23" t="inlineStr">
        <is>
          <t>1 - ADMINISTRACIÓN CENTRAL</t>
        </is>
      </c>
      <c r="B23" t="inlineStr">
        <is>
          <t>00 - SIN SECTOR</t>
        </is>
      </c>
      <c r="C23" t="inlineStr">
        <is>
          <t>00</t>
        </is>
      </c>
      <c r="D23" t="inlineStr">
        <is>
          <t>0000</t>
        </is>
      </c>
      <c r="E23" t="inlineStr">
        <is>
          <t>0000000</t>
        </is>
      </c>
      <c r="F23" t="inlineStr">
        <is>
          <t>SIN PRODUCTO</t>
        </is>
      </c>
      <c r="G23" t="inlineStr">
        <is>
          <t>00</t>
        </is>
      </c>
      <c r="H23" t="inlineStr">
        <is>
          <t>SIN CODIGO BPIN</t>
        </is>
      </c>
      <c r="I23" t="inlineStr">
        <is>
          <t>00</t>
        </is>
      </c>
      <c r="J23" t="inlineStr">
        <is>
          <t>SIN PRODUCTO DANE</t>
        </is>
      </c>
      <c r="K23" t="inlineStr">
        <is>
          <t>00</t>
        </is>
      </c>
      <c r="L23" t="inlineStr">
        <is>
          <t>SIN ATRIBUTO</t>
        </is>
      </c>
      <c r="N23" t="inlineStr">
        <is>
          <t>2.1.1.01.02.005</t>
        </is>
      </c>
      <c r="O23" t="inlineStr">
        <is>
          <t>Aportes generales al sistema de riesgos laborales</t>
        </is>
      </c>
      <c r="P23" t="inlineStr">
        <is>
          <t>1.2.1.0.00</t>
        </is>
      </c>
      <c r="Q23" t="inlineStr">
        <is>
          <t>INGRESOS CORRIENTES DE LIBRE DESTINACION</t>
        </is>
      </c>
      <c r="R23" t="n">
        <v>47619715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47619715</v>
      </c>
      <c r="Z23" t="n">
        <v>16912400</v>
      </c>
      <c r="AA23" t="n">
        <v>16912400</v>
      </c>
      <c r="AB23" t="n">
        <v>16912400</v>
      </c>
      <c r="AC23" t="n">
        <v>16912400</v>
      </c>
      <c r="AD23" t="n">
        <v>30707315</v>
      </c>
      <c r="AE23" t="n">
        <v>35.52</v>
      </c>
    </row>
    <row r="24">
      <c r="A24" t="inlineStr">
        <is>
          <t>1 - ADMINISTRACIÓN CENTRAL</t>
        </is>
      </c>
      <c r="B24" t="inlineStr">
        <is>
          <t>00 - SIN SECTOR</t>
        </is>
      </c>
      <c r="C24" t="inlineStr">
        <is>
          <t>00</t>
        </is>
      </c>
      <c r="D24" t="inlineStr">
        <is>
          <t>0000</t>
        </is>
      </c>
      <c r="E24" t="inlineStr">
        <is>
          <t>0000000</t>
        </is>
      </c>
      <c r="F24" t="inlineStr">
        <is>
          <t>SIN PRODUCTO</t>
        </is>
      </c>
      <c r="G24" t="inlineStr">
        <is>
          <t>00</t>
        </is>
      </c>
      <c r="H24" t="inlineStr">
        <is>
          <t>SIN CODIGO BPIN</t>
        </is>
      </c>
      <c r="I24" t="inlineStr">
        <is>
          <t>00</t>
        </is>
      </c>
      <c r="J24" t="inlineStr">
        <is>
          <t>SIN PRODUCTO DANE</t>
        </is>
      </c>
      <c r="K24" t="inlineStr">
        <is>
          <t>00</t>
        </is>
      </c>
      <c r="L24" t="inlineStr">
        <is>
          <t>SIN ATRIBUTO</t>
        </is>
      </c>
      <c r="N24" t="inlineStr">
        <is>
          <t>2.1.1.01.02.006</t>
        </is>
      </c>
      <c r="O24" t="inlineStr">
        <is>
          <t>Aportes al icbf</t>
        </is>
      </c>
      <c r="P24" t="inlineStr">
        <is>
          <t>1.2.1.0.00</t>
        </is>
      </c>
      <c r="Q24" t="inlineStr">
        <is>
          <t>INGRESOS CORRIENTES DE LIBRE DESTINACION</t>
        </is>
      </c>
      <c r="R24" t="n">
        <v>201657221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201657221</v>
      </c>
      <c r="Z24" t="n">
        <v>55168600</v>
      </c>
      <c r="AA24" t="n">
        <v>55168600</v>
      </c>
      <c r="AB24" t="n">
        <v>55168600</v>
      </c>
      <c r="AC24" t="n">
        <v>55168600</v>
      </c>
      <c r="AD24" t="n">
        <v>146488621</v>
      </c>
      <c r="AE24" t="n">
        <v>27.36</v>
      </c>
    </row>
    <row r="25">
      <c r="A25" t="inlineStr">
        <is>
          <t>1 - ADMINISTRACIÓN CENTRAL</t>
        </is>
      </c>
      <c r="B25" t="inlineStr">
        <is>
          <t>00 - SIN SECTOR</t>
        </is>
      </c>
      <c r="C25" t="inlineStr">
        <is>
          <t>00</t>
        </is>
      </c>
      <c r="D25" t="inlineStr">
        <is>
          <t>0000</t>
        </is>
      </c>
      <c r="E25" t="inlineStr">
        <is>
          <t>0000000</t>
        </is>
      </c>
      <c r="F25" t="inlineStr">
        <is>
          <t>SIN PRODUCTO</t>
        </is>
      </c>
      <c r="G25" t="inlineStr">
        <is>
          <t>00</t>
        </is>
      </c>
      <c r="H25" t="inlineStr">
        <is>
          <t>SIN CODIGO BPIN</t>
        </is>
      </c>
      <c r="I25" t="inlineStr">
        <is>
          <t>00</t>
        </is>
      </c>
      <c r="J25" t="inlineStr">
        <is>
          <t>SIN PRODUCTO DANE</t>
        </is>
      </c>
      <c r="K25" t="inlineStr">
        <is>
          <t>00</t>
        </is>
      </c>
      <c r="L25" t="inlineStr">
        <is>
          <t>SIN ATRIBUTO</t>
        </is>
      </c>
      <c r="N25" t="inlineStr">
        <is>
          <t>2.1.1.01.02.007</t>
        </is>
      </c>
      <c r="O25" t="inlineStr">
        <is>
          <t>Aportes al sena</t>
        </is>
      </c>
      <c r="P25" t="inlineStr">
        <is>
          <t>1.2.1.0.00</t>
        </is>
      </c>
      <c r="Q25" t="inlineStr">
        <is>
          <t>INGRESOS CORRIENTES DE LIBRE DESTINACION</t>
        </is>
      </c>
      <c r="R25" t="n">
        <v>33609536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33609536</v>
      </c>
      <c r="Z25" t="n">
        <v>9214000</v>
      </c>
      <c r="AA25" t="n">
        <v>9214000</v>
      </c>
      <c r="AB25" t="n">
        <v>9214000</v>
      </c>
      <c r="AC25" t="n">
        <v>9214000</v>
      </c>
      <c r="AD25" t="n">
        <v>24395536</v>
      </c>
      <c r="AE25" t="n">
        <v>27.41</v>
      </c>
    </row>
    <row r="26">
      <c r="A26" t="inlineStr">
        <is>
          <t>1 - ADMINISTRACIÓN CENTRAL</t>
        </is>
      </c>
      <c r="B26" t="inlineStr">
        <is>
          <t>00 - SIN SECTOR</t>
        </is>
      </c>
      <c r="C26" t="inlineStr">
        <is>
          <t>00</t>
        </is>
      </c>
      <c r="D26" t="inlineStr">
        <is>
          <t>0000</t>
        </is>
      </c>
      <c r="E26" t="inlineStr">
        <is>
          <t>0000000</t>
        </is>
      </c>
      <c r="F26" t="inlineStr">
        <is>
          <t>SIN PRODUCTO</t>
        </is>
      </c>
      <c r="G26" t="inlineStr">
        <is>
          <t>00</t>
        </is>
      </c>
      <c r="H26" t="inlineStr">
        <is>
          <t>SIN CODIGO BPIN</t>
        </is>
      </c>
      <c r="I26" t="inlineStr">
        <is>
          <t>00</t>
        </is>
      </c>
      <c r="J26" t="inlineStr">
        <is>
          <t>SIN PRODUCTO DANE</t>
        </is>
      </c>
      <c r="K26" t="inlineStr">
        <is>
          <t>00</t>
        </is>
      </c>
      <c r="L26" t="inlineStr">
        <is>
          <t>SIN ATRIBUTO</t>
        </is>
      </c>
      <c r="N26" t="inlineStr">
        <is>
          <t>2.1.1.01.02.008</t>
        </is>
      </c>
      <c r="O26" t="inlineStr">
        <is>
          <t>Aportes a la esap</t>
        </is>
      </c>
      <c r="P26" t="inlineStr">
        <is>
          <t>1.2.1.0.00</t>
        </is>
      </c>
      <c r="Q26" t="inlineStr">
        <is>
          <t>INGRESOS CORRIENTES DE LIBRE DESTINACION</t>
        </is>
      </c>
      <c r="R26" t="n">
        <v>33609536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33609536</v>
      </c>
      <c r="Z26" t="n">
        <v>9214000</v>
      </c>
      <c r="AA26" t="n">
        <v>9214000</v>
      </c>
      <c r="AB26" t="n">
        <v>9214000</v>
      </c>
      <c r="AC26" t="n">
        <v>9214000</v>
      </c>
      <c r="AD26" t="n">
        <v>24395536</v>
      </c>
      <c r="AE26" t="n">
        <v>27.41</v>
      </c>
    </row>
    <row r="27">
      <c r="A27" t="inlineStr">
        <is>
          <t>1 - ADMINISTRACIÓN CENTRAL</t>
        </is>
      </c>
      <c r="B27" t="inlineStr">
        <is>
          <t>00 - SIN SECTOR</t>
        </is>
      </c>
      <c r="C27" t="inlineStr">
        <is>
          <t>00</t>
        </is>
      </c>
      <c r="D27" t="inlineStr">
        <is>
          <t>0000</t>
        </is>
      </c>
      <c r="E27" t="inlineStr">
        <is>
          <t>0000000</t>
        </is>
      </c>
      <c r="F27" t="inlineStr">
        <is>
          <t>SIN PRODUCTO</t>
        </is>
      </c>
      <c r="G27" t="inlineStr">
        <is>
          <t>00</t>
        </is>
      </c>
      <c r="H27" t="inlineStr">
        <is>
          <t>SIN CODIGO BPIN</t>
        </is>
      </c>
      <c r="I27" t="inlineStr">
        <is>
          <t>00</t>
        </is>
      </c>
      <c r="J27" t="inlineStr">
        <is>
          <t>SIN PRODUCTO DANE</t>
        </is>
      </c>
      <c r="K27" t="inlineStr">
        <is>
          <t>00</t>
        </is>
      </c>
      <c r="L27" t="inlineStr">
        <is>
          <t>SIN ATRIBUTO</t>
        </is>
      </c>
      <c r="N27" t="inlineStr">
        <is>
          <t>2.1.1.01.02.009</t>
        </is>
      </c>
      <c r="O27" t="inlineStr">
        <is>
          <t>Aportes a escuelas industriales e institutos tecnicos</t>
        </is>
      </c>
      <c r="P27" t="inlineStr">
        <is>
          <t>1.2.1.0.00</t>
        </is>
      </c>
      <c r="Q27" t="inlineStr">
        <is>
          <t>INGRESOS CORRIENTES DE LIBRE DESTINACION</t>
        </is>
      </c>
      <c r="R27" t="n">
        <v>67219074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67219074</v>
      </c>
      <c r="Z27" t="n">
        <v>18403500</v>
      </c>
      <c r="AA27" t="n">
        <v>18403500</v>
      </c>
      <c r="AB27" t="n">
        <v>18403500</v>
      </c>
      <c r="AC27" t="n">
        <v>18403500</v>
      </c>
      <c r="AD27" t="n">
        <v>48815574</v>
      </c>
      <c r="AE27" t="n">
        <v>27.38</v>
      </c>
    </row>
    <row r="28">
      <c r="A28" t="inlineStr">
        <is>
          <t>1 - ADMINISTRACIÓN CENTRAL</t>
        </is>
      </c>
      <c r="B28" t="inlineStr">
        <is>
          <t>00 - SIN SECTOR</t>
        </is>
      </c>
      <c r="C28" t="inlineStr">
        <is>
          <t>00</t>
        </is>
      </c>
      <c r="D28" t="inlineStr">
        <is>
          <t>0000</t>
        </is>
      </c>
      <c r="E28" t="inlineStr">
        <is>
          <t>0000000</t>
        </is>
      </c>
      <c r="F28" t="inlineStr">
        <is>
          <t>SIN PRODUCTO</t>
        </is>
      </c>
      <c r="G28" t="inlineStr">
        <is>
          <t>00</t>
        </is>
      </c>
      <c r="H28" t="inlineStr">
        <is>
          <t>SIN CODIGO BPIN</t>
        </is>
      </c>
      <c r="I28" t="inlineStr">
        <is>
          <t>00</t>
        </is>
      </c>
      <c r="J28" t="inlineStr">
        <is>
          <t>SIN PRODUCTO DANE</t>
        </is>
      </c>
      <c r="K28" t="inlineStr">
        <is>
          <t>00</t>
        </is>
      </c>
      <c r="L28" t="inlineStr">
        <is>
          <t>SIN ATRIBUTO</t>
        </is>
      </c>
      <c r="N28" t="inlineStr">
        <is>
          <t>2.1.1.01.02.020</t>
        </is>
      </c>
      <c r="O28" t="inlineStr">
        <is>
          <t>Contribuciones inherentes a la nomina de diputados o concejales</t>
        </is>
      </c>
      <c r="P28" t="inlineStr">
        <is>
          <t>00</t>
        </is>
      </c>
      <c r="Q28" t="inlineStr">
        <is>
          <t>RECURSO PROPIOS</t>
        </is>
      </c>
      <c r="R28" t="n">
        <v>42500000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42500000</v>
      </c>
      <c r="Z28" t="n">
        <v>42500000</v>
      </c>
      <c r="AA28" t="n">
        <v>13518800</v>
      </c>
      <c r="AB28" t="n">
        <v>13518800</v>
      </c>
      <c r="AC28" t="n">
        <v>13518800</v>
      </c>
      <c r="AD28" t="n">
        <v>28981200</v>
      </c>
      <c r="AE28" t="n">
        <v>31.81</v>
      </c>
    </row>
    <row r="29">
      <c r="A29" t="inlineStr">
        <is>
          <t>1 - ADMINISTRACIÓN CENTRAL</t>
        </is>
      </c>
      <c r="B29" t="inlineStr">
        <is>
          <t>00 - SIN SECTOR</t>
        </is>
      </c>
      <c r="C29" t="inlineStr">
        <is>
          <t>00</t>
        </is>
      </c>
      <c r="D29" t="inlineStr">
        <is>
          <t>0000</t>
        </is>
      </c>
      <c r="E29" t="inlineStr">
        <is>
          <t>0000000</t>
        </is>
      </c>
      <c r="F29" t="inlineStr">
        <is>
          <t>SIN PRODUCTO</t>
        </is>
      </c>
      <c r="G29" t="inlineStr">
        <is>
          <t>00</t>
        </is>
      </c>
      <c r="H29" t="inlineStr">
        <is>
          <t>SIN CODIGO BPIN</t>
        </is>
      </c>
      <c r="I29" t="inlineStr">
        <is>
          <t>00</t>
        </is>
      </c>
      <c r="J29" t="inlineStr">
        <is>
          <t>SIN PRODUCTO DANE</t>
        </is>
      </c>
      <c r="K29" t="inlineStr">
        <is>
          <t>00</t>
        </is>
      </c>
      <c r="L29" t="inlineStr">
        <is>
          <t>SIN ATRIBUTO</t>
        </is>
      </c>
      <c r="N29" t="inlineStr">
        <is>
          <t>2.1.1.01.02.020.02</t>
        </is>
      </c>
      <c r="O29" t="inlineStr">
        <is>
          <t>Aportes a la seguridad social en salud</t>
        </is>
      </c>
      <c r="P29" t="inlineStr">
        <is>
          <t>1.2.1.0.00</t>
        </is>
      </c>
      <c r="Q29" t="inlineStr">
        <is>
          <t>INGRESOS CORRIENTES DE LIBRE DESTINACION</t>
        </is>
      </c>
      <c r="R29" t="n">
        <v>40000000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40000000</v>
      </c>
      <c r="Z29" t="n">
        <v>40000000</v>
      </c>
      <c r="AA29" t="n">
        <v>12973500</v>
      </c>
      <c r="AB29" t="n">
        <v>12973500</v>
      </c>
      <c r="AC29" t="n">
        <v>12973500</v>
      </c>
      <c r="AD29" t="n">
        <v>27026500</v>
      </c>
      <c r="AE29" t="n">
        <v>32.43</v>
      </c>
    </row>
    <row r="30">
      <c r="A30" t="inlineStr">
        <is>
          <t>1 - ADMINISTRACIÓN CENTRAL</t>
        </is>
      </c>
      <c r="B30" t="inlineStr">
        <is>
          <t>00 - SIN SECTOR</t>
        </is>
      </c>
      <c r="C30" t="inlineStr">
        <is>
          <t>00</t>
        </is>
      </c>
      <c r="D30" t="inlineStr">
        <is>
          <t>0000</t>
        </is>
      </c>
      <c r="E30" t="inlineStr">
        <is>
          <t>0000000</t>
        </is>
      </c>
      <c r="F30" t="inlineStr">
        <is>
          <t>SIN PRODUCTO</t>
        </is>
      </c>
      <c r="G30" t="inlineStr">
        <is>
          <t>00</t>
        </is>
      </c>
      <c r="H30" t="inlineStr">
        <is>
          <t>SIN CODIGO BPIN</t>
        </is>
      </c>
      <c r="I30" t="inlineStr">
        <is>
          <t>00</t>
        </is>
      </c>
      <c r="J30" t="inlineStr">
        <is>
          <t>SIN PRODUCTO DANE</t>
        </is>
      </c>
      <c r="K30" t="inlineStr">
        <is>
          <t>00</t>
        </is>
      </c>
      <c r="L30" t="inlineStr">
        <is>
          <t>SIN ATRIBUTO</t>
        </is>
      </c>
      <c r="N30" t="inlineStr">
        <is>
          <t>2.1.1.01.02.020.05</t>
        </is>
      </c>
      <c r="O30" t="inlineStr">
        <is>
          <t>Aportes generales al sistema de riesgos laborales</t>
        </is>
      </c>
      <c r="P30" t="inlineStr">
        <is>
          <t>1.2.1.0.00</t>
        </is>
      </c>
      <c r="Q30" t="inlineStr">
        <is>
          <t>INGRESOS CORRIENTES DE LIBRE DESTINACION</t>
        </is>
      </c>
      <c r="R30" t="n">
        <v>2500000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2500000</v>
      </c>
      <c r="Z30" t="n">
        <v>2500000</v>
      </c>
      <c r="AA30" t="n">
        <v>545300</v>
      </c>
      <c r="AB30" t="n">
        <v>545300</v>
      </c>
      <c r="AC30" t="n">
        <v>545300</v>
      </c>
      <c r="AD30" t="n">
        <v>1954700</v>
      </c>
      <c r="AE30" t="n">
        <v>21.81</v>
      </c>
    </row>
    <row r="31">
      <c r="A31" t="inlineStr">
        <is>
          <t>1 - ADMINISTRACIÓN CENTRAL</t>
        </is>
      </c>
      <c r="B31" t="inlineStr">
        <is>
          <t>00 - SIN SECTOR</t>
        </is>
      </c>
      <c r="C31" t="inlineStr">
        <is>
          <t>00</t>
        </is>
      </c>
      <c r="D31" t="inlineStr">
        <is>
          <t>0000</t>
        </is>
      </c>
      <c r="E31" t="inlineStr">
        <is>
          <t>0000000</t>
        </is>
      </c>
      <c r="F31" t="inlineStr">
        <is>
          <t>SIN PRODUCTO</t>
        </is>
      </c>
      <c r="G31" t="inlineStr">
        <is>
          <t>00</t>
        </is>
      </c>
      <c r="H31" t="inlineStr">
        <is>
          <t>SIN CODIGO BPIN</t>
        </is>
      </c>
      <c r="I31" t="inlineStr">
        <is>
          <t>00</t>
        </is>
      </c>
      <c r="J31" t="inlineStr">
        <is>
          <t>SIN PRODUCTO DANE</t>
        </is>
      </c>
      <c r="K31" t="inlineStr">
        <is>
          <t>00</t>
        </is>
      </c>
      <c r="L31" t="inlineStr">
        <is>
          <t>SIN ATRIBUTO</t>
        </is>
      </c>
      <c r="N31" t="inlineStr">
        <is>
          <t>2.1.1.01.03</t>
        </is>
      </c>
      <c r="O31" t="inlineStr">
        <is>
          <t>Remuneraciones no constitutivas de factor salarial</t>
        </is>
      </c>
      <c r="P31" t="inlineStr">
        <is>
          <t>00</t>
        </is>
      </c>
      <c r="Q31" t="inlineStr">
        <is>
          <t>RECURSO PROPIOS</t>
        </is>
      </c>
      <c r="R31" t="n">
        <v>570782688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570782688</v>
      </c>
      <c r="Z31" t="n">
        <v>228696302</v>
      </c>
      <c r="AA31" t="n">
        <v>205061372</v>
      </c>
      <c r="AB31" t="n">
        <v>155116867</v>
      </c>
      <c r="AC31" t="n">
        <v>147196453</v>
      </c>
      <c r="AD31" t="n">
        <v>365721316</v>
      </c>
      <c r="AE31" t="n">
        <v>35.93</v>
      </c>
    </row>
    <row r="32">
      <c r="A32" t="inlineStr">
        <is>
          <t>1 - ADMINISTRACIÓN CENTRAL</t>
        </is>
      </c>
      <c r="B32" t="inlineStr">
        <is>
          <t>00 - SIN SECTOR</t>
        </is>
      </c>
      <c r="C32" t="inlineStr">
        <is>
          <t>00</t>
        </is>
      </c>
      <c r="D32" t="inlineStr">
        <is>
          <t>0000</t>
        </is>
      </c>
      <c r="E32" t="inlineStr">
        <is>
          <t>0000000</t>
        </is>
      </c>
      <c r="F32" t="inlineStr">
        <is>
          <t>SIN PRODUCTO</t>
        </is>
      </c>
      <c r="G32" t="inlineStr">
        <is>
          <t>00</t>
        </is>
      </c>
      <c r="H32" t="inlineStr">
        <is>
          <t>SIN CODIGO BPIN</t>
        </is>
      </c>
      <c r="I32" t="inlineStr">
        <is>
          <t>00</t>
        </is>
      </c>
      <c r="J32" t="inlineStr">
        <is>
          <t>SIN PRODUCTO DANE</t>
        </is>
      </c>
      <c r="K32" t="inlineStr">
        <is>
          <t>00</t>
        </is>
      </c>
      <c r="L32" t="inlineStr">
        <is>
          <t>SIN ATRIBUTO</t>
        </is>
      </c>
      <c r="N32" t="inlineStr">
        <is>
          <t>2.1.1.01.03.001</t>
        </is>
      </c>
      <c r="O32" t="inlineStr">
        <is>
          <t>Prestaciones sociales</t>
        </is>
      </c>
      <c r="P32" t="inlineStr">
        <is>
          <t>00</t>
        </is>
      </c>
      <c r="Q32" t="inlineStr">
        <is>
          <t>RECURSO PROPIOS</t>
        </is>
      </c>
      <c r="R32" t="n">
        <v>433782688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433782688</v>
      </c>
      <c r="Z32" t="n">
        <v>228696302</v>
      </c>
      <c r="AA32" t="n">
        <v>205061372</v>
      </c>
      <c r="AB32" t="n">
        <v>155116867</v>
      </c>
      <c r="AC32" t="n">
        <v>147196453</v>
      </c>
      <c r="AD32" t="n">
        <v>228721316</v>
      </c>
      <c r="AE32" t="n">
        <v>47.27</v>
      </c>
    </row>
    <row r="33">
      <c r="A33" t="inlineStr">
        <is>
          <t>1 - ADMINISTRACIÓN CENTRAL</t>
        </is>
      </c>
      <c r="B33" t="inlineStr">
        <is>
          <t>00 - SIN SECTOR</t>
        </is>
      </c>
      <c r="C33" t="inlineStr">
        <is>
          <t>00</t>
        </is>
      </c>
      <c r="D33" t="inlineStr">
        <is>
          <t>0000</t>
        </is>
      </c>
      <c r="E33" t="inlineStr">
        <is>
          <t>0000000</t>
        </is>
      </c>
      <c r="F33" t="inlineStr">
        <is>
          <t>SIN PRODUCTO</t>
        </is>
      </c>
      <c r="G33" t="inlineStr">
        <is>
          <t>00</t>
        </is>
      </c>
      <c r="H33" t="inlineStr">
        <is>
          <t>SIN CODIGO BPIN</t>
        </is>
      </c>
      <c r="I33" t="inlineStr">
        <is>
          <t>00</t>
        </is>
      </c>
      <c r="J33" t="inlineStr">
        <is>
          <t>SIN PRODUCTO DANE</t>
        </is>
      </c>
      <c r="K33" t="inlineStr">
        <is>
          <t>00</t>
        </is>
      </c>
      <c r="L33" t="inlineStr">
        <is>
          <t>SIN ATRIBUTO</t>
        </is>
      </c>
      <c r="N33" t="inlineStr">
        <is>
          <t>2.1.1.01.03.001.01</t>
        </is>
      </c>
      <c r="O33" t="inlineStr">
        <is>
          <t>Vacaciones</t>
        </is>
      </c>
      <c r="P33" t="inlineStr">
        <is>
          <t>1.2.1.0.00</t>
        </is>
      </c>
      <c r="Q33" t="inlineStr">
        <is>
          <t>INGRESOS CORRIENTES DE LIBRE DESTINACION</t>
        </is>
      </c>
      <c r="R33" t="n">
        <v>200000000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200000000</v>
      </c>
      <c r="Z33" t="n">
        <v>89848192</v>
      </c>
      <c r="AA33" t="n">
        <v>71332396</v>
      </c>
      <c r="AB33" t="n">
        <v>21436807</v>
      </c>
      <c r="AC33" t="n">
        <v>21424914</v>
      </c>
      <c r="AD33" t="n">
        <v>128667604</v>
      </c>
      <c r="AE33" t="n">
        <v>35.67</v>
      </c>
    </row>
    <row r="34">
      <c r="A34" t="inlineStr">
        <is>
          <t>1 - ADMINISTRACIÓN CENTRAL</t>
        </is>
      </c>
      <c r="B34" t="inlineStr">
        <is>
          <t>00 - SIN SECTOR</t>
        </is>
      </c>
      <c r="C34" t="inlineStr">
        <is>
          <t>00</t>
        </is>
      </c>
      <c r="D34" t="inlineStr">
        <is>
          <t>0000</t>
        </is>
      </c>
      <c r="E34" t="inlineStr">
        <is>
          <t>0000000</t>
        </is>
      </c>
      <c r="F34" t="inlineStr">
        <is>
          <t>SIN PRODUCTO</t>
        </is>
      </c>
      <c r="G34" t="inlineStr">
        <is>
          <t>00</t>
        </is>
      </c>
      <c r="H34" t="inlineStr">
        <is>
          <t>SIN CODIGO BPIN</t>
        </is>
      </c>
      <c r="I34" t="inlineStr">
        <is>
          <t>00</t>
        </is>
      </c>
      <c r="J34" t="inlineStr">
        <is>
          <t>SIN PRODUCTO DANE</t>
        </is>
      </c>
      <c r="K34" t="inlineStr">
        <is>
          <t>00</t>
        </is>
      </c>
      <c r="L34" t="inlineStr">
        <is>
          <t>SIN ATRIBUTO</t>
        </is>
      </c>
      <c r="N34" t="inlineStr">
        <is>
          <t>2.1.1.01.03.001.02</t>
        </is>
      </c>
      <c r="O34" t="inlineStr">
        <is>
          <t>Indemnizacion por vacaciones</t>
        </is>
      </c>
      <c r="P34" t="inlineStr">
        <is>
          <t>1.2.1.0.00</t>
        </is>
      </c>
      <c r="Q34" t="inlineStr">
        <is>
          <t>INGRESOS CORRIENTES DE LIBRE DESTINACION</t>
        </is>
      </c>
      <c r="R34" t="n">
        <v>200000000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200000000</v>
      </c>
      <c r="Z34" t="n">
        <v>121489945</v>
      </c>
      <c r="AA34" t="n">
        <v>118067438</v>
      </c>
      <c r="AB34" t="n">
        <v>118067438</v>
      </c>
      <c r="AC34" t="n">
        <v>113936451</v>
      </c>
      <c r="AD34" t="n">
        <v>81932562</v>
      </c>
      <c r="AE34" t="n">
        <v>59.03</v>
      </c>
    </row>
    <row r="35">
      <c r="A35" t="inlineStr">
        <is>
          <t>1 - ADMINISTRACIÓN CENTRAL</t>
        </is>
      </c>
      <c r="B35" t="inlineStr">
        <is>
          <t>00 - SIN SECTOR</t>
        </is>
      </c>
      <c r="C35" t="inlineStr">
        <is>
          <t>00</t>
        </is>
      </c>
      <c r="D35" t="inlineStr">
        <is>
          <t>0000</t>
        </is>
      </c>
      <c r="E35" t="inlineStr">
        <is>
          <t>0000000</t>
        </is>
      </c>
      <c r="F35" t="inlineStr">
        <is>
          <t>SIN PRODUCTO</t>
        </is>
      </c>
      <c r="G35" t="inlineStr">
        <is>
          <t>00</t>
        </is>
      </c>
      <c r="H35" t="inlineStr">
        <is>
          <t>SIN CODIGO BPIN</t>
        </is>
      </c>
      <c r="I35" t="inlineStr">
        <is>
          <t>00</t>
        </is>
      </c>
      <c r="J35" t="inlineStr">
        <is>
          <t>SIN PRODUCTO DANE</t>
        </is>
      </c>
      <c r="K35" t="inlineStr">
        <is>
          <t>00</t>
        </is>
      </c>
      <c r="L35" t="inlineStr">
        <is>
          <t>SIN ATRIBUTO</t>
        </is>
      </c>
      <c r="N35" t="inlineStr">
        <is>
          <t>2.1.1.01.03.001.03</t>
        </is>
      </c>
      <c r="O35" t="inlineStr">
        <is>
          <t>Bonificacion especial de recreacion</t>
        </is>
      </c>
      <c r="P35" t="inlineStr">
        <is>
          <t>1.2.1.0.00</t>
        </is>
      </c>
      <c r="Q35" t="inlineStr">
        <is>
          <t>INGRESOS CORRIENTES DE LIBRE DESTINACION</t>
        </is>
      </c>
      <c r="R35" t="n">
        <v>33782688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33782688</v>
      </c>
      <c r="Z35" t="n">
        <v>17358165</v>
      </c>
      <c r="AA35" t="n">
        <v>15661538</v>
      </c>
      <c r="AB35" t="n">
        <v>15612622</v>
      </c>
      <c r="AC35" t="n">
        <v>11835088</v>
      </c>
      <c r="AD35" t="n">
        <v>18121150</v>
      </c>
      <c r="AE35" t="n">
        <v>46.36</v>
      </c>
    </row>
    <row r="36">
      <c r="A36" t="inlineStr">
        <is>
          <t>1 - ADMINISTRACIÓN CENTRAL</t>
        </is>
      </c>
      <c r="B36" t="inlineStr">
        <is>
          <t>00 - SIN SECTOR</t>
        </is>
      </c>
      <c r="C36" t="inlineStr">
        <is>
          <t>00</t>
        </is>
      </c>
      <c r="D36" t="inlineStr">
        <is>
          <t>0000</t>
        </is>
      </c>
      <c r="E36" t="inlineStr">
        <is>
          <t>0000000</t>
        </is>
      </c>
      <c r="F36" t="inlineStr">
        <is>
          <t>SIN PRODUCTO</t>
        </is>
      </c>
      <c r="G36" t="inlineStr">
        <is>
          <t>00</t>
        </is>
      </c>
      <c r="H36" t="inlineStr">
        <is>
          <t>SIN CODIGO BPIN</t>
        </is>
      </c>
      <c r="I36" t="inlineStr">
        <is>
          <t>00</t>
        </is>
      </c>
      <c r="J36" t="inlineStr">
        <is>
          <t>SIN PRODUCTO DANE</t>
        </is>
      </c>
      <c r="K36" t="inlineStr">
        <is>
          <t>00</t>
        </is>
      </c>
      <c r="L36" t="inlineStr">
        <is>
          <t>SIN ATRIBUTO</t>
        </is>
      </c>
      <c r="N36" t="inlineStr">
        <is>
          <t>2.1.1.01.03.003</t>
        </is>
      </c>
      <c r="O36" t="inlineStr">
        <is>
          <t>Bonificacion de direccion para gobernadores y alcaldes</t>
        </is>
      </c>
      <c r="P36" t="inlineStr">
        <is>
          <t>1.2.1.0.00</t>
        </is>
      </c>
      <c r="Q36" t="inlineStr">
        <is>
          <t>INGRESOS CORRIENTES DE LIBRE DESTINACION</t>
        </is>
      </c>
      <c r="R36" t="n">
        <v>75000000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75000000</v>
      </c>
      <c r="Z36" t="n">
        <v>0</v>
      </c>
      <c r="AA36" t="n">
        <v>0</v>
      </c>
      <c r="AB36" t="n">
        <v>0</v>
      </c>
      <c r="AC36" t="n">
        <v>0</v>
      </c>
      <c r="AD36" t="n">
        <v>75000000</v>
      </c>
      <c r="AE36" t="n">
        <v>0</v>
      </c>
    </row>
    <row r="37">
      <c r="A37" t="inlineStr">
        <is>
          <t>1 - ADMINISTRACIÓN CENTRAL</t>
        </is>
      </c>
      <c r="B37" t="inlineStr">
        <is>
          <t>00 - SIN SECTOR</t>
        </is>
      </c>
      <c r="C37" t="inlineStr">
        <is>
          <t>00</t>
        </is>
      </c>
      <c r="D37" t="inlineStr">
        <is>
          <t>0000</t>
        </is>
      </c>
      <c r="E37" t="inlineStr">
        <is>
          <t>0000000</t>
        </is>
      </c>
      <c r="F37" t="inlineStr">
        <is>
          <t>SIN PRODUCTO</t>
        </is>
      </c>
      <c r="G37" t="inlineStr">
        <is>
          <t>00</t>
        </is>
      </c>
      <c r="H37" t="inlineStr">
        <is>
          <t>SIN CODIGO BPIN</t>
        </is>
      </c>
      <c r="I37" t="inlineStr">
        <is>
          <t>00</t>
        </is>
      </c>
      <c r="J37" t="inlineStr">
        <is>
          <t>SIN PRODUCTO DANE</t>
        </is>
      </c>
      <c r="K37" t="inlineStr">
        <is>
          <t>00</t>
        </is>
      </c>
      <c r="L37" t="inlineStr">
        <is>
          <t>SIN ATRIBUTO</t>
        </is>
      </c>
      <c r="N37" t="inlineStr">
        <is>
          <t>2.1.1.01.03.004</t>
        </is>
      </c>
      <c r="O37" t="inlineStr">
        <is>
          <t>Bonificacion de gestion territorial para alcaldes</t>
        </is>
      </c>
      <c r="P37" t="inlineStr">
        <is>
          <t>1.2.1.0.00</t>
        </is>
      </c>
      <c r="Q37" t="inlineStr">
        <is>
          <t>INGRESOS CORRIENTES DE LIBRE DESTINACION</t>
        </is>
      </c>
      <c r="R37" t="n">
        <v>17000000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17000000</v>
      </c>
      <c r="Z37" t="n">
        <v>0</v>
      </c>
      <c r="AA37" t="n">
        <v>0</v>
      </c>
      <c r="AB37" t="n">
        <v>0</v>
      </c>
      <c r="AC37" t="n">
        <v>0</v>
      </c>
      <c r="AD37" t="n">
        <v>17000000</v>
      </c>
      <c r="AE37" t="n">
        <v>0</v>
      </c>
    </row>
    <row r="38">
      <c r="A38" t="inlineStr">
        <is>
          <t>1 - ADMINISTRACIÓN CENTRAL</t>
        </is>
      </c>
      <c r="B38" t="inlineStr">
        <is>
          <t>00 - SIN SECTOR</t>
        </is>
      </c>
      <c r="C38" t="inlineStr">
        <is>
          <t>00</t>
        </is>
      </c>
      <c r="D38" t="inlineStr">
        <is>
          <t>0000</t>
        </is>
      </c>
      <c r="E38" t="inlineStr">
        <is>
          <t>0000000</t>
        </is>
      </c>
      <c r="F38" t="inlineStr">
        <is>
          <t>SIN PRODUCTO</t>
        </is>
      </c>
      <c r="G38" t="inlineStr">
        <is>
          <t>00</t>
        </is>
      </c>
      <c r="H38" t="inlineStr">
        <is>
          <t>SIN CODIGO BPIN</t>
        </is>
      </c>
      <c r="I38" t="inlineStr">
        <is>
          <t>00</t>
        </is>
      </c>
      <c r="J38" t="inlineStr">
        <is>
          <t>SIN PRODUCTO DANE</t>
        </is>
      </c>
      <c r="K38" t="inlineStr">
        <is>
          <t>00</t>
        </is>
      </c>
      <c r="L38" t="inlineStr">
        <is>
          <t>SIN ATRIBUTO</t>
        </is>
      </c>
      <c r="N38" t="inlineStr">
        <is>
          <t>2.1.1.01.03.069</t>
        </is>
      </c>
      <c r="O38" t="inlineStr">
        <is>
          <t>Apoyo de sostenimiento aprendices bajo modalidad de contrato de aprendizaje</t>
        </is>
      </c>
      <c r="P38" t="inlineStr">
        <is>
          <t>1.2.1.0.00</t>
        </is>
      </c>
      <c r="Q38" t="inlineStr">
        <is>
          <t>INGRESOS CORRIENTES DE LIBRE DESTINACION</t>
        </is>
      </c>
      <c r="R38" t="n">
        <v>45000000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45000000</v>
      </c>
      <c r="Z38" t="n">
        <v>0</v>
      </c>
      <c r="AA38" t="n">
        <v>0</v>
      </c>
      <c r="AB38" t="n">
        <v>0</v>
      </c>
      <c r="AC38" t="n">
        <v>0</v>
      </c>
      <c r="AD38" t="n">
        <v>45000000</v>
      </c>
      <c r="AE38" t="n">
        <v>0</v>
      </c>
    </row>
    <row r="39">
      <c r="A39" t="inlineStr">
        <is>
          <t>1 - ADMINISTRACIÓN CENTRAL</t>
        </is>
      </c>
      <c r="B39" t="inlineStr">
        <is>
          <t>00 - SIN SECTOR</t>
        </is>
      </c>
      <c r="C39" t="inlineStr">
        <is>
          <t>00</t>
        </is>
      </c>
      <c r="D39" t="inlineStr">
        <is>
          <t>0000</t>
        </is>
      </c>
      <c r="E39" t="inlineStr">
        <is>
          <t>0000000</t>
        </is>
      </c>
      <c r="F39" t="inlineStr">
        <is>
          <t>SIN PRODUCTO</t>
        </is>
      </c>
      <c r="G39" t="inlineStr">
        <is>
          <t>00</t>
        </is>
      </c>
      <c r="H39" t="inlineStr">
        <is>
          <t>SIN CODIGO BPIN</t>
        </is>
      </c>
      <c r="I39" t="inlineStr">
        <is>
          <t>00</t>
        </is>
      </c>
      <c r="J39" t="inlineStr">
        <is>
          <t>SIN PRODUCTO DANE</t>
        </is>
      </c>
      <c r="K39" t="inlineStr">
        <is>
          <t>00</t>
        </is>
      </c>
      <c r="L39" t="inlineStr">
        <is>
          <t>SIN ATRIBUTO</t>
        </is>
      </c>
      <c r="N39" t="inlineStr">
        <is>
          <t>2.1.1.02</t>
        </is>
      </c>
      <c r="O39" t="inlineStr">
        <is>
          <t>Personal supernumerario y planta temporal</t>
        </is>
      </c>
      <c r="P39" t="inlineStr">
        <is>
          <t>00</t>
        </is>
      </c>
      <c r="Q39" t="inlineStr">
        <is>
          <t>RECURSO PROPIOS</t>
        </is>
      </c>
      <c r="R39" t="n">
        <v>32000000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32000000</v>
      </c>
      <c r="Z39" t="n">
        <v>11000000</v>
      </c>
      <c r="AA39" t="n">
        <v>11000000</v>
      </c>
      <c r="AB39" t="n">
        <v>3000000</v>
      </c>
      <c r="AC39" t="n">
        <v>3000000</v>
      </c>
      <c r="AD39" t="n">
        <v>21000000</v>
      </c>
      <c r="AE39" t="n">
        <v>34.38</v>
      </c>
    </row>
    <row r="40">
      <c r="A40" t="inlineStr">
        <is>
          <t>1 - ADMINISTRACIÓN CENTRAL</t>
        </is>
      </c>
      <c r="B40" t="inlineStr">
        <is>
          <t>00 - SIN SECTOR</t>
        </is>
      </c>
      <c r="C40" t="inlineStr">
        <is>
          <t>00</t>
        </is>
      </c>
      <c r="D40" t="inlineStr">
        <is>
          <t>0000</t>
        </is>
      </c>
      <c r="E40" t="inlineStr">
        <is>
          <t>0000000</t>
        </is>
      </c>
      <c r="F40" t="inlineStr">
        <is>
          <t>SIN PRODUCTO</t>
        </is>
      </c>
      <c r="G40" t="inlineStr">
        <is>
          <t>00</t>
        </is>
      </c>
      <c r="H40" t="inlineStr">
        <is>
          <t>SIN CODIGO BPIN</t>
        </is>
      </c>
      <c r="I40" t="inlineStr">
        <is>
          <t>00</t>
        </is>
      </c>
      <c r="J40" t="inlineStr">
        <is>
          <t>SIN PRODUCTO DANE</t>
        </is>
      </c>
      <c r="K40" t="inlineStr">
        <is>
          <t>00</t>
        </is>
      </c>
      <c r="L40" t="inlineStr">
        <is>
          <t>SIN ATRIBUTO</t>
        </is>
      </c>
      <c r="N40" t="inlineStr">
        <is>
          <t>2.1.1.02.02</t>
        </is>
      </c>
      <c r="O40" t="inlineStr">
        <is>
          <t>Contribuciones inherentes a la nomina</t>
        </is>
      </c>
      <c r="P40" t="inlineStr">
        <is>
          <t>00</t>
        </is>
      </c>
      <c r="Q40" t="inlineStr">
        <is>
          <t>RECURSO PROPIOS</t>
        </is>
      </c>
      <c r="R40" t="n">
        <v>2000000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2000000</v>
      </c>
      <c r="Z40" t="n">
        <v>0</v>
      </c>
      <c r="AA40" t="n">
        <v>0</v>
      </c>
      <c r="AB40" t="n">
        <v>0</v>
      </c>
      <c r="AC40" t="n">
        <v>0</v>
      </c>
      <c r="AD40" t="n">
        <v>2000000</v>
      </c>
      <c r="AE40" t="n">
        <v>0</v>
      </c>
    </row>
    <row r="41">
      <c r="A41" t="inlineStr">
        <is>
          <t>1 - ADMINISTRACIÓN CENTRAL</t>
        </is>
      </c>
      <c r="B41" t="inlineStr">
        <is>
          <t>00 - SIN SECTOR</t>
        </is>
      </c>
      <c r="C41" t="inlineStr">
        <is>
          <t>00</t>
        </is>
      </c>
      <c r="D41" t="inlineStr">
        <is>
          <t>0000</t>
        </is>
      </c>
      <c r="E41" t="inlineStr">
        <is>
          <t>0000000</t>
        </is>
      </c>
      <c r="F41" t="inlineStr">
        <is>
          <t>SIN PRODUCTO</t>
        </is>
      </c>
      <c r="G41" t="inlineStr">
        <is>
          <t>00</t>
        </is>
      </c>
      <c r="H41" t="inlineStr">
        <is>
          <t>SIN CODIGO BPIN</t>
        </is>
      </c>
      <c r="I41" t="inlineStr">
        <is>
          <t>00</t>
        </is>
      </c>
      <c r="J41" t="inlineStr">
        <is>
          <t>SIN PRODUCTO DANE</t>
        </is>
      </c>
      <c r="K41" t="inlineStr">
        <is>
          <t>00</t>
        </is>
      </c>
      <c r="L41" t="inlineStr">
        <is>
          <t>SIN ATRIBUTO</t>
        </is>
      </c>
      <c r="N41" t="inlineStr">
        <is>
          <t>2.1.1.02.02.005</t>
        </is>
      </c>
      <c r="O41" t="inlineStr">
        <is>
          <t>Aportes generales al sistema de riesgos laborales</t>
        </is>
      </c>
      <c r="P41" t="inlineStr">
        <is>
          <t>1.2.1.0.00</t>
        </is>
      </c>
      <c r="Q41" t="inlineStr">
        <is>
          <t>INGRESOS CORRIENTES DE LIBRE DESTINACION</t>
        </is>
      </c>
      <c r="R41" t="n">
        <v>2000000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2000000</v>
      </c>
      <c r="Z41" t="n">
        <v>0</v>
      </c>
      <c r="AA41" t="n">
        <v>0</v>
      </c>
      <c r="AB41" t="n">
        <v>0</v>
      </c>
      <c r="AC41" t="n">
        <v>0</v>
      </c>
      <c r="AD41" t="n">
        <v>2000000</v>
      </c>
      <c r="AE41" t="n">
        <v>0</v>
      </c>
    </row>
    <row r="42">
      <c r="A42" t="inlineStr">
        <is>
          <t>1 - ADMINISTRACIÓN CENTRAL</t>
        </is>
      </c>
      <c r="B42" t="inlineStr">
        <is>
          <t>00 - SIN SECTOR</t>
        </is>
      </c>
      <c r="C42" t="inlineStr">
        <is>
          <t>00</t>
        </is>
      </c>
      <c r="D42" t="inlineStr">
        <is>
          <t>0000</t>
        </is>
      </c>
      <c r="E42" t="inlineStr">
        <is>
          <t>0000000</t>
        </is>
      </c>
      <c r="F42" t="inlineStr">
        <is>
          <t>SIN PRODUCTO</t>
        </is>
      </c>
      <c r="G42" t="inlineStr">
        <is>
          <t>00</t>
        </is>
      </c>
      <c r="H42" t="inlineStr">
        <is>
          <t>SIN CODIGO BPIN</t>
        </is>
      </c>
      <c r="I42" t="inlineStr">
        <is>
          <t>00</t>
        </is>
      </c>
      <c r="J42" t="inlineStr">
        <is>
          <t>SIN PRODUCTO DANE</t>
        </is>
      </c>
      <c r="K42" t="inlineStr">
        <is>
          <t>00</t>
        </is>
      </c>
      <c r="L42" t="inlineStr">
        <is>
          <t>SIN ATRIBUTO</t>
        </is>
      </c>
      <c r="N42" t="inlineStr">
        <is>
          <t>2.1.1.02.03</t>
        </is>
      </c>
      <c r="O42" t="inlineStr">
        <is>
          <t>Remuneraciones no constitutivas de factor salarial</t>
        </is>
      </c>
      <c r="P42" t="inlineStr">
        <is>
          <t>00</t>
        </is>
      </c>
      <c r="Q42" t="inlineStr">
        <is>
          <t>RECURSO PROPIOS</t>
        </is>
      </c>
      <c r="R42" t="n">
        <v>30000000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30000000</v>
      </c>
      <c r="Z42" t="n">
        <v>11000000</v>
      </c>
      <c r="AA42" t="n">
        <v>11000000</v>
      </c>
      <c r="AB42" t="n">
        <v>3000000</v>
      </c>
      <c r="AC42" t="n">
        <v>3000000</v>
      </c>
      <c r="AD42" t="n">
        <v>19000000</v>
      </c>
      <c r="AE42" t="n">
        <v>36.67</v>
      </c>
    </row>
    <row r="43">
      <c r="A43" t="inlineStr">
        <is>
          <t>1 - ADMINISTRACIÓN CENTRAL</t>
        </is>
      </c>
      <c r="B43" t="inlineStr">
        <is>
          <t>00 - SIN SECTOR</t>
        </is>
      </c>
      <c r="C43" t="inlineStr">
        <is>
          <t>00</t>
        </is>
      </c>
      <c r="D43" t="inlineStr">
        <is>
          <t>0000</t>
        </is>
      </c>
      <c r="E43" t="inlineStr">
        <is>
          <t>0000000</t>
        </is>
      </c>
      <c r="F43" t="inlineStr">
        <is>
          <t>SIN PRODUCTO</t>
        </is>
      </c>
      <c r="G43" t="inlineStr">
        <is>
          <t>00</t>
        </is>
      </c>
      <c r="H43" t="inlineStr">
        <is>
          <t>SIN CODIGO BPIN</t>
        </is>
      </c>
      <c r="I43" t="inlineStr">
        <is>
          <t>00</t>
        </is>
      </c>
      <c r="J43" t="inlineStr">
        <is>
          <t>SIN PRODUCTO DANE</t>
        </is>
      </c>
      <c r="K43" t="inlineStr">
        <is>
          <t>00</t>
        </is>
      </c>
      <c r="L43" t="inlineStr">
        <is>
          <t>SIN ATRIBUTO</t>
        </is>
      </c>
      <c r="N43" t="inlineStr">
        <is>
          <t>2.1.1.02.03.107</t>
        </is>
      </c>
      <c r="O43" t="inlineStr">
        <is>
          <t>Auxilios para desplazamiento</t>
        </is>
      </c>
      <c r="P43" t="inlineStr">
        <is>
          <t>1.2.1.0.00</t>
        </is>
      </c>
      <c r="Q43" t="inlineStr">
        <is>
          <t>INGRESOS CORRIENTES DE LIBRE DESTINACION</t>
        </is>
      </c>
      <c r="R43" t="n">
        <v>30000000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30000000</v>
      </c>
      <c r="Z43" t="n">
        <v>11000000</v>
      </c>
      <c r="AA43" t="n">
        <v>11000000</v>
      </c>
      <c r="AB43" t="n">
        <v>3000000</v>
      </c>
      <c r="AC43" t="n">
        <v>3000000</v>
      </c>
      <c r="AD43" t="n">
        <v>19000000</v>
      </c>
      <c r="AE43" t="n">
        <v>36.67</v>
      </c>
    </row>
    <row r="44">
      <c r="A44" t="inlineStr">
        <is>
          <t>1 - ADMINISTRACIÓN CENTRAL</t>
        </is>
      </c>
      <c r="B44" t="inlineStr">
        <is>
          <t>00 - SIN SECTOR</t>
        </is>
      </c>
      <c r="C44" t="inlineStr">
        <is>
          <t>00</t>
        </is>
      </c>
      <c r="D44" t="inlineStr">
        <is>
          <t>0000</t>
        </is>
      </c>
      <c r="E44" t="inlineStr">
        <is>
          <t>0000000</t>
        </is>
      </c>
      <c r="F44" t="inlineStr">
        <is>
          <t>SIN PRODUCTO</t>
        </is>
      </c>
      <c r="G44" t="inlineStr">
        <is>
          <t>00</t>
        </is>
      </c>
      <c r="H44" t="inlineStr">
        <is>
          <t>SIN CODIGO BPIN</t>
        </is>
      </c>
      <c r="I44" t="inlineStr">
        <is>
          <t>00</t>
        </is>
      </c>
      <c r="J44" t="inlineStr">
        <is>
          <t>SIN PRODUCTO DANE</t>
        </is>
      </c>
      <c r="K44" t="inlineStr">
        <is>
          <t>00</t>
        </is>
      </c>
      <c r="L44" t="inlineStr">
        <is>
          <t>SIN ATRIBUTO</t>
        </is>
      </c>
      <c r="N44" t="inlineStr">
        <is>
          <t>2.1.2</t>
        </is>
      </c>
      <c r="O44" t="inlineStr">
        <is>
          <t>Adquisicion de bienes y servicios</t>
        </is>
      </c>
      <c r="P44" t="inlineStr">
        <is>
          <t>00</t>
        </is>
      </c>
      <c r="Q44" t="inlineStr">
        <is>
          <t>RECURSO PROPIOS</t>
        </is>
      </c>
      <c r="R44" t="n">
        <v>8201000000</v>
      </c>
      <c r="S44" t="n">
        <v>5014052</v>
      </c>
      <c r="T44" t="n">
        <v>0</v>
      </c>
      <c r="U44" t="n">
        <v>918000000</v>
      </c>
      <c r="V44" t="n">
        <v>840000000</v>
      </c>
      <c r="W44" t="n">
        <v>0</v>
      </c>
      <c r="X44" t="n">
        <v>0</v>
      </c>
      <c r="Y44" t="n">
        <v>8284014052</v>
      </c>
      <c r="Z44" t="n">
        <v>4693090640.82</v>
      </c>
      <c r="AA44" t="n">
        <v>3673051267.82</v>
      </c>
      <c r="AB44" t="n">
        <v>2008608232.15</v>
      </c>
      <c r="AC44" t="n">
        <v>1621361619.28</v>
      </c>
      <c r="AD44" t="n">
        <v>4610962784.18</v>
      </c>
      <c r="AE44" t="n">
        <v>44.34</v>
      </c>
    </row>
    <row r="45">
      <c r="A45" t="inlineStr">
        <is>
          <t>1 - ADMINISTRACIÓN CENTRAL</t>
        </is>
      </c>
      <c r="B45" t="inlineStr">
        <is>
          <t>00 - SIN SECTOR</t>
        </is>
      </c>
      <c r="C45" t="inlineStr">
        <is>
          <t>00</t>
        </is>
      </c>
      <c r="D45" t="inlineStr">
        <is>
          <t>0000</t>
        </is>
      </c>
      <c r="E45" t="inlineStr">
        <is>
          <t>0000000</t>
        </is>
      </c>
      <c r="F45" t="inlineStr">
        <is>
          <t>SIN PRODUCTO</t>
        </is>
      </c>
      <c r="G45" t="inlineStr">
        <is>
          <t>00</t>
        </is>
      </c>
      <c r="H45" t="inlineStr">
        <is>
          <t>SIN CODIGO BPIN</t>
        </is>
      </c>
      <c r="I45" t="inlineStr">
        <is>
          <t>00</t>
        </is>
      </c>
      <c r="J45" t="inlineStr">
        <is>
          <t>SIN PRODUCTO DANE</t>
        </is>
      </c>
      <c r="K45" t="inlineStr">
        <is>
          <t>00</t>
        </is>
      </c>
      <c r="L45" t="inlineStr">
        <is>
          <t>SIN ATRIBUTO</t>
        </is>
      </c>
      <c r="N45" t="inlineStr">
        <is>
          <t>2.1.2.01</t>
        </is>
      </c>
      <c r="O45" t="inlineStr">
        <is>
          <t>Adquisicion de activos no financieros</t>
        </is>
      </c>
      <c r="P45" t="inlineStr">
        <is>
          <t>00</t>
        </is>
      </c>
      <c r="Q45" t="inlineStr">
        <is>
          <t>RECURSO PROPIOS</t>
        </is>
      </c>
      <c r="R45" t="n">
        <v>150000000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150000000</v>
      </c>
      <c r="Z45" t="n">
        <v>0</v>
      </c>
      <c r="AA45" t="n">
        <v>0</v>
      </c>
      <c r="AB45" t="n">
        <v>0</v>
      </c>
      <c r="AC45" t="n">
        <v>0</v>
      </c>
      <c r="AD45" t="n">
        <v>150000000</v>
      </c>
      <c r="AE45" t="n">
        <v>0</v>
      </c>
    </row>
    <row r="46">
      <c r="A46" t="inlineStr">
        <is>
          <t>1 - ADMINISTRACIÓN CENTRAL</t>
        </is>
      </c>
      <c r="B46" t="inlineStr">
        <is>
          <t>00 - SIN SECTOR</t>
        </is>
      </c>
      <c r="C46" t="inlineStr">
        <is>
          <t>00</t>
        </is>
      </c>
      <c r="D46" t="inlineStr">
        <is>
          <t>0000</t>
        </is>
      </c>
      <c r="E46" t="inlineStr">
        <is>
          <t>0000000</t>
        </is>
      </c>
      <c r="F46" t="inlineStr">
        <is>
          <t>SIN PRODUCTO</t>
        </is>
      </c>
      <c r="G46" t="inlineStr">
        <is>
          <t>00</t>
        </is>
      </c>
      <c r="H46" t="inlineStr">
        <is>
          <t>SIN CODIGO BPIN</t>
        </is>
      </c>
      <c r="I46" t="inlineStr">
        <is>
          <t>00</t>
        </is>
      </c>
      <c r="J46" t="inlineStr">
        <is>
          <t>SIN PRODUCTO DANE</t>
        </is>
      </c>
      <c r="K46" t="inlineStr">
        <is>
          <t>00</t>
        </is>
      </c>
      <c r="L46" t="inlineStr">
        <is>
          <t>SIN ATRIBUTO</t>
        </is>
      </c>
      <c r="N46" t="inlineStr">
        <is>
          <t>2.1.2.01.01</t>
        </is>
      </c>
      <c r="O46" t="inlineStr">
        <is>
          <t>Activos fijos</t>
        </is>
      </c>
      <c r="P46" t="inlineStr">
        <is>
          <t>00</t>
        </is>
      </c>
      <c r="Q46" t="inlineStr">
        <is>
          <t>RECURSO PROPIOS</t>
        </is>
      </c>
      <c r="R46" t="n">
        <v>150000000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150000000</v>
      </c>
      <c r="Z46" t="n">
        <v>0</v>
      </c>
      <c r="AA46" t="n">
        <v>0</v>
      </c>
      <c r="AB46" t="n">
        <v>0</v>
      </c>
      <c r="AC46" t="n">
        <v>0</v>
      </c>
      <c r="AD46" t="n">
        <v>150000000</v>
      </c>
      <c r="AE46" t="n">
        <v>0</v>
      </c>
    </row>
    <row r="47">
      <c r="A47" t="inlineStr">
        <is>
          <t>1 - ADMINISTRACIÓN CENTRAL</t>
        </is>
      </c>
      <c r="B47" t="inlineStr">
        <is>
          <t>00 - SIN SECTOR</t>
        </is>
      </c>
      <c r="C47" t="inlineStr">
        <is>
          <t>00</t>
        </is>
      </c>
      <c r="D47" t="inlineStr">
        <is>
          <t>0000</t>
        </is>
      </c>
      <c r="E47" t="inlineStr">
        <is>
          <t>0000000</t>
        </is>
      </c>
      <c r="F47" t="inlineStr">
        <is>
          <t>SIN PRODUCTO</t>
        </is>
      </c>
      <c r="G47" t="inlineStr">
        <is>
          <t>00</t>
        </is>
      </c>
      <c r="H47" t="inlineStr">
        <is>
          <t>SIN CODIGO BPIN</t>
        </is>
      </c>
      <c r="I47" t="inlineStr">
        <is>
          <t>00</t>
        </is>
      </c>
      <c r="J47" t="inlineStr">
        <is>
          <t>SIN PRODUCTO DANE</t>
        </is>
      </c>
      <c r="K47" t="inlineStr">
        <is>
          <t>00</t>
        </is>
      </c>
      <c r="L47" t="inlineStr">
        <is>
          <t>SIN ATRIBUTO</t>
        </is>
      </c>
      <c r="N47" t="inlineStr">
        <is>
          <t>2.1.2.01.01.003</t>
        </is>
      </c>
      <c r="O47" t="inlineStr">
        <is>
          <t>Maquinaria y equipo</t>
        </is>
      </c>
      <c r="P47" t="inlineStr">
        <is>
          <t>00</t>
        </is>
      </c>
      <c r="Q47" t="inlineStr">
        <is>
          <t>RECURSO PROPIOS</t>
        </is>
      </c>
      <c r="R47" t="n">
        <v>100000000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100000000</v>
      </c>
      <c r="Z47" t="n">
        <v>0</v>
      </c>
      <c r="AA47" t="n">
        <v>0</v>
      </c>
      <c r="AB47" t="n">
        <v>0</v>
      </c>
      <c r="AC47" t="n">
        <v>0</v>
      </c>
      <c r="AD47" t="n">
        <v>100000000</v>
      </c>
      <c r="AE47" t="n">
        <v>0</v>
      </c>
    </row>
    <row r="48">
      <c r="A48" t="inlineStr">
        <is>
          <t>1 - ADMINISTRACIÓN CENTRAL</t>
        </is>
      </c>
      <c r="B48" t="inlineStr">
        <is>
          <t>00 - SIN SECTOR</t>
        </is>
      </c>
      <c r="C48" t="inlineStr">
        <is>
          <t>00</t>
        </is>
      </c>
      <c r="D48" t="inlineStr">
        <is>
          <t>0000</t>
        </is>
      </c>
      <c r="E48" t="inlineStr">
        <is>
          <t>0000000</t>
        </is>
      </c>
      <c r="F48" t="inlineStr">
        <is>
          <t>SIN PRODUCTO</t>
        </is>
      </c>
      <c r="G48" t="inlineStr">
        <is>
          <t>00</t>
        </is>
      </c>
      <c r="H48" t="inlineStr">
        <is>
          <t>SIN CODIGO BPIN</t>
        </is>
      </c>
      <c r="I48" t="inlineStr">
        <is>
          <t>00</t>
        </is>
      </c>
      <c r="J48" t="inlineStr">
        <is>
          <t>SIN PRODUCTO DANE</t>
        </is>
      </c>
      <c r="K48" t="inlineStr">
        <is>
          <t>00</t>
        </is>
      </c>
      <c r="L48" t="inlineStr">
        <is>
          <t>SIN ATRIBUTO</t>
        </is>
      </c>
      <c r="N48" t="inlineStr">
        <is>
          <t>2.1.2.01.01.003.03</t>
        </is>
      </c>
      <c r="O48" t="inlineStr">
        <is>
          <t>Maquinaria de oficina, contabilidad e informatica</t>
        </is>
      </c>
      <c r="P48" t="inlineStr">
        <is>
          <t>00</t>
        </is>
      </c>
      <c r="Q48" t="inlineStr">
        <is>
          <t>RECURSO PROPIOS</t>
        </is>
      </c>
      <c r="R48" t="n">
        <v>100000000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100000000</v>
      </c>
      <c r="Z48" t="n">
        <v>0</v>
      </c>
      <c r="AA48" t="n">
        <v>0</v>
      </c>
      <c r="AB48" t="n">
        <v>0</v>
      </c>
      <c r="AC48" t="n">
        <v>0</v>
      </c>
      <c r="AD48" t="n">
        <v>100000000</v>
      </c>
      <c r="AE48" t="n">
        <v>0</v>
      </c>
    </row>
    <row r="49">
      <c r="A49" t="inlineStr">
        <is>
          <t>1 - ADMINISTRACIÓN CENTRAL</t>
        </is>
      </c>
      <c r="B49" t="inlineStr">
        <is>
          <t>00 - SIN SECTOR</t>
        </is>
      </c>
      <c r="C49" t="inlineStr">
        <is>
          <t>00</t>
        </is>
      </c>
      <c r="D49" t="inlineStr">
        <is>
          <t>0000</t>
        </is>
      </c>
      <c r="E49" t="inlineStr">
        <is>
          <t>0000000</t>
        </is>
      </c>
      <c r="F49" t="inlineStr">
        <is>
          <t>SIN PRODUCTO</t>
        </is>
      </c>
      <c r="G49" t="inlineStr">
        <is>
          <t>00</t>
        </is>
      </c>
      <c r="H49" t="inlineStr">
        <is>
          <t>SIN CODIGO BPIN</t>
        </is>
      </c>
      <c r="I49" t="inlineStr">
        <is>
          <t>00</t>
        </is>
      </c>
      <c r="J49" t="inlineStr">
        <is>
          <t>SIN PRODUCTO DANE</t>
        </is>
      </c>
      <c r="K49" t="inlineStr">
        <is>
          <t>00</t>
        </is>
      </c>
      <c r="L49" t="inlineStr">
        <is>
          <t>SIN ATRIBUTO</t>
        </is>
      </c>
      <c r="N49" t="inlineStr">
        <is>
          <t>2.1.2.01.01.003.03.02</t>
        </is>
      </c>
      <c r="O49" t="inlineStr">
        <is>
          <t>Maquinaria de informatica y sus partes, piezas y accesorios</t>
        </is>
      </c>
      <c r="P49" t="inlineStr">
        <is>
          <t>00</t>
        </is>
      </c>
      <c r="Q49" t="inlineStr">
        <is>
          <t>RECURSO PROPIOS</t>
        </is>
      </c>
      <c r="R49" t="n">
        <v>100000000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100000000</v>
      </c>
      <c r="Z49" t="n">
        <v>0</v>
      </c>
      <c r="AA49" t="n">
        <v>0</v>
      </c>
      <c r="AB49" t="n">
        <v>0</v>
      </c>
      <c r="AC49" t="n">
        <v>0</v>
      </c>
      <c r="AD49" t="n">
        <v>100000000</v>
      </c>
      <c r="AE49" t="n">
        <v>0</v>
      </c>
    </row>
    <row r="50">
      <c r="A50" t="inlineStr">
        <is>
          <t>1 - ADMINISTRACIÓN CENTRAL</t>
        </is>
      </c>
      <c r="B50" t="inlineStr">
        <is>
          <t>00 - SIN SECTOR</t>
        </is>
      </c>
      <c r="C50" t="inlineStr">
        <is>
          <t>00</t>
        </is>
      </c>
      <c r="D50" t="inlineStr">
        <is>
          <t>0000</t>
        </is>
      </c>
      <c r="E50" t="inlineStr">
        <is>
          <t>0000000</t>
        </is>
      </c>
      <c r="F50" t="inlineStr">
        <is>
          <t>SIN PRODUCTO</t>
        </is>
      </c>
      <c r="G50" t="inlineStr">
        <is>
          <t>00</t>
        </is>
      </c>
      <c r="H50" t="inlineStr">
        <is>
          <t>SIN CODIGO BPIN</t>
        </is>
      </c>
      <c r="I50" t="inlineStr">
        <is>
          <t>00</t>
        </is>
      </c>
      <c r="J50" t="inlineStr">
        <is>
          <t>SIN PRODUCTO DANE</t>
        </is>
      </c>
      <c r="K50" t="inlineStr">
        <is>
          <t>00</t>
        </is>
      </c>
      <c r="L50" t="inlineStr">
        <is>
          <t>SIN ATRIBUTO</t>
        </is>
      </c>
      <c r="N50" t="inlineStr">
        <is>
          <t>2.1.2.01.01.003.03.02.01</t>
        </is>
      </c>
      <c r="O50" t="inlineStr">
        <is>
          <t>Compra de equipos de oficina (Computadores, impresoras, escaner, entre otros)</t>
        </is>
      </c>
      <c r="P50" t="inlineStr">
        <is>
          <t>1.2.1.0.00</t>
        </is>
      </c>
      <c r="Q50" t="inlineStr">
        <is>
          <t>INGRESOS CORRIENTES DE LIBRE DESTINACION</t>
        </is>
      </c>
      <c r="R50" t="n">
        <v>100000000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100000000</v>
      </c>
      <c r="Z50" t="n">
        <v>0</v>
      </c>
      <c r="AA50" t="n">
        <v>0</v>
      </c>
      <c r="AB50" t="n">
        <v>0</v>
      </c>
      <c r="AC50" t="n">
        <v>0</v>
      </c>
      <c r="AD50" t="n">
        <v>100000000</v>
      </c>
      <c r="AE50" t="n">
        <v>0</v>
      </c>
    </row>
    <row r="51">
      <c r="A51" t="inlineStr">
        <is>
          <t>1 - ADMINISTRACIÓN CENTRAL</t>
        </is>
      </c>
      <c r="B51" t="inlineStr">
        <is>
          <t>00 - SIN SECTOR</t>
        </is>
      </c>
      <c r="C51" t="inlineStr">
        <is>
          <t>00</t>
        </is>
      </c>
      <c r="D51" t="inlineStr">
        <is>
          <t>0000</t>
        </is>
      </c>
      <c r="E51" t="inlineStr">
        <is>
          <t>0000000</t>
        </is>
      </c>
      <c r="F51" t="inlineStr">
        <is>
          <t>SIN PRODUCTO</t>
        </is>
      </c>
      <c r="G51" t="inlineStr">
        <is>
          <t>00</t>
        </is>
      </c>
      <c r="H51" t="inlineStr">
        <is>
          <t>SIN CODIGO BPIN</t>
        </is>
      </c>
      <c r="I51" t="inlineStr">
        <is>
          <t>00</t>
        </is>
      </c>
      <c r="J51" t="inlineStr">
        <is>
          <t>SIN PRODUCTO DANE</t>
        </is>
      </c>
      <c r="K51" t="inlineStr">
        <is>
          <t>00</t>
        </is>
      </c>
      <c r="L51" t="inlineStr">
        <is>
          <t>SIN ATRIBUTO</t>
        </is>
      </c>
      <c r="N51" t="inlineStr">
        <is>
          <t>2.1.2.01.01.004</t>
        </is>
      </c>
      <c r="O51" t="inlineStr">
        <is>
          <t>Activos fijos no clasificados como maquinaria y equipo</t>
        </is>
      </c>
      <c r="P51" t="inlineStr">
        <is>
          <t>00</t>
        </is>
      </c>
      <c r="Q51" t="inlineStr">
        <is>
          <t>RECURSO PROPIOS</t>
        </is>
      </c>
      <c r="R51" t="n">
        <v>50000000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50000000</v>
      </c>
      <c r="Z51" t="n">
        <v>0</v>
      </c>
      <c r="AA51" t="n">
        <v>0</v>
      </c>
      <c r="AB51" t="n">
        <v>0</v>
      </c>
      <c r="AC51" t="n">
        <v>0</v>
      </c>
      <c r="AD51" t="n">
        <v>50000000</v>
      </c>
      <c r="AE51" t="n">
        <v>0</v>
      </c>
    </row>
    <row r="52">
      <c r="A52" t="inlineStr">
        <is>
          <t>1 - ADMINISTRACIÓN CENTRAL</t>
        </is>
      </c>
      <c r="B52" t="inlineStr">
        <is>
          <t>00 - SIN SECTOR</t>
        </is>
      </c>
      <c r="C52" t="inlineStr">
        <is>
          <t>00</t>
        </is>
      </c>
      <c r="D52" t="inlineStr">
        <is>
          <t>0000</t>
        </is>
      </c>
      <c r="E52" t="inlineStr">
        <is>
          <t>0000000</t>
        </is>
      </c>
      <c r="F52" t="inlineStr">
        <is>
          <t>SIN PRODUCTO</t>
        </is>
      </c>
      <c r="G52" t="inlineStr">
        <is>
          <t>00</t>
        </is>
      </c>
      <c r="H52" t="inlineStr">
        <is>
          <t>SIN CODIGO BPIN</t>
        </is>
      </c>
      <c r="I52" t="inlineStr">
        <is>
          <t>00</t>
        </is>
      </c>
      <c r="J52" t="inlineStr">
        <is>
          <t>SIN PRODUCTO DANE</t>
        </is>
      </c>
      <c r="K52" t="inlineStr">
        <is>
          <t>00</t>
        </is>
      </c>
      <c r="L52" t="inlineStr">
        <is>
          <t>SIN ATRIBUTO</t>
        </is>
      </c>
      <c r="N52" t="inlineStr">
        <is>
          <t>2.1.2.01.01.004.01</t>
        </is>
      </c>
      <c r="O52" t="inlineStr">
        <is>
          <t>Muebles, instrumentos musicales, articulos de deporte y antigãœedades</t>
        </is>
      </c>
      <c r="P52" t="inlineStr">
        <is>
          <t>00</t>
        </is>
      </c>
      <c r="Q52" t="inlineStr">
        <is>
          <t>RECURSO PROPIOS</t>
        </is>
      </c>
      <c r="R52" t="n">
        <v>50000000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50000000</v>
      </c>
      <c r="Z52" t="n">
        <v>0</v>
      </c>
      <c r="AA52" t="n">
        <v>0</v>
      </c>
      <c r="AB52" t="n">
        <v>0</v>
      </c>
      <c r="AC52" t="n">
        <v>0</v>
      </c>
      <c r="AD52" t="n">
        <v>50000000</v>
      </c>
      <c r="AE52" t="n">
        <v>0</v>
      </c>
    </row>
    <row r="53">
      <c r="A53" t="inlineStr">
        <is>
          <t>1 - ADMINISTRACIÓN CENTRAL</t>
        </is>
      </c>
      <c r="B53" t="inlineStr">
        <is>
          <t>00 - SIN SECTOR</t>
        </is>
      </c>
      <c r="C53" t="inlineStr">
        <is>
          <t>00</t>
        </is>
      </c>
      <c r="D53" t="inlineStr">
        <is>
          <t>0000</t>
        </is>
      </c>
      <c r="E53" t="inlineStr">
        <is>
          <t>0000000</t>
        </is>
      </c>
      <c r="F53" t="inlineStr">
        <is>
          <t>SIN PRODUCTO</t>
        </is>
      </c>
      <c r="G53" t="inlineStr">
        <is>
          <t>00</t>
        </is>
      </c>
      <c r="H53" t="inlineStr">
        <is>
          <t>SIN CODIGO BPIN</t>
        </is>
      </c>
      <c r="I53" t="inlineStr">
        <is>
          <t>00</t>
        </is>
      </c>
      <c r="J53" t="inlineStr">
        <is>
          <t>SIN PRODUCTO DANE</t>
        </is>
      </c>
      <c r="K53" t="inlineStr">
        <is>
          <t>00</t>
        </is>
      </c>
      <c r="L53" t="inlineStr">
        <is>
          <t>SIN ATRIBUTO</t>
        </is>
      </c>
      <c r="N53" t="inlineStr">
        <is>
          <t>2.1.2.01.01.004.01.01</t>
        </is>
      </c>
      <c r="O53" t="inlineStr">
        <is>
          <t>Muebles</t>
        </is>
      </c>
      <c r="P53" t="inlineStr">
        <is>
          <t>00</t>
        </is>
      </c>
      <c r="Q53" t="inlineStr">
        <is>
          <t>RECURSO PROPIOS</t>
        </is>
      </c>
      <c r="R53" t="n">
        <v>50000000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50000000</v>
      </c>
      <c r="Z53" t="n">
        <v>0</v>
      </c>
      <c r="AA53" t="n">
        <v>0</v>
      </c>
      <c r="AB53" t="n">
        <v>0</v>
      </c>
      <c r="AC53" t="n">
        <v>0</v>
      </c>
      <c r="AD53" t="n">
        <v>50000000</v>
      </c>
      <c r="AE53" t="n">
        <v>0</v>
      </c>
    </row>
    <row r="54">
      <c r="A54" t="inlineStr">
        <is>
          <t>1 - ADMINISTRACIÓN CENTRAL</t>
        </is>
      </c>
      <c r="B54" t="inlineStr">
        <is>
          <t>00 - SIN SECTOR</t>
        </is>
      </c>
      <c r="C54" t="inlineStr">
        <is>
          <t>00</t>
        </is>
      </c>
      <c r="D54" t="inlineStr">
        <is>
          <t>0000</t>
        </is>
      </c>
      <c r="E54" t="inlineStr">
        <is>
          <t>0000000</t>
        </is>
      </c>
      <c r="F54" t="inlineStr">
        <is>
          <t>SIN PRODUCTO</t>
        </is>
      </c>
      <c r="G54" t="inlineStr">
        <is>
          <t>00</t>
        </is>
      </c>
      <c r="H54" t="inlineStr">
        <is>
          <t>SIN CODIGO BPIN</t>
        </is>
      </c>
      <c r="I54" t="inlineStr">
        <is>
          <t>00</t>
        </is>
      </c>
      <c r="J54" t="inlineStr">
        <is>
          <t>SIN PRODUCTO DANE</t>
        </is>
      </c>
      <c r="K54" t="inlineStr">
        <is>
          <t>00</t>
        </is>
      </c>
      <c r="L54" t="inlineStr">
        <is>
          <t>SIN ATRIBUTO</t>
        </is>
      </c>
      <c r="N54" t="inlineStr">
        <is>
          <t>2.1.2.01.01.004.01.01.02</t>
        </is>
      </c>
      <c r="O54" t="inlineStr">
        <is>
          <t>Muebles del tipo utilizado en la oficina</t>
        </is>
      </c>
      <c r="P54" t="inlineStr">
        <is>
          <t>00</t>
        </is>
      </c>
      <c r="Q54" t="inlineStr">
        <is>
          <t>RECURSO PROPIOS</t>
        </is>
      </c>
      <c r="R54" t="n">
        <v>50000000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50000000</v>
      </c>
      <c r="Z54" t="n">
        <v>0</v>
      </c>
      <c r="AA54" t="n">
        <v>0</v>
      </c>
      <c r="AB54" t="n">
        <v>0</v>
      </c>
      <c r="AC54" t="n">
        <v>0</v>
      </c>
      <c r="AD54" t="n">
        <v>50000000</v>
      </c>
      <c r="AE54" t="n">
        <v>0</v>
      </c>
    </row>
    <row r="55">
      <c r="A55" t="inlineStr">
        <is>
          <t>1 - ADMINISTRACIÓN CENTRAL</t>
        </is>
      </c>
      <c r="B55" t="inlineStr">
        <is>
          <t>00 - SIN SECTOR</t>
        </is>
      </c>
      <c r="C55" t="inlineStr">
        <is>
          <t>00</t>
        </is>
      </c>
      <c r="D55" t="inlineStr">
        <is>
          <t>0000</t>
        </is>
      </c>
      <c r="E55" t="inlineStr">
        <is>
          <t>0000000</t>
        </is>
      </c>
      <c r="F55" t="inlineStr">
        <is>
          <t>SIN PRODUCTO</t>
        </is>
      </c>
      <c r="G55" t="inlineStr">
        <is>
          <t>00</t>
        </is>
      </c>
      <c r="H55" t="inlineStr">
        <is>
          <t>SIN CODIGO BPIN</t>
        </is>
      </c>
      <c r="I55" t="inlineStr">
        <is>
          <t>00</t>
        </is>
      </c>
      <c r="J55" t="inlineStr">
        <is>
          <t>SIN PRODUCTO DANE</t>
        </is>
      </c>
      <c r="K55" t="inlineStr">
        <is>
          <t>00</t>
        </is>
      </c>
      <c r="L55" t="inlineStr">
        <is>
          <t>SIN ATRIBUTO</t>
        </is>
      </c>
      <c r="N55" t="inlineStr">
        <is>
          <t>2.1.2.01.01.004.01.01.02.01</t>
        </is>
      </c>
      <c r="O55" t="inlineStr">
        <is>
          <t>Mobiliario para oficina</t>
        </is>
      </c>
      <c r="P55" t="inlineStr">
        <is>
          <t>1.2.1.0.00</t>
        </is>
      </c>
      <c r="Q55" t="inlineStr">
        <is>
          <t>INGRESOS CORRIENTES DE LIBRE DESTINACION</t>
        </is>
      </c>
      <c r="R55" t="n">
        <v>50000000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50000000</v>
      </c>
      <c r="Z55" t="n">
        <v>0</v>
      </c>
      <c r="AA55" t="n">
        <v>0</v>
      </c>
      <c r="AB55" t="n">
        <v>0</v>
      </c>
      <c r="AC55" t="n">
        <v>0</v>
      </c>
      <c r="AD55" t="n">
        <v>50000000</v>
      </c>
      <c r="AE55" t="n">
        <v>0</v>
      </c>
    </row>
    <row r="56">
      <c r="A56" t="inlineStr">
        <is>
          <t>1 - ADMINISTRACIÓN CENTRAL</t>
        </is>
      </c>
      <c r="B56" t="inlineStr">
        <is>
          <t>00 - SIN SECTOR</t>
        </is>
      </c>
      <c r="C56" t="inlineStr">
        <is>
          <t>00</t>
        </is>
      </c>
      <c r="D56" t="inlineStr">
        <is>
          <t>0000</t>
        </is>
      </c>
      <c r="E56" t="inlineStr">
        <is>
          <t>0000000</t>
        </is>
      </c>
      <c r="F56" t="inlineStr">
        <is>
          <t>SIN PRODUCTO</t>
        </is>
      </c>
      <c r="G56" t="inlineStr">
        <is>
          <t>00</t>
        </is>
      </c>
      <c r="H56" t="inlineStr">
        <is>
          <t>SIN CODIGO BPIN</t>
        </is>
      </c>
      <c r="I56" t="inlineStr">
        <is>
          <t>00</t>
        </is>
      </c>
      <c r="J56" t="inlineStr">
        <is>
          <t>SIN PRODUCTO DANE</t>
        </is>
      </c>
      <c r="K56" t="inlineStr">
        <is>
          <t>00</t>
        </is>
      </c>
      <c r="L56" t="inlineStr">
        <is>
          <t>SIN ATRIBUTO</t>
        </is>
      </c>
      <c r="N56" t="inlineStr">
        <is>
          <t>2.1.2.02</t>
        </is>
      </c>
      <c r="O56" t="inlineStr">
        <is>
          <t>Adquisiciones diferentes de activos</t>
        </is>
      </c>
      <c r="P56" t="inlineStr">
        <is>
          <t>00</t>
        </is>
      </c>
      <c r="Q56" t="inlineStr">
        <is>
          <t>RECURSO PROPIOS</t>
        </is>
      </c>
      <c r="R56" t="n">
        <v>8051000000</v>
      </c>
      <c r="S56" t="n">
        <v>5014052</v>
      </c>
      <c r="T56" t="n">
        <v>0</v>
      </c>
      <c r="U56" t="n">
        <v>918000000</v>
      </c>
      <c r="V56" t="n">
        <v>840000000</v>
      </c>
      <c r="W56" t="n">
        <v>0</v>
      </c>
      <c r="X56" t="n">
        <v>0</v>
      </c>
      <c r="Y56" t="n">
        <v>8134014052</v>
      </c>
      <c r="Z56" t="n">
        <v>4693090640.82</v>
      </c>
      <c r="AA56" t="n">
        <v>3673051267.82</v>
      </c>
      <c r="AB56" t="n">
        <v>2008608232.15</v>
      </c>
      <c r="AC56" t="n">
        <v>1621361619.28</v>
      </c>
      <c r="AD56" t="n">
        <v>4460962784.18</v>
      </c>
      <c r="AE56" t="n">
        <v>45.16</v>
      </c>
    </row>
    <row r="57">
      <c r="A57" t="inlineStr">
        <is>
          <t>1 - ADMINISTRACIÓN CENTRAL</t>
        </is>
      </c>
      <c r="B57" t="inlineStr">
        <is>
          <t>00 - SIN SECTOR</t>
        </is>
      </c>
      <c r="C57" t="inlineStr">
        <is>
          <t>00</t>
        </is>
      </c>
      <c r="D57" t="inlineStr">
        <is>
          <t>0000</t>
        </is>
      </c>
      <c r="E57" t="inlineStr">
        <is>
          <t>0000000</t>
        </is>
      </c>
      <c r="F57" t="inlineStr">
        <is>
          <t>SIN PRODUCTO</t>
        </is>
      </c>
      <c r="G57" t="inlineStr">
        <is>
          <t>00</t>
        </is>
      </c>
      <c r="H57" t="inlineStr">
        <is>
          <t>SIN CODIGO BPIN</t>
        </is>
      </c>
      <c r="I57" t="inlineStr">
        <is>
          <t>00</t>
        </is>
      </c>
      <c r="J57" t="inlineStr">
        <is>
          <t>SIN PRODUCTO DANE</t>
        </is>
      </c>
      <c r="K57" t="inlineStr">
        <is>
          <t>00</t>
        </is>
      </c>
      <c r="L57" t="inlineStr">
        <is>
          <t>SIN ATRIBUTO</t>
        </is>
      </c>
      <c r="N57" t="inlineStr">
        <is>
          <t>2.1.2.02.01</t>
        </is>
      </c>
      <c r="O57" t="inlineStr">
        <is>
          <t>Materiales y suministros</t>
        </is>
      </c>
      <c r="P57" t="inlineStr">
        <is>
          <t>00</t>
        </is>
      </c>
      <c r="Q57" t="inlineStr">
        <is>
          <t>RECURSO PROPIOS</t>
        </is>
      </c>
      <c r="R57" t="n">
        <v>600000000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600000000</v>
      </c>
      <c r="Z57" t="n">
        <v>515552167</v>
      </c>
      <c r="AA57" t="n">
        <v>29195821</v>
      </c>
      <c r="AB57" t="n">
        <v>13445821</v>
      </c>
      <c r="AC57" t="n">
        <v>13445821</v>
      </c>
      <c r="AD57" t="n">
        <v>570804179</v>
      </c>
      <c r="AE57" t="n">
        <v>4.87</v>
      </c>
    </row>
    <row r="58">
      <c r="A58" t="inlineStr">
        <is>
          <t>1 - ADMINISTRACIÓN CENTRAL</t>
        </is>
      </c>
      <c r="B58" t="inlineStr">
        <is>
          <t>00 - SIN SECTOR</t>
        </is>
      </c>
      <c r="C58" t="inlineStr">
        <is>
          <t>00</t>
        </is>
      </c>
      <c r="D58" t="inlineStr">
        <is>
          <t>0000</t>
        </is>
      </c>
      <c r="E58" t="inlineStr">
        <is>
          <t>0000000</t>
        </is>
      </c>
      <c r="F58" t="inlineStr">
        <is>
          <t>SIN PRODUCTO</t>
        </is>
      </c>
      <c r="G58" t="inlineStr">
        <is>
          <t>00</t>
        </is>
      </c>
      <c r="H58" t="inlineStr">
        <is>
          <t>SIN CODIGO BPIN</t>
        </is>
      </c>
      <c r="I58" t="inlineStr">
        <is>
          <t>00</t>
        </is>
      </c>
      <c r="J58" t="inlineStr">
        <is>
          <t>SIN PRODUCTO DANE</t>
        </is>
      </c>
      <c r="K58" t="inlineStr">
        <is>
          <t>00</t>
        </is>
      </c>
      <c r="L58" t="inlineStr">
        <is>
          <t>SIN ATRIBUTO</t>
        </is>
      </c>
      <c r="N58" t="inlineStr">
        <is>
          <t>2.1.2.02.01.002</t>
        </is>
      </c>
      <c r="O58" t="inlineStr">
        <is>
          <t>Productos alimenticios, bebidas y tabaco, textiles, prendas de vestir y productos de cuero</t>
        </is>
      </c>
      <c r="P58" t="inlineStr">
        <is>
          <t>00</t>
        </is>
      </c>
      <c r="Q58" t="inlineStr">
        <is>
          <t>RECURSO PROPIOS</t>
        </is>
      </c>
      <c r="R58" t="n">
        <v>150000000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150000000</v>
      </c>
      <c r="Z58" t="n">
        <v>135361327</v>
      </c>
      <c r="AA58" t="n">
        <v>2195821</v>
      </c>
      <c r="AB58" t="n">
        <v>2195821</v>
      </c>
      <c r="AC58" t="n">
        <v>2195821</v>
      </c>
      <c r="AD58" t="n">
        <v>147804179</v>
      </c>
      <c r="AE58" t="n">
        <v>1.46</v>
      </c>
    </row>
    <row r="59">
      <c r="A59" t="inlineStr">
        <is>
          <t>1 - ADMINISTRACIÓN CENTRAL</t>
        </is>
      </c>
      <c r="B59" t="inlineStr">
        <is>
          <t>00 - SIN SECTOR</t>
        </is>
      </c>
      <c r="C59" t="inlineStr">
        <is>
          <t>00</t>
        </is>
      </c>
      <c r="D59" t="inlineStr">
        <is>
          <t>0000</t>
        </is>
      </c>
      <c r="E59" t="inlineStr">
        <is>
          <t>0000000</t>
        </is>
      </c>
      <c r="F59" t="inlineStr">
        <is>
          <t>SIN PRODUCTO</t>
        </is>
      </c>
      <c r="G59" t="inlineStr">
        <is>
          <t>00</t>
        </is>
      </c>
      <c r="H59" t="inlineStr">
        <is>
          <t>SIN CODIGO BPIN</t>
        </is>
      </c>
      <c r="I59" t="inlineStr">
        <is>
          <t>2823609</t>
        </is>
      </c>
      <c r="J59" t="inlineStr">
        <is>
          <t>Uniformes de trabajo</t>
        </is>
      </c>
      <c r="K59" t="inlineStr">
        <is>
          <t>00</t>
        </is>
      </c>
      <c r="L59" t="inlineStr">
        <is>
          <t>SIN ATRIBUTO</t>
        </is>
      </c>
      <c r="N59" t="inlineStr">
        <is>
          <t>2.1.2.02.01.002.01</t>
        </is>
      </c>
      <c r="O59" t="inlineStr">
        <is>
          <t>Dotacion de Uniformes</t>
        </is>
      </c>
      <c r="P59" t="inlineStr">
        <is>
          <t>1.2.1.0.00</t>
        </is>
      </c>
      <c r="Q59" t="inlineStr">
        <is>
          <t>INGRESOS CORRIENTES DE LIBRE DESTINACION</t>
        </is>
      </c>
      <c r="R59" t="n">
        <v>150000000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150000000</v>
      </c>
      <c r="Z59" t="n">
        <v>135361327</v>
      </c>
      <c r="AA59" t="n">
        <v>2195821</v>
      </c>
      <c r="AB59" t="n">
        <v>2195821</v>
      </c>
      <c r="AC59" t="n">
        <v>2195821</v>
      </c>
      <c r="AD59" t="n">
        <v>147804179</v>
      </c>
      <c r="AE59" t="n">
        <v>1.46</v>
      </c>
    </row>
    <row r="60">
      <c r="A60" t="inlineStr">
        <is>
          <t>1 - ADMINISTRACIÓN CENTRAL</t>
        </is>
      </c>
      <c r="B60" t="inlineStr">
        <is>
          <t>00 - SIN SECTOR</t>
        </is>
      </c>
      <c r="C60" t="inlineStr">
        <is>
          <t>00</t>
        </is>
      </c>
      <c r="D60" t="inlineStr">
        <is>
          <t>0000</t>
        </is>
      </c>
      <c r="E60" t="inlineStr">
        <is>
          <t>0000000</t>
        </is>
      </c>
      <c r="F60" t="inlineStr">
        <is>
          <t>SIN PRODUCTO</t>
        </is>
      </c>
      <c r="G60" t="inlineStr">
        <is>
          <t>00</t>
        </is>
      </c>
      <c r="H60" t="inlineStr">
        <is>
          <t>SIN CODIGO BPIN</t>
        </is>
      </c>
      <c r="I60" t="inlineStr">
        <is>
          <t>00</t>
        </is>
      </c>
      <c r="J60" t="inlineStr">
        <is>
          <t>SIN PRODUCTO DANE</t>
        </is>
      </c>
      <c r="K60" t="inlineStr">
        <is>
          <t>00</t>
        </is>
      </c>
      <c r="L60" t="inlineStr">
        <is>
          <t>SIN ATRIBUTO</t>
        </is>
      </c>
      <c r="N60" t="inlineStr">
        <is>
          <t>2.1.2.02.01.003</t>
        </is>
      </c>
      <c r="O60" t="inlineStr">
        <is>
          <t>Otros bienes transportables excepto productos metalicos, maquinaria y equipo</t>
        </is>
      </c>
      <c r="P60" t="inlineStr">
        <is>
          <t>00</t>
        </is>
      </c>
      <c r="Q60" t="inlineStr">
        <is>
          <t>RECURSO PROPIOS</t>
        </is>
      </c>
      <c r="R60" t="n">
        <v>450000000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450000000</v>
      </c>
      <c r="Z60" t="n">
        <v>380190840</v>
      </c>
      <c r="AA60" t="n">
        <v>27000000</v>
      </c>
      <c r="AB60" t="n">
        <v>11250000</v>
      </c>
      <c r="AC60" t="n">
        <v>11250000</v>
      </c>
      <c r="AD60" t="n">
        <v>423000000</v>
      </c>
      <c r="AE60" t="n">
        <v>6</v>
      </c>
    </row>
    <row r="61">
      <c r="A61" t="inlineStr">
        <is>
          <t>1 - ADMINISTRACIÓN CENTRAL</t>
        </is>
      </c>
      <c r="B61" t="inlineStr">
        <is>
          <t>00 - SIN SECTOR</t>
        </is>
      </c>
      <c r="C61" t="inlineStr">
        <is>
          <t>00</t>
        </is>
      </c>
      <c r="D61" t="inlineStr">
        <is>
          <t>0000</t>
        </is>
      </c>
      <c r="E61" t="inlineStr">
        <is>
          <t>0000000</t>
        </is>
      </c>
      <c r="F61" t="inlineStr">
        <is>
          <t>SIN PRODUCTO</t>
        </is>
      </c>
      <c r="G61" t="inlineStr">
        <is>
          <t>00</t>
        </is>
      </c>
      <c r="H61" t="inlineStr">
        <is>
          <t>SIN CODIGO BPIN</t>
        </is>
      </c>
      <c r="I61" t="inlineStr">
        <is>
          <t>3899998</t>
        </is>
      </c>
      <c r="J61" t="inlineStr">
        <is>
          <t>Artículos n.c.p. para escritorio y oficina</t>
        </is>
      </c>
      <c r="K61" t="inlineStr">
        <is>
          <t>00</t>
        </is>
      </c>
      <c r="L61" t="inlineStr">
        <is>
          <t>SIN ATRIBUTO</t>
        </is>
      </c>
      <c r="N61" t="inlineStr">
        <is>
          <t>2.1.2.02.01.003.01</t>
        </is>
      </c>
      <c r="O61" t="inlineStr">
        <is>
          <t>Insumos de papeleria y archivo</t>
        </is>
      </c>
      <c r="P61" t="inlineStr">
        <is>
          <t>1.2.1.0.00</t>
        </is>
      </c>
      <c r="Q61" t="inlineStr">
        <is>
          <t>INGRESOS CORRIENTES DE LIBRE DESTINACION</t>
        </is>
      </c>
      <c r="R61" t="n">
        <v>350000000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350000000</v>
      </c>
      <c r="Z61" t="n">
        <v>302190840</v>
      </c>
      <c r="AA61" t="n">
        <v>27000000</v>
      </c>
      <c r="AB61" t="n">
        <v>11250000</v>
      </c>
      <c r="AC61" t="n">
        <v>11250000</v>
      </c>
      <c r="AD61" t="n">
        <v>323000000</v>
      </c>
      <c r="AE61" t="n">
        <v>7.71</v>
      </c>
    </row>
    <row r="62">
      <c r="A62" t="inlineStr">
        <is>
          <t>1 - ADMINISTRACIÓN CENTRAL</t>
        </is>
      </c>
      <c r="B62" t="inlineStr">
        <is>
          <t>00 - SIN SECTOR</t>
        </is>
      </c>
      <c r="C62" t="inlineStr">
        <is>
          <t>00</t>
        </is>
      </c>
      <c r="D62" t="inlineStr">
        <is>
          <t>0000</t>
        </is>
      </c>
      <c r="E62" t="inlineStr">
        <is>
          <t>0000000</t>
        </is>
      </c>
      <c r="F62" t="inlineStr">
        <is>
          <t>SIN PRODUCTO</t>
        </is>
      </c>
      <c r="G62" t="inlineStr">
        <is>
          <t>00</t>
        </is>
      </c>
      <c r="H62" t="inlineStr">
        <is>
          <t>SIN CODIGO BPIN</t>
        </is>
      </c>
      <c r="I62" t="inlineStr">
        <is>
          <t>3899998</t>
        </is>
      </c>
      <c r="J62" t="inlineStr">
        <is>
          <t>Artículos n.c.p. para escritorio y oficina</t>
        </is>
      </c>
      <c r="K62" t="inlineStr">
        <is>
          <t>00</t>
        </is>
      </c>
      <c r="L62" t="inlineStr">
        <is>
          <t>SIN ATRIBUTO</t>
        </is>
      </c>
      <c r="N62" t="inlineStr">
        <is>
          <t>2.1.2.02.01.003.02</t>
        </is>
      </c>
      <c r="O62" t="inlineStr">
        <is>
          <t>Insumos de aseo y cafeteria</t>
        </is>
      </c>
      <c r="P62" t="inlineStr">
        <is>
          <t>1.2.1.0.00</t>
        </is>
      </c>
      <c r="Q62" t="inlineStr">
        <is>
          <t>INGRESOS CORRIENTES DE LIBRE DESTINACION</t>
        </is>
      </c>
      <c r="R62" t="n">
        <v>100000000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100000000</v>
      </c>
      <c r="Z62" t="n">
        <v>78000000</v>
      </c>
      <c r="AA62" t="n">
        <v>0</v>
      </c>
      <c r="AB62" t="n">
        <v>0</v>
      </c>
      <c r="AC62" t="n">
        <v>0</v>
      </c>
      <c r="AD62" t="n">
        <v>100000000</v>
      </c>
      <c r="AE62" t="n">
        <v>0</v>
      </c>
    </row>
    <row r="63">
      <c r="A63" t="inlineStr">
        <is>
          <t>1 - ADMINISTRACIÓN CENTRAL</t>
        </is>
      </c>
      <c r="B63" t="inlineStr">
        <is>
          <t>00 - SIN SECTOR</t>
        </is>
      </c>
      <c r="C63" t="inlineStr">
        <is>
          <t>00</t>
        </is>
      </c>
      <c r="D63" t="inlineStr">
        <is>
          <t>0000</t>
        </is>
      </c>
      <c r="E63" t="inlineStr">
        <is>
          <t>0000000</t>
        </is>
      </c>
      <c r="F63" t="inlineStr">
        <is>
          <t>SIN PRODUCTO</t>
        </is>
      </c>
      <c r="G63" t="inlineStr">
        <is>
          <t>00</t>
        </is>
      </c>
      <c r="H63" t="inlineStr">
        <is>
          <t>SIN CODIGO BPIN</t>
        </is>
      </c>
      <c r="I63" t="inlineStr">
        <is>
          <t>00</t>
        </is>
      </c>
      <c r="J63" t="inlineStr">
        <is>
          <t>SIN PRODUCTO DANE</t>
        </is>
      </c>
      <c r="K63" t="inlineStr">
        <is>
          <t>00</t>
        </is>
      </c>
      <c r="L63" t="inlineStr">
        <is>
          <t>SIN ATRIBUTO</t>
        </is>
      </c>
      <c r="N63" t="inlineStr">
        <is>
          <t>2.1.2.02.02</t>
        </is>
      </c>
      <c r="O63" t="inlineStr">
        <is>
          <t>Adquisicion de servicios</t>
        </is>
      </c>
      <c r="P63" t="inlineStr">
        <is>
          <t>00</t>
        </is>
      </c>
      <c r="Q63" t="inlineStr">
        <is>
          <t>RECURSO PROPIOS</t>
        </is>
      </c>
      <c r="R63" t="n">
        <v>7451000000</v>
      </c>
      <c r="S63" t="n">
        <v>5014052</v>
      </c>
      <c r="T63" t="n">
        <v>0</v>
      </c>
      <c r="U63" t="n">
        <v>918000000</v>
      </c>
      <c r="V63" t="n">
        <v>840000000</v>
      </c>
      <c r="W63" t="n">
        <v>0</v>
      </c>
      <c r="X63" t="n">
        <v>0</v>
      </c>
      <c r="Y63" t="n">
        <v>7534014052</v>
      </c>
      <c r="Z63" t="n">
        <v>4177538473.82</v>
      </c>
      <c r="AA63" t="n">
        <v>3643855446.82</v>
      </c>
      <c r="AB63" t="n">
        <v>1995162411.15</v>
      </c>
      <c r="AC63" t="n">
        <v>1607915798.28</v>
      </c>
      <c r="AD63" t="n">
        <v>3890158605.18</v>
      </c>
      <c r="AE63" t="n">
        <v>48.37</v>
      </c>
    </row>
    <row r="64">
      <c r="A64" t="inlineStr">
        <is>
          <t>1 - ADMINISTRACIÓN CENTRAL</t>
        </is>
      </c>
      <c r="B64" t="inlineStr">
        <is>
          <t>00 - SIN SECTOR</t>
        </is>
      </c>
      <c r="C64" t="inlineStr">
        <is>
          <t>00</t>
        </is>
      </c>
      <c r="D64" t="inlineStr">
        <is>
          <t>0000</t>
        </is>
      </c>
      <c r="E64" t="inlineStr">
        <is>
          <t>0000000</t>
        </is>
      </c>
      <c r="F64" t="inlineStr">
        <is>
          <t>SIN PRODUCTO</t>
        </is>
      </c>
      <c r="G64" t="inlineStr">
        <is>
          <t>00</t>
        </is>
      </c>
      <c r="H64" t="inlineStr">
        <is>
          <t>SIN CODIGO BPIN</t>
        </is>
      </c>
      <c r="I64" t="inlineStr">
        <is>
          <t>00</t>
        </is>
      </c>
      <c r="J64" t="inlineStr">
        <is>
          <t>SIN PRODUCTO DANE</t>
        </is>
      </c>
      <c r="K64" t="inlineStr">
        <is>
          <t>00</t>
        </is>
      </c>
      <c r="L64" t="inlineStr">
        <is>
          <t>SIN ATRIBUTO</t>
        </is>
      </c>
      <c r="N64" t="inlineStr">
        <is>
          <t>2.1.2.02.02.006</t>
        </is>
      </c>
      <c r="O64" t="inlineStr">
        <is>
          <t>Comercio y distribucion; alojamiento; servicios de suministro de comidas y bebidas; servicios de transporte; y servicios de distribucion de electricidad, gas y agua</t>
        </is>
      </c>
      <c r="P64" t="inlineStr">
        <is>
          <t>00</t>
        </is>
      </c>
      <c r="Q64" t="inlineStr">
        <is>
          <t>RECURSO PROPIOS</t>
        </is>
      </c>
      <c r="R64" t="n">
        <v>1380000000</v>
      </c>
      <c r="S64" t="n">
        <v>0</v>
      </c>
      <c r="T64" t="n">
        <v>0</v>
      </c>
      <c r="U64" t="n">
        <v>0</v>
      </c>
      <c r="V64" t="n">
        <v>600000000</v>
      </c>
      <c r="W64" t="n">
        <v>0</v>
      </c>
      <c r="X64" t="n">
        <v>0</v>
      </c>
      <c r="Y64" t="n">
        <v>780000000</v>
      </c>
      <c r="Z64" t="n">
        <v>245152386.83</v>
      </c>
      <c r="AA64" t="n">
        <v>245132386.83</v>
      </c>
      <c r="AB64" t="n">
        <v>107152386.83</v>
      </c>
      <c r="AC64" t="n">
        <v>107152386.83</v>
      </c>
      <c r="AD64" t="n">
        <v>534867613.17</v>
      </c>
      <c r="AE64" t="n">
        <v>31.43</v>
      </c>
    </row>
    <row r="65">
      <c r="A65" t="inlineStr">
        <is>
          <t>1 - ADMINISTRACIÓN CENTRAL</t>
        </is>
      </c>
      <c r="B65" t="inlineStr">
        <is>
          <t>00 - SIN SECTOR</t>
        </is>
      </c>
      <c r="C65" t="inlineStr">
        <is>
          <t>00</t>
        </is>
      </c>
      <c r="D65" t="inlineStr">
        <is>
          <t>0000</t>
        </is>
      </c>
      <c r="E65" t="inlineStr">
        <is>
          <t>0000000</t>
        </is>
      </c>
      <c r="F65" t="inlineStr">
        <is>
          <t>SIN PRODUCTO</t>
        </is>
      </c>
      <c r="G65" t="inlineStr">
        <is>
          <t>00</t>
        </is>
      </c>
      <c r="H65" t="inlineStr">
        <is>
          <t>SIN CODIGO BPIN</t>
        </is>
      </c>
      <c r="I65" t="inlineStr">
        <is>
          <t>62259</t>
        </is>
      </c>
      <c r="J65" t="inlineStr">
        <is>
          <t>Comercio al por menor de productos variados de consumo n.c.p. en establecimientos especializados</t>
        </is>
      </c>
      <c r="K65" t="inlineStr">
        <is>
          <t>00</t>
        </is>
      </c>
      <c r="L65" t="inlineStr">
        <is>
          <t>SIN ATRIBUTO</t>
        </is>
      </c>
      <c r="N65" t="inlineStr">
        <is>
          <t>2.1.2.02.02.006.01</t>
        </is>
      </c>
      <c r="O65" t="inlineStr">
        <is>
          <t>Servicios Publicos</t>
        </is>
      </c>
      <c r="P65" t="inlineStr">
        <is>
          <t>1.2.1.0.00</t>
        </is>
      </c>
      <c r="Q65" t="inlineStr">
        <is>
          <t>INGRESOS CORRIENTES DE LIBRE DESTINACION</t>
        </is>
      </c>
      <c r="R65" t="n">
        <v>1200000000</v>
      </c>
      <c r="S65" t="n">
        <v>0</v>
      </c>
      <c r="T65" t="n">
        <v>0</v>
      </c>
      <c r="U65" t="n">
        <v>0</v>
      </c>
      <c r="V65" t="n">
        <v>600000000</v>
      </c>
      <c r="W65" t="n">
        <v>0</v>
      </c>
      <c r="X65" t="n">
        <v>0</v>
      </c>
      <c r="Y65" t="n">
        <v>600000000</v>
      </c>
      <c r="Z65" t="n">
        <v>107152386.83</v>
      </c>
      <c r="AA65" t="n">
        <v>107152386.83</v>
      </c>
      <c r="AB65" t="n">
        <v>107152386.83</v>
      </c>
      <c r="AC65" t="n">
        <v>107152386.83</v>
      </c>
      <c r="AD65" t="n">
        <v>492847613.17</v>
      </c>
      <c r="AE65" t="n">
        <v>17.86</v>
      </c>
    </row>
    <row r="66">
      <c r="A66" t="inlineStr">
        <is>
          <t>1 - ADMINISTRACIÓN CENTRAL</t>
        </is>
      </c>
      <c r="B66" t="inlineStr">
        <is>
          <t>00 - SIN SECTOR</t>
        </is>
      </c>
      <c r="C66" t="inlineStr">
        <is>
          <t>00</t>
        </is>
      </c>
      <c r="D66" t="inlineStr">
        <is>
          <t>0000</t>
        </is>
      </c>
      <c r="E66" t="inlineStr">
        <is>
          <t>0000000</t>
        </is>
      </c>
      <c r="F66" t="inlineStr">
        <is>
          <t>SIN PRODUCTO</t>
        </is>
      </c>
      <c r="G66" t="inlineStr">
        <is>
          <t>00</t>
        </is>
      </c>
      <c r="H66" t="inlineStr">
        <is>
          <t>SIN CODIGO BPIN</t>
        </is>
      </c>
      <c r="I66" t="inlineStr">
        <is>
          <t>68030</t>
        </is>
      </c>
      <c r="J66" t="inlineStr">
        <is>
          <t>Servicios locales de entrega</t>
        </is>
      </c>
      <c r="K66" t="inlineStr">
        <is>
          <t>00</t>
        </is>
      </c>
      <c r="L66" t="inlineStr">
        <is>
          <t>SIN ATRIBUTO</t>
        </is>
      </c>
      <c r="N66" t="inlineStr">
        <is>
          <t>2.1.2.02.02.006.02</t>
        </is>
      </c>
      <c r="O66" t="inlineStr">
        <is>
          <t>Servicios Postales y de mensajeria</t>
        </is>
      </c>
      <c r="P66" t="inlineStr">
        <is>
          <t>1.2.1.0.00</t>
        </is>
      </c>
      <c r="Q66" t="inlineStr">
        <is>
          <t>INGRESOS CORRIENTES DE LIBRE DESTINACION</t>
        </is>
      </c>
      <c r="R66" t="n">
        <v>80000000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80000000</v>
      </c>
      <c r="Z66" t="n">
        <v>60000000</v>
      </c>
      <c r="AA66" t="n">
        <v>60000000</v>
      </c>
      <c r="AB66" t="n">
        <v>0</v>
      </c>
      <c r="AC66" t="n">
        <v>0</v>
      </c>
      <c r="AD66" t="n">
        <v>20000000</v>
      </c>
      <c r="AE66" t="n">
        <v>75</v>
      </c>
    </row>
    <row r="67">
      <c r="A67" t="inlineStr">
        <is>
          <t>1 - ADMINISTRACIÓN CENTRAL</t>
        </is>
      </c>
      <c r="B67" t="inlineStr">
        <is>
          <t>00 - SIN SECTOR</t>
        </is>
      </c>
      <c r="C67" t="inlineStr">
        <is>
          <t>00</t>
        </is>
      </c>
      <c r="D67" t="inlineStr">
        <is>
          <t>0000</t>
        </is>
      </c>
      <c r="E67" t="inlineStr">
        <is>
          <t>0000000</t>
        </is>
      </c>
      <c r="F67" t="inlineStr">
        <is>
          <t>SIN PRODUCTO</t>
        </is>
      </c>
      <c r="G67" t="inlineStr">
        <is>
          <t>00</t>
        </is>
      </c>
      <c r="H67" t="inlineStr">
        <is>
          <t>SIN CODIGO BPIN</t>
        </is>
      </c>
      <c r="I67" t="inlineStr">
        <is>
          <t>64220</t>
        </is>
      </c>
      <c r="J67" t="inlineStr">
        <is>
          <t>Servicios de transporte terrestre de pasajeros, diferente del transporte local y turístico de pasajeros</t>
        </is>
      </c>
      <c r="K67" t="inlineStr">
        <is>
          <t>00</t>
        </is>
      </c>
      <c r="L67" t="inlineStr">
        <is>
          <t>SIN ATRIBUTO</t>
        </is>
      </c>
      <c r="N67" t="inlineStr">
        <is>
          <t>2.1.2.02.02.006.04</t>
        </is>
      </c>
      <c r="O67" t="inlineStr">
        <is>
          <t>Transporte</t>
        </is>
      </c>
      <c r="P67" t="inlineStr">
        <is>
          <t>1.2.1.0.00</t>
        </is>
      </c>
      <c r="Q67" t="inlineStr">
        <is>
          <t>INGRESOS CORRIENTES DE LIBRE DESTINACION</t>
        </is>
      </c>
      <c r="R67" t="n">
        <v>100000000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100000000</v>
      </c>
      <c r="Z67" t="n">
        <v>78000000</v>
      </c>
      <c r="AA67" t="n">
        <v>77980000</v>
      </c>
      <c r="AB67" t="n">
        <v>0</v>
      </c>
      <c r="AC67" t="n">
        <v>0</v>
      </c>
      <c r="AD67" t="n">
        <v>22020000</v>
      </c>
      <c r="AE67" t="n">
        <v>77.98</v>
      </c>
    </row>
    <row r="68">
      <c r="A68" t="inlineStr">
        <is>
          <t>1 - ADMINISTRACIÓN CENTRAL</t>
        </is>
      </c>
      <c r="B68" t="inlineStr">
        <is>
          <t>00 - SIN SECTOR</t>
        </is>
      </c>
      <c r="C68" t="inlineStr">
        <is>
          <t>00</t>
        </is>
      </c>
      <c r="D68" t="inlineStr">
        <is>
          <t>0000</t>
        </is>
      </c>
      <c r="E68" t="inlineStr">
        <is>
          <t>0000000</t>
        </is>
      </c>
      <c r="F68" t="inlineStr">
        <is>
          <t>SIN PRODUCTO</t>
        </is>
      </c>
      <c r="G68" t="inlineStr">
        <is>
          <t>00</t>
        </is>
      </c>
      <c r="H68" t="inlineStr">
        <is>
          <t>SIN CODIGO BPIN</t>
        </is>
      </c>
      <c r="I68" t="inlineStr">
        <is>
          <t>00</t>
        </is>
      </c>
      <c r="J68" t="inlineStr">
        <is>
          <t>SIN PRODUCTO DANE</t>
        </is>
      </c>
      <c r="K68" t="inlineStr">
        <is>
          <t>00</t>
        </is>
      </c>
      <c r="L68" t="inlineStr">
        <is>
          <t>SIN ATRIBUTO</t>
        </is>
      </c>
      <c r="N68" t="inlineStr">
        <is>
          <t>2.1.2.02.02.007</t>
        </is>
      </c>
      <c r="O68" t="inlineStr">
        <is>
          <t>Servicios financieros y servicios conexos; servicios inmobiliarios; y servicios de arrendamiento y leasing</t>
        </is>
      </c>
      <c r="P68" t="inlineStr">
        <is>
          <t>00</t>
        </is>
      </c>
      <c r="Q68" t="inlineStr">
        <is>
          <t>RECURSO PROPIOS</t>
        </is>
      </c>
      <c r="R68" t="n">
        <v>800000000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800000000</v>
      </c>
      <c r="Z68" t="n">
        <v>455708487.3</v>
      </c>
      <c r="AA68" t="n">
        <v>88376263.3</v>
      </c>
      <c r="AB68" t="n">
        <v>33389659.3</v>
      </c>
      <c r="AC68" t="n">
        <v>33389659.3</v>
      </c>
      <c r="AD68" t="n">
        <v>711623736.7</v>
      </c>
      <c r="AE68" t="n">
        <v>11.05</v>
      </c>
    </row>
    <row r="69">
      <c r="A69" t="inlineStr">
        <is>
          <t>1 - ADMINISTRACIÓN CENTRAL</t>
        </is>
      </c>
      <c r="B69" t="inlineStr">
        <is>
          <t>00 - SIN SECTOR</t>
        </is>
      </c>
      <c r="C69" t="inlineStr">
        <is>
          <t>00</t>
        </is>
      </c>
      <c r="D69" t="inlineStr">
        <is>
          <t>0000</t>
        </is>
      </c>
      <c r="E69" t="inlineStr">
        <is>
          <t>0000000</t>
        </is>
      </c>
      <c r="F69" t="inlineStr">
        <is>
          <t>SIN PRODUCTO</t>
        </is>
      </c>
      <c r="G69" t="inlineStr">
        <is>
          <t>00</t>
        </is>
      </c>
      <c r="H69" t="inlineStr">
        <is>
          <t>SIN CODIGO BPIN</t>
        </is>
      </c>
      <c r="I69" t="inlineStr">
        <is>
          <t>71359</t>
        </is>
      </c>
      <c r="J69" t="inlineStr">
        <is>
          <t>Otros servicios de seguros distintos de los seguros de vida n.c.p.</t>
        </is>
      </c>
      <c r="K69" t="inlineStr">
        <is>
          <t>00</t>
        </is>
      </c>
      <c r="L69" t="inlineStr">
        <is>
          <t>SIN ATRIBUTO</t>
        </is>
      </c>
      <c r="N69" t="inlineStr">
        <is>
          <t>2.1.2.02.02.007.01</t>
        </is>
      </c>
      <c r="O69" t="inlineStr">
        <is>
          <t>Seguros</t>
        </is>
      </c>
      <c r="P69" t="inlineStr">
        <is>
          <t>1.2.1.0.00</t>
        </is>
      </c>
      <c r="Q69" t="inlineStr">
        <is>
          <t>INGRESOS CORRIENTES DE LIBRE DESTINACION</t>
        </is>
      </c>
      <c r="R69" t="n">
        <v>350000000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350000000</v>
      </c>
      <c r="Z69" t="n">
        <v>314193647</v>
      </c>
      <c r="AA69" t="n">
        <v>46861424</v>
      </c>
      <c r="AB69" t="n">
        <v>0</v>
      </c>
      <c r="AC69" t="n">
        <v>0</v>
      </c>
      <c r="AD69" t="n">
        <v>303138576</v>
      </c>
      <c r="AE69" t="n">
        <v>13.39</v>
      </c>
    </row>
    <row r="70">
      <c r="A70" t="inlineStr">
        <is>
          <t>1 - ADMINISTRACIÓN CENTRAL</t>
        </is>
      </c>
      <c r="B70" t="inlineStr">
        <is>
          <t>00 - SIN SECTOR</t>
        </is>
      </c>
      <c r="C70" t="inlineStr">
        <is>
          <t>00</t>
        </is>
      </c>
      <c r="D70" t="inlineStr">
        <is>
          <t>0000</t>
        </is>
      </c>
      <c r="E70" t="inlineStr">
        <is>
          <t>0000000</t>
        </is>
      </c>
      <c r="F70" t="inlineStr">
        <is>
          <t>SIN PRODUCTO</t>
        </is>
      </c>
      <c r="G70" t="inlineStr">
        <is>
          <t>00</t>
        </is>
      </c>
      <c r="H70" t="inlineStr">
        <is>
          <t>SIN CODIGO BPIN</t>
        </is>
      </c>
      <c r="I70" t="inlineStr">
        <is>
          <t>71199</t>
        </is>
      </c>
      <c r="J70" t="inlineStr">
        <is>
          <t>Otros servicios financieros n.c.p. (excepto los servicios de la banca de inversión, de seguros y de pensiones)</t>
        </is>
      </c>
      <c r="K70" t="inlineStr">
        <is>
          <t>00</t>
        </is>
      </c>
      <c r="L70" t="inlineStr">
        <is>
          <t>SIN ATRIBUTO</t>
        </is>
      </c>
      <c r="N70" t="inlineStr">
        <is>
          <t>2.1.2.02.02.007.02</t>
        </is>
      </c>
      <c r="O70" t="inlineStr">
        <is>
          <t>Comisiones y Gastos bancarios</t>
        </is>
      </c>
      <c r="P70" t="inlineStr">
        <is>
          <t>1.2.1.0.00</t>
        </is>
      </c>
      <c r="Q70" t="inlineStr">
        <is>
          <t>INGRESOS CORRIENTES DE LIBRE DESTINACION</t>
        </is>
      </c>
      <c r="R70" t="n">
        <v>200000000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200000000</v>
      </c>
      <c r="Z70" t="n">
        <v>888939.3</v>
      </c>
      <c r="AA70" t="n">
        <v>888939.3</v>
      </c>
      <c r="AB70" t="n">
        <v>888939.3</v>
      </c>
      <c r="AC70" t="n">
        <v>888939.3</v>
      </c>
      <c r="AD70" t="n">
        <v>199111060.7</v>
      </c>
      <c r="AE70" t="n">
        <v>0.44</v>
      </c>
    </row>
    <row r="71">
      <c r="A71" t="inlineStr">
        <is>
          <t>1 - ADMINISTRACIÓN CENTRAL</t>
        </is>
      </c>
      <c r="B71" t="inlineStr">
        <is>
          <t>00 - SIN SECTOR</t>
        </is>
      </c>
      <c r="C71" t="inlineStr">
        <is>
          <t>00</t>
        </is>
      </c>
      <c r="D71" t="inlineStr">
        <is>
          <t>0000</t>
        </is>
      </c>
      <c r="E71" t="inlineStr">
        <is>
          <t>0000000</t>
        </is>
      </c>
      <c r="F71" t="inlineStr">
        <is>
          <t>SIN PRODUCTO</t>
        </is>
      </c>
      <c r="G71" t="inlineStr">
        <is>
          <t>00</t>
        </is>
      </c>
      <c r="H71" t="inlineStr">
        <is>
          <t>SIN CODIGO BPIN</t>
        </is>
      </c>
      <c r="I71" t="inlineStr">
        <is>
          <t>72251</t>
        </is>
      </c>
      <c r="J71" t="inlineStr">
        <is>
          <t>Servicios de arrendamiento de bienes inmuebles residenciales (vivienda) a comisión o por contrato</t>
        </is>
      </c>
      <c r="K71" t="inlineStr">
        <is>
          <t>00</t>
        </is>
      </c>
      <c r="L71" t="inlineStr">
        <is>
          <t>SIN ATRIBUTO</t>
        </is>
      </c>
      <c r="N71" t="inlineStr">
        <is>
          <t>2.1.2.02.02.007.03</t>
        </is>
      </c>
      <c r="O71" t="inlineStr">
        <is>
          <t>Arrendamientos</t>
        </is>
      </c>
      <c r="P71" t="inlineStr">
        <is>
          <t>1.2.1.0.00</t>
        </is>
      </c>
      <c r="Q71" t="inlineStr">
        <is>
          <t>INGRESOS CORRIENTES DE LIBRE DESTINACION</t>
        </is>
      </c>
      <c r="R71" t="n">
        <v>150000000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150000000</v>
      </c>
      <c r="Z71" t="n">
        <v>40625901</v>
      </c>
      <c r="AA71" t="n">
        <v>40625900</v>
      </c>
      <c r="AB71" t="n">
        <v>32500720</v>
      </c>
      <c r="AC71" t="n">
        <v>32500720</v>
      </c>
      <c r="AD71" t="n">
        <v>109374100</v>
      </c>
      <c r="AE71" t="n">
        <v>27.08</v>
      </c>
    </row>
    <row r="72">
      <c r="A72" t="inlineStr">
        <is>
          <t>1 - ADMINISTRACIÓN CENTRAL</t>
        </is>
      </c>
      <c r="B72" t="inlineStr">
        <is>
          <t>00 - SIN SECTOR</t>
        </is>
      </c>
      <c r="C72" t="inlineStr">
        <is>
          <t>00</t>
        </is>
      </c>
      <c r="D72" t="inlineStr">
        <is>
          <t>0000</t>
        </is>
      </c>
      <c r="E72" t="inlineStr">
        <is>
          <t>0000000</t>
        </is>
      </c>
      <c r="F72" t="inlineStr">
        <is>
          <t>SIN PRODUCTO</t>
        </is>
      </c>
      <c r="G72" t="inlineStr">
        <is>
          <t>00</t>
        </is>
      </c>
      <c r="H72" t="inlineStr">
        <is>
          <t>SIN CODIGO BPIN</t>
        </is>
      </c>
      <c r="I72" t="inlineStr">
        <is>
          <t>73123</t>
        </is>
      </c>
      <c r="J72" t="inlineStr">
        <is>
          <t>Servicios de arrendamiento sin opción de compra de maquinaria y equipo de oficina sin operario (excepto computadoras)</t>
        </is>
      </c>
      <c r="K72" t="inlineStr">
        <is>
          <t>00</t>
        </is>
      </c>
      <c r="L72" t="inlineStr">
        <is>
          <t>SIN ATRIBUTO</t>
        </is>
      </c>
      <c r="N72" t="inlineStr">
        <is>
          <t>2.1.2.02.02.007.04</t>
        </is>
      </c>
      <c r="O72" t="inlineStr">
        <is>
          <t>Servicios de arrendamiento sin opción de compra de maquinaria y equipo de oficina sin operario (excepto computadoras)</t>
        </is>
      </c>
      <c r="P72" t="inlineStr">
        <is>
          <t>1.2.1.0.00</t>
        </is>
      </c>
      <c r="Q72" t="inlineStr">
        <is>
          <t>INGRESOS CORRIENTES DE LIBRE DESTINACION</t>
        </is>
      </c>
      <c r="R72" t="n">
        <v>100000000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100000000</v>
      </c>
      <c r="Z72" t="n">
        <v>100000000</v>
      </c>
      <c r="AA72" t="n">
        <v>0</v>
      </c>
      <c r="AB72" t="n">
        <v>0</v>
      </c>
      <c r="AC72" t="n">
        <v>0</v>
      </c>
      <c r="AD72" t="n">
        <v>100000000</v>
      </c>
      <c r="AE72" t="n">
        <v>0</v>
      </c>
    </row>
    <row r="73">
      <c r="A73" t="inlineStr">
        <is>
          <t>1 - ADMINISTRACIÓN CENTRAL</t>
        </is>
      </c>
      <c r="B73" t="inlineStr">
        <is>
          <t>00 - SIN SECTOR</t>
        </is>
      </c>
      <c r="C73" t="inlineStr">
        <is>
          <t>00</t>
        </is>
      </c>
      <c r="D73" t="inlineStr">
        <is>
          <t>0000</t>
        </is>
      </c>
      <c r="E73" t="inlineStr">
        <is>
          <t>0000000</t>
        </is>
      </c>
      <c r="F73" t="inlineStr">
        <is>
          <t>SIN PRODUCTO</t>
        </is>
      </c>
      <c r="G73" t="inlineStr">
        <is>
          <t>00</t>
        </is>
      </c>
      <c r="H73" t="inlineStr">
        <is>
          <t>SIN CODIGO BPIN</t>
        </is>
      </c>
      <c r="I73" t="inlineStr">
        <is>
          <t>00</t>
        </is>
      </c>
      <c r="J73" t="inlineStr">
        <is>
          <t>SIN PRODUCTO DANE</t>
        </is>
      </c>
      <c r="K73" t="inlineStr">
        <is>
          <t>00</t>
        </is>
      </c>
      <c r="L73" t="inlineStr">
        <is>
          <t>SIN ATRIBUTO</t>
        </is>
      </c>
      <c r="N73" t="inlineStr">
        <is>
          <t>2.1.2.02.02.008</t>
        </is>
      </c>
      <c r="O73" t="inlineStr">
        <is>
          <t xml:space="preserve">Servicios prestados a las empresas y servicios de produccion </t>
        </is>
      </c>
      <c r="P73" t="inlineStr">
        <is>
          <t>00</t>
        </is>
      </c>
      <c r="Q73" t="inlineStr">
        <is>
          <t>RECURSO PROPIOS</t>
        </is>
      </c>
      <c r="R73" t="n">
        <v>2860000000</v>
      </c>
      <c r="S73" t="n">
        <v>0</v>
      </c>
      <c r="T73" t="n">
        <v>0</v>
      </c>
      <c r="U73" t="n">
        <v>800000000</v>
      </c>
      <c r="V73" t="n">
        <v>200000000</v>
      </c>
      <c r="W73" t="n">
        <v>0</v>
      </c>
      <c r="X73" t="n">
        <v>0</v>
      </c>
      <c r="Y73" t="n">
        <v>3460000000</v>
      </c>
      <c r="Z73" t="n">
        <v>2256679634.69</v>
      </c>
      <c r="AA73" t="n">
        <v>2190581331.69</v>
      </c>
      <c r="AB73" t="n">
        <v>1104937120.69</v>
      </c>
      <c r="AC73" t="n">
        <v>898258007.8200001</v>
      </c>
      <c r="AD73" t="n">
        <v>1269418668.31</v>
      </c>
      <c r="AE73" t="n">
        <v>63.31</v>
      </c>
    </row>
    <row r="74">
      <c r="A74" t="inlineStr">
        <is>
          <t>1 - ADMINISTRACIÓN CENTRAL</t>
        </is>
      </c>
      <c r="B74" t="inlineStr">
        <is>
          <t>00 - SIN SECTOR</t>
        </is>
      </c>
      <c r="C74" t="inlineStr">
        <is>
          <t>00</t>
        </is>
      </c>
      <c r="D74" t="inlineStr">
        <is>
          <t>0000</t>
        </is>
      </c>
      <c r="E74" t="inlineStr">
        <is>
          <t>0000000</t>
        </is>
      </c>
      <c r="F74" t="inlineStr">
        <is>
          <t>SIN PRODUCTO</t>
        </is>
      </c>
      <c r="G74" t="inlineStr">
        <is>
          <t>00</t>
        </is>
      </c>
      <c r="H74" t="inlineStr">
        <is>
          <t>SIN CODIGO BPIN</t>
        </is>
      </c>
      <c r="I74" t="inlineStr">
        <is>
          <t>82130</t>
        </is>
      </c>
      <c r="J74" t="inlineStr">
        <is>
          <t>Servicios de documentación y certificación jurídica</t>
        </is>
      </c>
      <c r="K74" t="inlineStr">
        <is>
          <t>00</t>
        </is>
      </c>
      <c r="L74" t="inlineStr">
        <is>
          <t>SIN ATRIBUTO</t>
        </is>
      </c>
      <c r="N74" t="inlineStr">
        <is>
          <t>2.1.2.02.02.008.01</t>
        </is>
      </c>
      <c r="O74" t="inlineStr">
        <is>
          <t>Servicios Juridicos</t>
        </is>
      </c>
      <c r="P74" t="inlineStr">
        <is>
          <t>1.2.1.0.00</t>
        </is>
      </c>
      <c r="Q74" t="inlineStr">
        <is>
          <t>INGRESOS CORRIENTES DE LIBRE DESTINACION</t>
        </is>
      </c>
      <c r="R74" t="n">
        <v>300000000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300000000</v>
      </c>
      <c r="Z74" t="n">
        <v>0</v>
      </c>
      <c r="AA74" t="n">
        <v>0</v>
      </c>
      <c r="AB74" t="n">
        <v>0</v>
      </c>
      <c r="AC74" t="n">
        <v>0</v>
      </c>
      <c r="AD74" t="n">
        <v>300000000</v>
      </c>
      <c r="AE74" t="n">
        <v>0</v>
      </c>
    </row>
    <row r="75">
      <c r="A75" t="inlineStr">
        <is>
          <t>1 - ADMINISTRACIÓN CENTRAL</t>
        </is>
      </c>
      <c r="B75" t="inlineStr">
        <is>
          <t>00 - SIN SECTOR</t>
        </is>
      </c>
      <c r="C75" t="inlineStr">
        <is>
          <t>00</t>
        </is>
      </c>
      <c r="D75" t="inlineStr">
        <is>
          <t>0000</t>
        </is>
      </c>
      <c r="E75" t="inlineStr">
        <is>
          <t>0000000</t>
        </is>
      </c>
      <c r="F75" t="inlineStr">
        <is>
          <t>SIN PRODUCTO</t>
        </is>
      </c>
      <c r="G75" t="inlineStr">
        <is>
          <t>00</t>
        </is>
      </c>
      <c r="H75" t="inlineStr">
        <is>
          <t>SIN CODIGO BPIN</t>
        </is>
      </c>
      <c r="I75" t="inlineStr">
        <is>
          <t>83619</t>
        </is>
      </c>
      <c r="J75" t="inlineStr">
        <is>
          <t>Otros servicios de publicidad</t>
        </is>
      </c>
      <c r="K75" t="inlineStr">
        <is>
          <t>00</t>
        </is>
      </c>
      <c r="L75" t="inlineStr">
        <is>
          <t>SIN ATRIBUTO</t>
        </is>
      </c>
      <c r="N75" t="inlineStr">
        <is>
          <t>2.1.2.02.02.008.02</t>
        </is>
      </c>
      <c r="O75" t="inlineStr">
        <is>
          <t>Publicidad</t>
        </is>
      </c>
      <c r="P75" t="inlineStr">
        <is>
          <t>1.2.1.0.00</t>
        </is>
      </c>
      <c r="Q75" t="inlineStr">
        <is>
          <t>INGRESOS CORRIENTES DE LIBRE DESTINACION</t>
        </is>
      </c>
      <c r="R75" t="n">
        <v>100000000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100000000</v>
      </c>
      <c r="Z75" t="n">
        <v>69600000</v>
      </c>
      <c r="AA75" t="n">
        <v>9600000</v>
      </c>
      <c r="AB75" t="n">
        <v>4000000</v>
      </c>
      <c r="AC75" t="n">
        <v>4000000</v>
      </c>
      <c r="AD75" t="n">
        <v>90400000</v>
      </c>
      <c r="AE75" t="n">
        <v>9.6</v>
      </c>
    </row>
    <row r="76">
      <c r="A76" t="inlineStr">
        <is>
          <t>1 - ADMINISTRACIÓN CENTRAL</t>
        </is>
      </c>
      <c r="B76" t="inlineStr">
        <is>
          <t>00 - SIN SECTOR</t>
        </is>
      </c>
      <c r="C76" t="inlineStr">
        <is>
          <t>00</t>
        </is>
      </c>
      <c r="D76" t="inlineStr">
        <is>
          <t>0000</t>
        </is>
      </c>
      <c r="E76" t="inlineStr">
        <is>
          <t>0000000</t>
        </is>
      </c>
      <c r="F76" t="inlineStr">
        <is>
          <t>SIN PRODUCTO</t>
        </is>
      </c>
      <c r="G76" t="inlineStr">
        <is>
          <t>00</t>
        </is>
      </c>
      <c r="H76" t="inlineStr">
        <is>
          <t>SIN CODIGO BPIN</t>
        </is>
      </c>
      <c r="I76" t="inlineStr">
        <is>
          <t>85250</t>
        </is>
      </c>
      <c r="J76" t="inlineStr">
        <is>
          <t>Servicios de protección (guardas de seguridad)</t>
        </is>
      </c>
      <c r="K76" t="inlineStr">
        <is>
          <t>00</t>
        </is>
      </c>
      <c r="L76" t="inlineStr">
        <is>
          <t>SIN ATRIBUTO</t>
        </is>
      </c>
      <c r="N76" t="inlineStr">
        <is>
          <t>2.1.2.02.02.008.03</t>
        </is>
      </c>
      <c r="O76" t="inlineStr">
        <is>
          <t>Vigilancia</t>
        </is>
      </c>
      <c r="P76" t="inlineStr">
        <is>
          <t>1.2.1.0.00</t>
        </is>
      </c>
      <c r="Q76" t="inlineStr">
        <is>
          <t>INGRESOS CORRIENTES DE LIBRE DESTINACION</t>
        </is>
      </c>
      <c r="R76" t="n">
        <v>1400000000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1400000000</v>
      </c>
      <c r="Z76" t="n">
        <v>1319029274</v>
      </c>
      <c r="AA76" t="n">
        <v>1312930971</v>
      </c>
      <c r="AB76" t="n">
        <v>512086760</v>
      </c>
      <c r="AC76" t="n">
        <v>377231503</v>
      </c>
      <c r="AD76" t="n">
        <v>87069029</v>
      </c>
      <c r="AE76" t="n">
        <v>93.78</v>
      </c>
    </row>
    <row r="77">
      <c r="A77" t="inlineStr">
        <is>
          <t>1 - ADMINISTRACIÓN CENTRAL</t>
        </is>
      </c>
      <c r="B77" t="inlineStr">
        <is>
          <t>00 - SIN SECTOR</t>
        </is>
      </c>
      <c r="C77" t="inlineStr">
        <is>
          <t>00</t>
        </is>
      </c>
      <c r="D77" t="inlineStr">
        <is>
          <t>0000</t>
        </is>
      </c>
      <c r="E77" t="inlineStr">
        <is>
          <t>0000000</t>
        </is>
      </c>
      <c r="F77" t="inlineStr">
        <is>
          <t>SIN PRODUCTO</t>
        </is>
      </c>
      <c r="G77" t="inlineStr">
        <is>
          <t>00</t>
        </is>
      </c>
      <c r="H77" t="inlineStr">
        <is>
          <t>SIN CODIGO BPIN</t>
        </is>
      </c>
      <c r="I77" t="inlineStr">
        <is>
          <t>8712001</t>
        </is>
      </c>
      <c r="J77" t="inlineStr">
        <is>
          <t>Servicio de mantenimiento y reparación de equipo de oficina y contabilidad, (excepto computadores y equipos periféricos)</t>
        </is>
      </c>
      <c r="K77" t="inlineStr">
        <is>
          <t>00</t>
        </is>
      </c>
      <c r="L77" t="inlineStr">
        <is>
          <t>SIN ATRIBUTO</t>
        </is>
      </c>
      <c r="N77" t="inlineStr">
        <is>
          <t>2.1.2.02.02.008.04</t>
        </is>
      </c>
      <c r="O77" t="inlineStr">
        <is>
          <t>Mantenimiento y reparación de equipos de oficina</t>
        </is>
      </c>
      <c r="P77" t="inlineStr">
        <is>
          <t>1.2.1.0.00</t>
        </is>
      </c>
      <c r="Q77" t="inlineStr">
        <is>
          <t>INGRESOS CORRIENTES DE LIBRE DESTINACION</t>
        </is>
      </c>
      <c r="R77" t="n">
        <v>400000000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400000000</v>
      </c>
      <c r="Z77" t="n">
        <v>280800000</v>
      </c>
      <c r="AA77" t="n">
        <v>280800000</v>
      </c>
      <c r="AB77" t="n">
        <v>139600000</v>
      </c>
      <c r="AC77" t="n">
        <v>139600000</v>
      </c>
      <c r="AD77" t="n">
        <v>119200000</v>
      </c>
      <c r="AE77" t="n">
        <v>70.2</v>
      </c>
    </row>
    <row r="78">
      <c r="A78" t="inlineStr">
        <is>
          <t>1 - ADMINISTRACIÓN CENTRAL</t>
        </is>
      </c>
      <c r="B78" t="inlineStr">
        <is>
          <t>00 - SIN SECTOR</t>
        </is>
      </c>
      <c r="C78" t="inlineStr">
        <is>
          <t>00</t>
        </is>
      </c>
      <c r="D78" t="inlineStr">
        <is>
          <t>0000</t>
        </is>
      </c>
      <c r="E78" t="inlineStr">
        <is>
          <t>0000000</t>
        </is>
      </c>
      <c r="F78" t="inlineStr">
        <is>
          <t>SIN PRODUCTO</t>
        </is>
      </c>
      <c r="G78" t="inlineStr">
        <is>
          <t>00</t>
        </is>
      </c>
      <c r="H78" t="inlineStr">
        <is>
          <t>SIN CODIGO BPIN</t>
        </is>
      </c>
      <c r="I78" t="inlineStr">
        <is>
          <t>84392</t>
        </is>
      </c>
      <c r="J78" t="inlineStr">
        <is>
          <t>Servicios de software en línea (on-line)</t>
        </is>
      </c>
      <c r="K78" t="inlineStr">
        <is>
          <t>00</t>
        </is>
      </c>
      <c r="L78" t="inlineStr">
        <is>
          <t>SIN ATRIBUTO</t>
        </is>
      </c>
      <c r="N78" t="inlineStr">
        <is>
          <t>2.1.2.02.02.008.05</t>
        </is>
      </c>
      <c r="O78" t="inlineStr">
        <is>
          <t>Licencias de sofware en linea</t>
        </is>
      </c>
      <c r="P78" t="inlineStr">
        <is>
          <t>1.2.1.0.00</t>
        </is>
      </c>
      <c r="Q78" t="inlineStr">
        <is>
          <t>INGRESOS CORRIENTES DE LIBRE DESTINACION</t>
        </is>
      </c>
      <c r="R78" t="n">
        <v>60000000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60000000</v>
      </c>
      <c r="Z78" t="n">
        <v>60000000</v>
      </c>
      <c r="AA78" t="n">
        <v>60000000</v>
      </c>
      <c r="AB78" t="n">
        <v>0</v>
      </c>
      <c r="AC78" t="n">
        <v>0</v>
      </c>
      <c r="AD78" t="n">
        <v>0</v>
      </c>
      <c r="AE78" t="n">
        <v>100</v>
      </c>
    </row>
    <row r="79">
      <c r="A79" t="inlineStr">
        <is>
          <t>1 - ADMINISTRACIÓN CENTRAL</t>
        </is>
      </c>
      <c r="B79" t="inlineStr">
        <is>
          <t>00 - SIN SECTOR</t>
        </is>
      </c>
      <c r="C79" t="inlineStr">
        <is>
          <t>00</t>
        </is>
      </c>
      <c r="D79" t="inlineStr">
        <is>
          <t>0000</t>
        </is>
      </c>
      <c r="E79" t="inlineStr">
        <is>
          <t>0000000</t>
        </is>
      </c>
      <c r="F79" t="inlineStr">
        <is>
          <t>SIN PRODUCTO</t>
        </is>
      </c>
      <c r="G79" t="inlineStr">
        <is>
          <t>00</t>
        </is>
      </c>
      <c r="H79" t="inlineStr">
        <is>
          <t>SIN CODIGO BPIN</t>
        </is>
      </c>
      <c r="I79" t="inlineStr">
        <is>
          <t>8715701</t>
        </is>
      </c>
      <c r="J79" t="inlineStr">
        <is>
          <t>Servicio de mantenimiento y reparación de ascensores</t>
        </is>
      </c>
      <c r="K79" t="inlineStr">
        <is>
          <t>00</t>
        </is>
      </c>
      <c r="L79" t="inlineStr">
        <is>
          <t>SIN ATRIBUTO</t>
        </is>
      </c>
      <c r="N79" t="inlineStr">
        <is>
          <t>2.1.2.02.02.008.06</t>
        </is>
      </c>
      <c r="O79" t="inlineStr">
        <is>
          <t>Manteniento y Reparacion de ascensores</t>
        </is>
      </c>
      <c r="P79" t="inlineStr">
        <is>
          <t>1.2.1.0.00</t>
        </is>
      </c>
      <c r="Q79" t="inlineStr">
        <is>
          <t>INGRESOS CORRIENTES DE LIBRE DESTINACION</t>
        </is>
      </c>
      <c r="R79" t="n">
        <v>600000000</v>
      </c>
      <c r="S79" t="n">
        <v>0</v>
      </c>
      <c r="T79" t="n">
        <v>0</v>
      </c>
      <c r="U79" t="n">
        <v>0</v>
      </c>
      <c r="V79" t="n">
        <v>200000000</v>
      </c>
      <c r="W79" t="n">
        <v>0</v>
      </c>
      <c r="X79" t="n">
        <v>0</v>
      </c>
      <c r="Y79" t="n">
        <v>400000000</v>
      </c>
      <c r="Z79" t="n">
        <v>0</v>
      </c>
      <c r="AA79" t="n">
        <v>0</v>
      </c>
      <c r="AB79" t="n">
        <v>0</v>
      </c>
      <c r="AC79" t="n">
        <v>0</v>
      </c>
      <c r="AD79" t="n">
        <v>400000000</v>
      </c>
      <c r="AE79" t="n">
        <v>0</v>
      </c>
    </row>
    <row r="80">
      <c r="A80" t="inlineStr">
        <is>
          <t>1 - ADMINISTRACIÓN CENTRAL</t>
        </is>
      </c>
      <c r="B80" t="inlineStr">
        <is>
          <t>00 - SIN SECTOR</t>
        </is>
      </c>
      <c r="C80" t="inlineStr">
        <is>
          <t>00</t>
        </is>
      </c>
      <c r="D80" t="inlineStr">
        <is>
          <t>0000</t>
        </is>
      </c>
      <c r="E80" t="inlineStr">
        <is>
          <t>000000</t>
        </is>
      </c>
      <c r="F80" t="inlineStr">
        <is>
          <t>SIN PRODUCTO</t>
        </is>
      </c>
      <c r="G80" t="inlineStr">
        <is>
          <t>00</t>
        </is>
      </c>
      <c r="H80" t="inlineStr">
        <is>
          <t>SIN CODIGO BPIN</t>
        </is>
      </c>
      <c r="I80" t="inlineStr">
        <is>
          <t>84222</t>
        </is>
      </c>
      <c r="J80" t="inlineStr">
        <is>
          <t>Servicios de acceso a Internet de banda ancha</t>
        </is>
      </c>
      <c r="K80" t="inlineStr">
        <is>
          <t>00</t>
        </is>
      </c>
      <c r="L80" t="inlineStr">
        <is>
          <t>SIN ATRIBUTO</t>
        </is>
      </c>
      <c r="N80" t="inlineStr">
        <is>
          <t>2.1.2.02.02.008.07</t>
        </is>
      </c>
      <c r="O80" t="inlineStr">
        <is>
          <t>Telecomunicaciones</t>
        </is>
      </c>
      <c r="P80" t="inlineStr">
        <is>
          <t>1.2.1.0.00</t>
        </is>
      </c>
      <c r="Q80" t="inlineStr">
        <is>
          <t>INGRESOS CORRIENTES DE LIBRE DESTINACION</t>
        </is>
      </c>
      <c r="R80" t="n">
        <v>0</v>
      </c>
      <c r="S80" t="n">
        <v>0</v>
      </c>
      <c r="T80" t="n">
        <v>0</v>
      </c>
      <c r="U80" t="n">
        <v>600000000</v>
      </c>
      <c r="V80" t="n">
        <v>0</v>
      </c>
      <c r="W80" t="n">
        <v>0</v>
      </c>
      <c r="X80" t="n">
        <v>0</v>
      </c>
      <c r="Y80" t="n">
        <v>600000000</v>
      </c>
      <c r="Z80" t="n">
        <v>449250360.69</v>
      </c>
      <c r="AA80" t="n">
        <v>449250360.69</v>
      </c>
      <c r="AB80" t="n">
        <v>449250360.69</v>
      </c>
      <c r="AC80" t="n">
        <v>377426504.82</v>
      </c>
      <c r="AD80" t="n">
        <v>150749639.31</v>
      </c>
      <c r="AE80" t="n">
        <v>74.88</v>
      </c>
    </row>
    <row r="81">
      <c r="A81" t="inlineStr">
        <is>
          <t>1 - ADMINISTRACIÓN CENTRAL</t>
        </is>
      </c>
      <c r="B81" t="inlineStr">
        <is>
          <t>00 - SIN SECTOR</t>
        </is>
      </c>
      <c r="C81" t="inlineStr">
        <is>
          <t>00</t>
        </is>
      </c>
      <c r="D81" t="inlineStr">
        <is>
          <t>0000</t>
        </is>
      </c>
      <c r="E81" t="inlineStr">
        <is>
          <t>000000</t>
        </is>
      </c>
      <c r="F81" t="inlineStr">
        <is>
          <t>SIN PRODUCTO</t>
        </is>
      </c>
      <c r="G81" t="inlineStr">
        <is>
          <t>00</t>
        </is>
      </c>
      <c r="H81" t="inlineStr">
        <is>
          <t>SIN CODIGO BPIN</t>
        </is>
      </c>
      <c r="I81" t="inlineStr">
        <is>
          <t>00</t>
        </is>
      </c>
      <c r="J81" t="inlineStr">
        <is>
          <t>SIN PRODUCTO DANE</t>
        </is>
      </c>
      <c r="K81" t="inlineStr">
        <is>
          <t>00</t>
        </is>
      </c>
      <c r="L81" t="inlineStr">
        <is>
          <t>SIN ATRIBUTO</t>
        </is>
      </c>
      <c r="N81" t="inlineStr">
        <is>
          <t>2.1.2.02.02.008.08</t>
        </is>
      </c>
      <c r="O81" t="inlineStr">
        <is>
          <t>Mantenimiento</t>
        </is>
      </c>
      <c r="P81" t="inlineStr">
        <is>
          <t>1.2.1.0.00</t>
        </is>
      </c>
      <c r="Q81" t="inlineStr">
        <is>
          <t>INGRESOS CORRIENTES DE LIBRE DESTINACION</t>
        </is>
      </c>
      <c r="R81" t="n">
        <v>0</v>
      </c>
      <c r="S81" t="n">
        <v>0</v>
      </c>
      <c r="T81" t="n">
        <v>0</v>
      </c>
      <c r="U81" t="n">
        <v>200000000</v>
      </c>
      <c r="V81" t="n">
        <v>0</v>
      </c>
      <c r="W81" t="n">
        <v>0</v>
      </c>
      <c r="X81" t="n">
        <v>0</v>
      </c>
      <c r="Y81" t="n">
        <v>200000000</v>
      </c>
      <c r="Z81" t="n">
        <v>78000000</v>
      </c>
      <c r="AA81" t="n">
        <v>78000000</v>
      </c>
      <c r="AB81" t="n">
        <v>0</v>
      </c>
      <c r="AC81" t="n">
        <v>0</v>
      </c>
      <c r="AD81" t="n">
        <v>122000000</v>
      </c>
      <c r="AE81" t="n">
        <v>39</v>
      </c>
    </row>
    <row r="82">
      <c r="A82" t="inlineStr">
        <is>
          <t>1 - ADMINISTRACIÓN CENTRAL</t>
        </is>
      </c>
      <c r="B82" t="inlineStr">
        <is>
          <t>00 - SIN SECTOR</t>
        </is>
      </c>
      <c r="C82" t="inlineStr">
        <is>
          <t>00</t>
        </is>
      </c>
      <c r="D82" t="inlineStr">
        <is>
          <t>0000</t>
        </is>
      </c>
      <c r="E82" t="inlineStr">
        <is>
          <t>0000000</t>
        </is>
      </c>
      <c r="F82" t="inlineStr">
        <is>
          <t>SIN PRODUCTO</t>
        </is>
      </c>
      <c r="G82" t="inlineStr">
        <is>
          <t>00</t>
        </is>
      </c>
      <c r="H82" t="inlineStr">
        <is>
          <t>SIN CODIGO BPIN</t>
        </is>
      </c>
      <c r="I82" t="inlineStr">
        <is>
          <t>00</t>
        </is>
      </c>
      <c r="J82" t="inlineStr">
        <is>
          <t>SIN PRODUCTO DANE</t>
        </is>
      </c>
      <c r="K82" t="inlineStr">
        <is>
          <t>00</t>
        </is>
      </c>
      <c r="L82" t="inlineStr">
        <is>
          <t>SIN ATRIBUTO</t>
        </is>
      </c>
      <c r="N82" t="inlineStr">
        <is>
          <t>2.1.2.02.02.009</t>
        </is>
      </c>
      <c r="O82" t="inlineStr">
        <is>
          <t>Servicios para la comunidad, sociales y personales</t>
        </is>
      </c>
      <c r="P82" t="inlineStr">
        <is>
          <t>00</t>
        </is>
      </c>
      <c r="Q82" t="inlineStr">
        <is>
          <t>RECURSO PROPIOS</t>
        </is>
      </c>
      <c r="R82" t="n">
        <v>2411000000</v>
      </c>
      <c r="S82" t="n">
        <v>5014052</v>
      </c>
      <c r="T82" t="n">
        <v>0</v>
      </c>
      <c r="U82" t="n">
        <v>118000000</v>
      </c>
      <c r="V82" t="n">
        <v>40000000</v>
      </c>
      <c r="W82" t="n">
        <v>0</v>
      </c>
      <c r="X82" t="n">
        <v>0</v>
      </c>
      <c r="Y82" t="n">
        <v>2494014052</v>
      </c>
      <c r="Z82" t="n">
        <v>1219997965</v>
      </c>
      <c r="AA82" t="n">
        <v>1119765465</v>
      </c>
      <c r="AB82" t="n">
        <v>749683244.33</v>
      </c>
      <c r="AC82" t="n">
        <v>569115744.33</v>
      </c>
      <c r="AD82" t="n">
        <v>1374248587</v>
      </c>
      <c r="AE82" t="n">
        <v>44.9</v>
      </c>
    </row>
    <row r="83">
      <c r="A83" t="inlineStr">
        <is>
          <t>1 - ADMINISTRACIÓN CENTRAL</t>
        </is>
      </c>
      <c r="B83" t="inlineStr">
        <is>
          <t>00 - SIN SECTOR</t>
        </is>
      </c>
      <c r="C83" t="inlineStr">
        <is>
          <t>00</t>
        </is>
      </c>
      <c r="D83" t="inlineStr">
        <is>
          <t>0000</t>
        </is>
      </c>
      <c r="E83" t="inlineStr">
        <is>
          <t>0000000</t>
        </is>
      </c>
      <c r="F83" t="inlineStr">
        <is>
          <t>SIN PRODUCTO</t>
        </is>
      </c>
      <c r="G83" t="inlineStr">
        <is>
          <t>00</t>
        </is>
      </c>
      <c r="H83" t="inlineStr">
        <is>
          <t>SIN CODIGO BPIN</t>
        </is>
      </c>
      <c r="I83" t="inlineStr">
        <is>
          <t>91112</t>
        </is>
      </c>
      <c r="J83" t="inlineStr">
        <is>
          <t>Servicios ejecutivos de la administración pública</t>
        </is>
      </c>
      <c r="K83" t="inlineStr">
        <is>
          <t>00</t>
        </is>
      </c>
      <c r="L83" t="inlineStr">
        <is>
          <t>SIN ATRIBUTO</t>
        </is>
      </c>
      <c r="N83" t="inlineStr">
        <is>
          <t>2.1.2.02.02.009.01</t>
        </is>
      </c>
      <c r="O83" t="inlineStr">
        <is>
          <t>Servicios administrativos del gobierno</t>
        </is>
      </c>
      <c r="P83" t="inlineStr">
        <is>
          <t>1.2.1.0.00</t>
        </is>
      </c>
      <c r="Q83" t="inlineStr">
        <is>
          <t>INGRESOS CORRIENTES DE LIBRE DESTINACION</t>
        </is>
      </c>
      <c r="R83" t="n">
        <v>1600000000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1600000000</v>
      </c>
      <c r="Z83" t="n">
        <v>778400000</v>
      </c>
      <c r="AA83" t="n">
        <v>778400000</v>
      </c>
      <c r="AB83" t="n">
        <v>513550000</v>
      </c>
      <c r="AC83" t="n">
        <v>433550000</v>
      </c>
      <c r="AD83" t="n">
        <v>821600000</v>
      </c>
      <c r="AE83" t="n">
        <v>48.65</v>
      </c>
    </row>
    <row r="84">
      <c r="A84" t="inlineStr">
        <is>
          <t>1 - ADMINISTRACIÓN CENTRAL</t>
        </is>
      </c>
      <c r="B84" t="inlineStr">
        <is>
          <t>00 - SIN SECTOR</t>
        </is>
      </c>
      <c r="C84" t="inlineStr">
        <is>
          <t>00</t>
        </is>
      </c>
      <c r="D84" t="inlineStr">
        <is>
          <t>0000</t>
        </is>
      </c>
      <c r="E84" t="inlineStr">
        <is>
          <t>0000000</t>
        </is>
      </c>
      <c r="F84" t="inlineStr">
        <is>
          <t>SIN PRODUCTO</t>
        </is>
      </c>
      <c r="G84" t="inlineStr">
        <is>
          <t>00</t>
        </is>
      </c>
      <c r="H84" t="inlineStr">
        <is>
          <t>SIN CODIGO BPIN</t>
        </is>
      </c>
      <c r="I84" t="inlineStr">
        <is>
          <t>91199</t>
        </is>
      </c>
      <c r="J84" t="inlineStr">
        <is>
          <t>Otros servicios administrativos del gobierno n.c.p.</t>
        </is>
      </c>
      <c r="K84" t="inlineStr">
        <is>
          <t>00</t>
        </is>
      </c>
      <c r="L84" t="inlineStr">
        <is>
          <t>SIN ATRIBUTO</t>
        </is>
      </c>
      <c r="N84" t="inlineStr">
        <is>
          <t>2.1.2.02.02.009.02</t>
        </is>
      </c>
      <c r="O84" t="inlineStr">
        <is>
          <t>Bienestar Social</t>
        </is>
      </c>
      <c r="P84" t="inlineStr">
        <is>
          <t>1.2.1.0.00</t>
        </is>
      </c>
      <c r="Q84" t="inlineStr">
        <is>
          <t>INGRESOS CORRIENTES DE LIBRE DESTINACION</t>
        </is>
      </c>
      <c r="R84" t="n">
        <v>150000000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150000000</v>
      </c>
      <c r="Z84" t="n">
        <v>0</v>
      </c>
      <c r="AA84" t="n">
        <v>0</v>
      </c>
      <c r="AB84" t="n">
        <v>0</v>
      </c>
      <c r="AC84" t="n">
        <v>0</v>
      </c>
      <c r="AD84" t="n">
        <v>150000000</v>
      </c>
      <c r="AE84" t="n">
        <v>0</v>
      </c>
    </row>
    <row r="85">
      <c r="A85" t="inlineStr">
        <is>
          <t>1 - ADMINISTRACIÓN CENTRAL</t>
        </is>
      </c>
      <c r="B85" t="inlineStr">
        <is>
          <t>00 - SIN SECTOR</t>
        </is>
      </c>
      <c r="C85" t="inlineStr">
        <is>
          <t>00</t>
        </is>
      </c>
      <c r="D85" t="inlineStr">
        <is>
          <t>0000</t>
        </is>
      </c>
      <c r="E85" t="inlineStr">
        <is>
          <t>0000000</t>
        </is>
      </c>
      <c r="F85" t="inlineStr">
        <is>
          <t>SIN PRODUCTO</t>
        </is>
      </c>
      <c r="G85" t="inlineStr">
        <is>
          <t>00</t>
        </is>
      </c>
      <c r="H85" t="inlineStr">
        <is>
          <t>SIN CODIGO BPIN</t>
        </is>
      </c>
      <c r="I85" t="inlineStr">
        <is>
          <t>91199</t>
        </is>
      </c>
      <c r="J85" t="inlineStr">
        <is>
          <t>Otros servicios administrativos del gobierno n.c.p.</t>
        </is>
      </c>
      <c r="K85" t="inlineStr">
        <is>
          <t>00</t>
        </is>
      </c>
      <c r="L85" t="inlineStr">
        <is>
          <t>SIN ATRIBUTO</t>
        </is>
      </c>
      <c r="N85" t="inlineStr">
        <is>
          <t>2.1.2.02.02.009.03</t>
        </is>
      </c>
      <c r="O85" t="inlineStr">
        <is>
          <t>Bienestar Social</t>
        </is>
      </c>
      <c r="P85" t="inlineStr">
        <is>
          <t>1.3.1.1.11.01</t>
        </is>
      </c>
      <c r="Q85" t="inlineStr">
        <is>
          <t>REINTEGROS LICENCIAS DE MATERNIDAD</t>
        </is>
      </c>
      <c r="R85" t="n">
        <v>1000000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1000000</v>
      </c>
      <c r="Z85" t="n">
        <v>0</v>
      </c>
      <c r="AA85" t="n">
        <v>0</v>
      </c>
      <c r="AB85" t="n">
        <v>0</v>
      </c>
      <c r="AC85" t="n">
        <v>0</v>
      </c>
      <c r="AD85" t="n">
        <v>1000000</v>
      </c>
      <c r="AE85" t="n">
        <v>0</v>
      </c>
    </row>
    <row r="86">
      <c r="A86" t="inlineStr">
        <is>
          <t>1 - ADMINISTRACIÓN CENTRAL</t>
        </is>
      </c>
      <c r="B86" t="inlineStr">
        <is>
          <t>00 - SIN SECTOR</t>
        </is>
      </c>
      <c r="C86" t="inlineStr">
        <is>
          <t>00</t>
        </is>
      </c>
      <c r="D86" t="inlineStr">
        <is>
          <t>0000</t>
        </is>
      </c>
      <c r="E86" t="inlineStr">
        <is>
          <t>0000000</t>
        </is>
      </c>
      <c r="F86" t="inlineStr">
        <is>
          <t>SIN PRODUCTO</t>
        </is>
      </c>
      <c r="G86" t="inlineStr">
        <is>
          <t>00</t>
        </is>
      </c>
      <c r="H86" t="inlineStr">
        <is>
          <t>SIN CODIGO BPIN</t>
        </is>
      </c>
      <c r="I86" t="inlineStr">
        <is>
          <t>91122</t>
        </is>
      </c>
      <c r="J86" t="inlineStr">
        <is>
          <t>Servicios de la administración pública relacionados con la salud</t>
        </is>
      </c>
      <c r="K86" t="inlineStr">
        <is>
          <t>00</t>
        </is>
      </c>
      <c r="L86" t="inlineStr">
        <is>
          <t>SIN ATRIBUTO</t>
        </is>
      </c>
      <c r="N86" t="inlineStr">
        <is>
          <t>2.1.2.02.02.009.04</t>
        </is>
      </c>
      <c r="O86" t="inlineStr">
        <is>
          <t>Salud Ocupacional</t>
        </is>
      </c>
      <c r="P86" t="inlineStr">
        <is>
          <t>1.2.1.0.00</t>
        </is>
      </c>
      <c r="Q86" t="inlineStr">
        <is>
          <t>INGRESOS CORRIENTES DE LIBRE DESTINACION</t>
        </is>
      </c>
      <c r="R86" t="n">
        <v>60000000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60000000</v>
      </c>
      <c r="Z86" t="n">
        <v>0</v>
      </c>
      <c r="AA86" t="n">
        <v>0</v>
      </c>
      <c r="AB86" t="n">
        <v>0</v>
      </c>
      <c r="AC86" t="n">
        <v>0</v>
      </c>
      <c r="AD86" t="n">
        <v>60000000</v>
      </c>
      <c r="AE86" t="n">
        <v>0</v>
      </c>
    </row>
    <row r="87">
      <c r="A87" t="inlineStr">
        <is>
          <t>1 - ADMINISTRACIÓN CENTRAL</t>
        </is>
      </c>
      <c r="B87" t="inlineStr">
        <is>
          <t>00 - SIN SECTOR</t>
        </is>
      </c>
      <c r="C87" t="inlineStr">
        <is>
          <t>00</t>
        </is>
      </c>
      <c r="D87" t="inlineStr">
        <is>
          <t>0000</t>
        </is>
      </c>
      <c r="E87" t="inlineStr">
        <is>
          <t>0000000</t>
        </is>
      </c>
      <c r="F87" t="inlineStr">
        <is>
          <t>SIN PRODUCTO</t>
        </is>
      </c>
      <c r="G87" t="inlineStr">
        <is>
          <t>00</t>
        </is>
      </c>
      <c r="H87" t="inlineStr">
        <is>
          <t>SIN CODIGO BPIN</t>
        </is>
      </c>
      <c r="I87" t="inlineStr">
        <is>
          <t>91122</t>
        </is>
      </c>
      <c r="J87" t="inlineStr">
        <is>
          <t>Servicios de la administración pública relacionados con la salud</t>
        </is>
      </c>
      <c r="K87" t="inlineStr">
        <is>
          <t>00</t>
        </is>
      </c>
      <c r="L87" t="inlineStr">
        <is>
          <t>SIN ATRIBUTO</t>
        </is>
      </c>
      <c r="N87" t="inlineStr">
        <is>
          <t>2.1.2.02.02.009.05</t>
        </is>
      </c>
      <c r="O87" t="inlineStr">
        <is>
          <t>Sistema de Seguridad y Salud en el Trabajo</t>
        </is>
      </c>
      <c r="P87" t="inlineStr">
        <is>
          <t>1.2.1.0.00</t>
        </is>
      </c>
      <c r="Q87" t="inlineStr">
        <is>
          <t>INGRESOS CORRIENTES DE LIBRE DESTINACION</t>
        </is>
      </c>
      <c r="R87" t="n">
        <v>60000000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60000000</v>
      </c>
      <c r="Z87" t="n">
        <v>17400000</v>
      </c>
      <c r="AA87" t="n">
        <v>17400000</v>
      </c>
      <c r="AB87" t="n">
        <v>17400000</v>
      </c>
      <c r="AC87" t="n">
        <v>17400000</v>
      </c>
      <c r="AD87" t="n">
        <v>42600000</v>
      </c>
      <c r="AE87" t="n">
        <v>29</v>
      </c>
    </row>
    <row r="88">
      <c r="A88" t="inlineStr">
        <is>
          <t>1 - ADMINISTRACIÓN CENTRAL</t>
        </is>
      </c>
      <c r="B88" t="inlineStr">
        <is>
          <t>00 - SIN SECTOR</t>
        </is>
      </c>
      <c r="C88" t="inlineStr">
        <is>
          <t>00</t>
        </is>
      </c>
      <c r="D88" t="inlineStr">
        <is>
          <t>0000</t>
        </is>
      </c>
      <c r="E88" t="inlineStr">
        <is>
          <t>0000000</t>
        </is>
      </c>
      <c r="F88" t="inlineStr">
        <is>
          <t>SIN PRODUCTO</t>
        </is>
      </c>
      <c r="G88" t="inlineStr">
        <is>
          <t>00</t>
        </is>
      </c>
      <c r="H88" t="inlineStr">
        <is>
          <t>SIN CODIGO BPIN</t>
        </is>
      </c>
      <c r="I88" t="inlineStr">
        <is>
          <t>91135</t>
        </is>
      </c>
      <c r="J88" t="inlineStr">
        <is>
          <t>Servicios de la administración pública relacionados con hoteles, restaurantes, preparación, distribución y comercio de comidas (catering)</t>
        </is>
      </c>
      <c r="K88" t="inlineStr">
        <is>
          <t>00</t>
        </is>
      </c>
      <c r="L88" t="inlineStr">
        <is>
          <t>SIN ATRIBUTO</t>
        </is>
      </c>
      <c r="N88" t="inlineStr">
        <is>
          <t>2.1.2.02.02.009.06</t>
        </is>
      </c>
      <c r="O88" t="inlineStr">
        <is>
          <t>Servicios de la administración pública relacionados con hoteles, restaurantes, preparación, distribución y comercio de comidas (catering)</t>
        </is>
      </c>
      <c r="P88" t="inlineStr">
        <is>
          <t>1.2.1.0.00</t>
        </is>
      </c>
      <c r="Q88" t="inlineStr">
        <is>
          <t>INGRESOS CORRIENTES DE LIBRE DESTINACION</t>
        </is>
      </c>
      <c r="R88" t="n">
        <v>50000000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50000000</v>
      </c>
      <c r="Z88" t="n">
        <v>46597965</v>
      </c>
      <c r="AA88" t="n">
        <v>46597965</v>
      </c>
      <c r="AB88" t="n">
        <v>19415818.75</v>
      </c>
      <c r="AC88" t="n">
        <v>19415818.75</v>
      </c>
      <c r="AD88" t="n">
        <v>3402035</v>
      </c>
      <c r="AE88" t="n">
        <v>93.2</v>
      </c>
    </row>
    <row r="89">
      <c r="A89" t="inlineStr">
        <is>
          <t>1 - ADMINISTRACIÓN CENTRAL</t>
        </is>
      </c>
      <c r="B89" t="inlineStr">
        <is>
          <t>00 - SIN SECTOR</t>
        </is>
      </c>
      <c r="C89" t="inlineStr">
        <is>
          <t>00</t>
        </is>
      </c>
      <c r="D89" t="inlineStr">
        <is>
          <t>0000</t>
        </is>
      </c>
      <c r="E89" t="inlineStr">
        <is>
          <t>0000000</t>
        </is>
      </c>
      <c r="F89" t="inlineStr">
        <is>
          <t>SIN PRODUCTO</t>
        </is>
      </c>
      <c r="G89" t="inlineStr">
        <is>
          <t>00</t>
        </is>
      </c>
      <c r="H89" t="inlineStr">
        <is>
          <t>SIN CODIGO BPIN</t>
        </is>
      </c>
      <c r="I89" t="inlineStr">
        <is>
          <t>91199</t>
        </is>
      </c>
      <c r="J89" t="inlineStr">
        <is>
          <t>Otros servicios administrativos del gobierno n.c.p.</t>
        </is>
      </c>
      <c r="K89" t="inlineStr">
        <is>
          <t>00</t>
        </is>
      </c>
      <c r="L89" t="inlineStr">
        <is>
          <t>SIN ATRIBUTO</t>
        </is>
      </c>
      <c r="N89" t="inlineStr">
        <is>
          <t>2.1.2.02.02.009.07</t>
        </is>
      </c>
      <c r="O89" t="inlineStr">
        <is>
          <t>Gastos Vinculación de Personal Artículo 30 Ley 909 de 2004</t>
        </is>
      </c>
      <c r="P89" t="inlineStr">
        <is>
          <t>1.2.1.0.00</t>
        </is>
      </c>
      <c r="Q89" t="inlineStr">
        <is>
          <t>INGRESOS CORRIENTES DE LIBRE DESTINACION</t>
        </is>
      </c>
      <c r="R89" t="n">
        <v>50000000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50000000</v>
      </c>
      <c r="Z89" t="n">
        <v>0</v>
      </c>
      <c r="AA89" t="n">
        <v>0</v>
      </c>
      <c r="AB89" t="n">
        <v>0</v>
      </c>
      <c r="AC89" t="n">
        <v>0</v>
      </c>
      <c r="AD89" t="n">
        <v>50000000</v>
      </c>
      <c r="AE89" t="n">
        <v>0</v>
      </c>
    </row>
    <row r="90">
      <c r="A90" t="inlineStr">
        <is>
          <t>1 - ADMINISTRACIÓN CENTRAL</t>
        </is>
      </c>
      <c r="B90" t="inlineStr">
        <is>
          <t>00 - SIN SECTOR</t>
        </is>
      </c>
      <c r="C90" t="inlineStr">
        <is>
          <t>00</t>
        </is>
      </c>
      <c r="D90" t="inlineStr">
        <is>
          <t>0000</t>
        </is>
      </c>
      <c r="E90" t="inlineStr">
        <is>
          <t>0000000</t>
        </is>
      </c>
      <c r="F90" t="inlineStr">
        <is>
          <t>SIN PRODUCTO</t>
        </is>
      </c>
      <c r="G90" t="inlineStr">
        <is>
          <t>00</t>
        </is>
      </c>
      <c r="H90" t="inlineStr">
        <is>
          <t>SIN CODIGO BPIN</t>
        </is>
      </c>
      <c r="I90" t="inlineStr">
        <is>
          <t>91199</t>
        </is>
      </c>
      <c r="J90" t="inlineStr">
        <is>
          <t>Otros servicios administrativos del gobierno n.c.p.</t>
        </is>
      </c>
      <c r="K90" t="inlineStr">
        <is>
          <t>00</t>
        </is>
      </c>
      <c r="L90" t="inlineStr">
        <is>
          <t>SIN ATRIBUTO</t>
        </is>
      </c>
      <c r="N90" t="inlineStr">
        <is>
          <t>2.1.2.02.02.009.08</t>
        </is>
      </c>
      <c r="O90" t="inlineStr">
        <is>
          <t>Capacitación</t>
        </is>
      </c>
      <c r="P90" t="inlineStr">
        <is>
          <t>1.2.1.0.00</t>
        </is>
      </c>
      <c r="Q90" t="inlineStr">
        <is>
          <t>INGRESOS CORRIENTES DE LIBRE DESTINACION</t>
        </is>
      </c>
      <c r="R90" t="n">
        <v>40000000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40000000</v>
      </c>
      <c r="Z90" t="n">
        <v>0</v>
      </c>
      <c r="AA90" t="n">
        <v>0</v>
      </c>
      <c r="AB90" t="n">
        <v>0</v>
      </c>
      <c r="AC90" t="n">
        <v>0</v>
      </c>
      <c r="AD90" t="n">
        <v>40000000</v>
      </c>
      <c r="AE90" t="n">
        <v>0</v>
      </c>
    </row>
    <row r="91">
      <c r="A91" t="inlineStr">
        <is>
          <t>1 - ADMINISTRACIÓN CENTRAL</t>
        </is>
      </c>
      <c r="B91" t="inlineStr">
        <is>
          <t>00 - SIN SECTOR</t>
        </is>
      </c>
      <c r="C91" t="inlineStr">
        <is>
          <t>00</t>
        </is>
      </c>
      <c r="D91" t="inlineStr">
        <is>
          <t>0000</t>
        </is>
      </c>
      <c r="E91" t="inlineStr">
        <is>
          <t>0000000</t>
        </is>
      </c>
      <c r="F91" t="inlineStr">
        <is>
          <t>SIN PRODUCTO</t>
        </is>
      </c>
      <c r="G91" t="inlineStr">
        <is>
          <t>00</t>
        </is>
      </c>
      <c r="H91" t="inlineStr">
        <is>
          <t>SIN CODIGO BPIN</t>
        </is>
      </c>
      <c r="I91" t="inlineStr">
        <is>
          <t>91199</t>
        </is>
      </c>
      <c r="J91" t="inlineStr">
        <is>
          <t>Otros servicios administrativos del gobierno n.c.p.</t>
        </is>
      </c>
      <c r="K91" t="inlineStr">
        <is>
          <t>00</t>
        </is>
      </c>
      <c r="L91" t="inlineStr">
        <is>
          <t>SIN ATRIBUTO</t>
        </is>
      </c>
      <c r="N91" t="inlineStr">
        <is>
          <t>2.1.2.02.02.009.09</t>
        </is>
      </c>
      <c r="O91" t="inlineStr">
        <is>
          <t>Convenio con el Inpec 0091199  de 2026</t>
        </is>
      </c>
      <c r="P91" t="inlineStr">
        <is>
          <t>1.2.1.0.00</t>
        </is>
      </c>
      <c r="Q91" t="inlineStr">
        <is>
          <t>INGRESOS CORRIENTES DE LIBRE DESTINACION</t>
        </is>
      </c>
      <c r="R91" t="n">
        <v>60000000</v>
      </c>
      <c r="S91" t="n">
        <v>0</v>
      </c>
      <c r="T91" t="n">
        <v>0</v>
      </c>
      <c r="U91" t="n">
        <v>40000000</v>
      </c>
      <c r="V91" t="n">
        <v>0</v>
      </c>
      <c r="W91" t="n">
        <v>0</v>
      </c>
      <c r="X91" t="n">
        <v>0</v>
      </c>
      <c r="Y91" t="n">
        <v>100000000</v>
      </c>
      <c r="Z91" t="n">
        <v>100000000</v>
      </c>
      <c r="AA91" t="n">
        <v>99967500</v>
      </c>
      <c r="AB91" t="n">
        <v>99967500</v>
      </c>
      <c r="AC91" t="n">
        <v>0</v>
      </c>
      <c r="AD91" t="n">
        <v>32500</v>
      </c>
      <c r="AE91" t="n">
        <v>99.97</v>
      </c>
    </row>
    <row r="92">
      <c r="A92" t="inlineStr">
        <is>
          <t>1 - ADMINISTRACIÓN CENTRAL</t>
        </is>
      </c>
      <c r="B92" t="inlineStr">
        <is>
          <t>00 - SIN SECTOR</t>
        </is>
      </c>
      <c r="C92" t="inlineStr">
        <is>
          <t>00</t>
        </is>
      </c>
      <c r="D92" t="inlineStr">
        <is>
          <t>0000</t>
        </is>
      </c>
      <c r="E92" t="inlineStr">
        <is>
          <t>0000000</t>
        </is>
      </c>
      <c r="F92" t="inlineStr">
        <is>
          <t>SIN PRODUCTO</t>
        </is>
      </c>
      <c r="G92" t="inlineStr">
        <is>
          <t>00</t>
        </is>
      </c>
      <c r="H92" t="inlineStr">
        <is>
          <t>SIN CODIGO BPIN</t>
        </is>
      </c>
      <c r="I92" t="inlineStr">
        <is>
          <t>91199</t>
        </is>
      </c>
      <c r="J92" t="inlineStr">
        <is>
          <t>Otros servicios administrativos del gobierno n.c.p.</t>
        </is>
      </c>
      <c r="K92" t="inlineStr">
        <is>
          <t>00</t>
        </is>
      </c>
      <c r="L92" t="inlineStr">
        <is>
          <t>SIN ATRIBUTO</t>
        </is>
      </c>
      <c r="N92" t="inlineStr">
        <is>
          <t>2.1.2.02.02.009.10</t>
        </is>
      </c>
      <c r="O92" t="inlineStr">
        <is>
          <t>Servicios de apoyo logistico para eventos</t>
        </is>
      </c>
      <c r="P92" t="inlineStr">
        <is>
          <t>1.2.1.0.00</t>
        </is>
      </c>
      <c r="Q92" t="inlineStr">
        <is>
          <t>INGRESOS CORRIENTES DE LIBRE DESTINACION</t>
        </is>
      </c>
      <c r="R92" t="n">
        <v>70000000</v>
      </c>
      <c r="S92" t="n">
        <v>0</v>
      </c>
      <c r="T92" t="n">
        <v>0</v>
      </c>
      <c r="U92" t="n">
        <v>78000000</v>
      </c>
      <c r="V92" t="n">
        <v>0</v>
      </c>
      <c r="W92" t="n">
        <v>0</v>
      </c>
      <c r="X92" t="n">
        <v>0</v>
      </c>
      <c r="Y92" t="n">
        <v>148000000</v>
      </c>
      <c r="Z92" t="n">
        <v>114000000</v>
      </c>
      <c r="AA92" t="n">
        <v>36000000</v>
      </c>
      <c r="AB92" t="n">
        <v>0</v>
      </c>
      <c r="AC92" t="n">
        <v>0</v>
      </c>
      <c r="AD92" t="n">
        <v>112000000</v>
      </c>
      <c r="AE92" t="n">
        <v>24.32</v>
      </c>
    </row>
    <row r="93">
      <c r="A93" t="inlineStr">
        <is>
          <t>1 - ADMINISTRACIÓN CENTRAL</t>
        </is>
      </c>
      <c r="B93" t="inlineStr">
        <is>
          <t>00 - SIN SECTOR</t>
        </is>
      </c>
      <c r="C93" t="inlineStr">
        <is>
          <t>00</t>
        </is>
      </c>
      <c r="D93" t="inlineStr">
        <is>
          <t>0000</t>
        </is>
      </c>
      <c r="E93" t="inlineStr">
        <is>
          <t>0000000</t>
        </is>
      </c>
      <c r="F93" t="inlineStr">
        <is>
          <t>SIN PRODUCTO</t>
        </is>
      </c>
      <c r="G93" t="inlineStr">
        <is>
          <t>00</t>
        </is>
      </c>
      <c r="H93" t="inlineStr">
        <is>
          <t>SIN CODIGO BPIN</t>
        </is>
      </c>
      <c r="I93" t="inlineStr">
        <is>
          <t>97321</t>
        </is>
      </c>
      <c r="J93" t="inlineStr">
        <is>
          <t>Servicios funerarios para humanos</t>
        </is>
      </c>
      <c r="K93" t="inlineStr">
        <is>
          <t>00</t>
        </is>
      </c>
      <c r="L93" t="inlineStr">
        <is>
          <t>SIN ATRIBUTO</t>
        </is>
      </c>
      <c r="N93" t="inlineStr">
        <is>
          <t>2.1.2.02.02.009.11</t>
        </is>
      </c>
      <c r="O93" t="inlineStr">
        <is>
          <t>Auxilio Funerario</t>
        </is>
      </c>
      <c r="P93" t="inlineStr">
        <is>
          <t>1.2.1.0.00</t>
        </is>
      </c>
      <c r="Q93" t="inlineStr">
        <is>
          <t>INGRESOS CORRIENTES DE LIBRE DESTINACION</t>
        </is>
      </c>
      <c r="R93" t="n">
        <v>50000000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50000000</v>
      </c>
      <c r="Z93" t="n">
        <v>43600000</v>
      </c>
      <c r="AA93" t="n">
        <v>21400000</v>
      </c>
      <c r="AB93" t="n">
        <v>21400000</v>
      </c>
      <c r="AC93" t="n">
        <v>20800000</v>
      </c>
      <c r="AD93" t="n">
        <v>28600000</v>
      </c>
      <c r="AE93" t="n">
        <v>42.8</v>
      </c>
    </row>
    <row r="94">
      <c r="A94" t="inlineStr">
        <is>
          <t>1 - ADMINISTRACIÓN CENTRAL</t>
        </is>
      </c>
      <c r="B94" t="inlineStr">
        <is>
          <t>00 - SIN SECTOR</t>
        </is>
      </c>
      <c r="C94" t="inlineStr">
        <is>
          <t>00</t>
        </is>
      </c>
      <c r="D94" t="inlineStr">
        <is>
          <t>0000</t>
        </is>
      </c>
      <c r="E94" t="inlineStr">
        <is>
          <t>0000000</t>
        </is>
      </c>
      <c r="F94" t="inlineStr">
        <is>
          <t>SIN PRODUCTO</t>
        </is>
      </c>
      <c r="G94" t="inlineStr">
        <is>
          <t>00</t>
        </is>
      </c>
      <c r="H94" t="inlineStr">
        <is>
          <t>SIN CODIGO BPIN</t>
        </is>
      </c>
      <c r="I94" t="inlineStr">
        <is>
          <t>91199</t>
        </is>
      </c>
      <c r="J94" t="inlineStr">
        <is>
          <t>Otros servicios administrativos del gobierno n.c.p.</t>
        </is>
      </c>
      <c r="K94" t="inlineStr">
        <is>
          <t>00</t>
        </is>
      </c>
      <c r="L94" t="inlineStr">
        <is>
          <t>SIN ATRIBUTO</t>
        </is>
      </c>
      <c r="N94" t="inlineStr">
        <is>
          <t>2.1.2.02.02.009.12</t>
        </is>
      </c>
      <c r="O94" t="inlineStr">
        <is>
          <t>Alimentacion para la poblacion privada de la libertad recluida en centro de detencion transitoria</t>
        </is>
      </c>
      <c r="P94" t="inlineStr">
        <is>
          <t>1.2.1.0.00</t>
        </is>
      </c>
      <c r="Q94" t="inlineStr">
        <is>
          <t>INGRESOS CORRIENTES DE LIBRE DESTINACION</t>
        </is>
      </c>
      <c r="R94" t="n">
        <v>100000000</v>
      </c>
      <c r="S94" t="n">
        <v>0</v>
      </c>
      <c r="T94" t="n">
        <v>0</v>
      </c>
      <c r="U94" t="n">
        <v>0</v>
      </c>
      <c r="V94" t="n">
        <v>40000000</v>
      </c>
      <c r="W94" t="n">
        <v>0</v>
      </c>
      <c r="X94" t="n">
        <v>0</v>
      </c>
      <c r="Y94" t="n">
        <v>60000000</v>
      </c>
      <c r="Z94" t="n">
        <v>0</v>
      </c>
      <c r="AA94" t="n">
        <v>0</v>
      </c>
      <c r="AB94" t="n">
        <v>0</v>
      </c>
      <c r="AC94" t="n">
        <v>0</v>
      </c>
      <c r="AD94" t="n">
        <v>60000000</v>
      </c>
      <c r="AE94" t="n">
        <v>0</v>
      </c>
    </row>
    <row r="95">
      <c r="A95" t="inlineStr">
        <is>
          <t>1 - ADMINISTRACIÓN CENTRAL</t>
        </is>
      </c>
      <c r="B95" t="inlineStr">
        <is>
          <t>00 - SIN SECTOR</t>
        </is>
      </c>
      <c r="C95" t="inlineStr">
        <is>
          <t>00</t>
        </is>
      </c>
      <c r="D95" t="inlineStr">
        <is>
          <t>0000</t>
        </is>
      </c>
      <c r="E95" t="inlineStr">
        <is>
          <t>0000000</t>
        </is>
      </c>
      <c r="F95" t="inlineStr">
        <is>
          <t>SIN PRODUCTO</t>
        </is>
      </c>
      <c r="G95" t="inlineStr">
        <is>
          <t>00</t>
        </is>
      </c>
      <c r="H95" t="inlineStr">
        <is>
          <t>SIN CODIGO BPIN</t>
        </is>
      </c>
      <c r="I95" t="inlineStr">
        <is>
          <t>91199</t>
        </is>
      </c>
      <c r="J95" t="inlineStr">
        <is>
          <t>Otros servicios administrativos del gobierno n.c.p.</t>
        </is>
      </c>
      <c r="K95" t="inlineStr">
        <is>
          <t>00</t>
        </is>
      </c>
      <c r="L95" t="inlineStr">
        <is>
          <t>SIN ATRIBUTO</t>
        </is>
      </c>
      <c r="N95" t="inlineStr">
        <is>
          <t>2.1.2.02.02.009.13</t>
        </is>
      </c>
      <c r="O95" t="inlineStr">
        <is>
          <t>Gastos electorales</t>
        </is>
      </c>
      <c r="P95" t="inlineStr">
        <is>
          <t>1.2.1.0.00</t>
        </is>
      </c>
      <c r="Q95" t="inlineStr">
        <is>
          <t>INGRESOS CORRIENTES DE LIBRE DESTINACION</t>
        </is>
      </c>
      <c r="R95" t="n">
        <v>120000000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120000000</v>
      </c>
      <c r="Z95" t="n">
        <v>120000000</v>
      </c>
      <c r="AA95" t="n">
        <v>120000000</v>
      </c>
      <c r="AB95" t="n">
        <v>77949925.58</v>
      </c>
      <c r="AC95" t="n">
        <v>77949925.58</v>
      </c>
      <c r="AD95" t="n">
        <v>0</v>
      </c>
      <c r="AE95" t="n">
        <v>100</v>
      </c>
    </row>
    <row r="96">
      <c r="A96" t="inlineStr">
        <is>
          <t>1 - ADMINISTRACIÓN CENTRAL</t>
        </is>
      </c>
      <c r="B96" t="inlineStr">
        <is>
          <t>00 - SIN SECTOR</t>
        </is>
      </c>
      <c r="C96" t="inlineStr">
        <is>
          <t>00</t>
        </is>
      </c>
      <c r="D96" t="inlineStr">
        <is>
          <t>0000</t>
        </is>
      </c>
      <c r="E96" t="inlineStr">
        <is>
          <t>0000000</t>
        </is>
      </c>
      <c r="F96" t="inlineStr">
        <is>
          <t>SIN PRODUCTO</t>
        </is>
      </c>
      <c r="G96" t="inlineStr">
        <is>
          <t>00</t>
        </is>
      </c>
      <c r="H96" t="inlineStr">
        <is>
          <t>SIN CODIGO BPIN</t>
        </is>
      </c>
      <c r="I96" t="inlineStr">
        <is>
          <t>91199</t>
        </is>
      </c>
      <c r="J96" t="inlineStr">
        <is>
          <t>Otros servicios administrativos del gobierno n.c.p.</t>
        </is>
      </c>
      <c r="K96" t="inlineStr">
        <is>
          <t>00</t>
        </is>
      </c>
      <c r="L96" t="inlineStr">
        <is>
          <t>SIN ATRIBUTO</t>
        </is>
      </c>
      <c r="N96" t="inlineStr">
        <is>
          <t>2.1.2.02.02.009.14</t>
        </is>
      </c>
      <c r="O96" t="inlineStr">
        <is>
          <t>Bienestar Social</t>
        </is>
      </c>
      <c r="P96" t="inlineStr">
        <is>
          <t>1.3.1.1.11</t>
        </is>
      </c>
      <c r="Q96" t="inlineStr">
        <is>
          <t>REINTEGROS Y OTROS RECURSOS NO APROPIADOS</t>
        </is>
      </c>
      <c r="R96" t="n">
        <v>0</v>
      </c>
      <c r="S96" t="n">
        <v>5014052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5014052</v>
      </c>
      <c r="Z96" t="n">
        <v>0</v>
      </c>
      <c r="AA96" t="n">
        <v>0</v>
      </c>
      <c r="AB96" t="n">
        <v>0</v>
      </c>
      <c r="AC96" t="n">
        <v>0</v>
      </c>
      <c r="AD96" t="n">
        <v>5014052</v>
      </c>
      <c r="AE96" t="n">
        <v>0</v>
      </c>
    </row>
    <row r="97">
      <c r="A97" t="inlineStr">
        <is>
          <t>1 - ADMINISTRACIÓN CENTRAL</t>
        </is>
      </c>
      <c r="B97" t="inlineStr">
        <is>
          <t>00 - SIN SECTOR</t>
        </is>
      </c>
      <c r="C97" t="inlineStr">
        <is>
          <t>00</t>
        </is>
      </c>
      <c r="D97" t="inlineStr">
        <is>
          <t>0000</t>
        </is>
      </c>
      <c r="E97" t="inlineStr">
        <is>
          <t>0000000</t>
        </is>
      </c>
      <c r="F97" t="inlineStr">
        <is>
          <t>SIN PRODUCTO</t>
        </is>
      </c>
      <c r="G97" t="inlineStr">
        <is>
          <t>00</t>
        </is>
      </c>
      <c r="H97" t="inlineStr">
        <is>
          <t>SIN CODIGO BPIN</t>
        </is>
      </c>
      <c r="I97" t="inlineStr">
        <is>
          <t>00</t>
        </is>
      </c>
      <c r="J97" t="inlineStr">
        <is>
          <t>SIN PRODUCTO DANE</t>
        </is>
      </c>
      <c r="K97" t="inlineStr">
        <is>
          <t>00</t>
        </is>
      </c>
      <c r="L97" t="inlineStr">
        <is>
          <t>SIN ATRIBUTO</t>
        </is>
      </c>
      <c r="N97" t="inlineStr">
        <is>
          <t>2.1.3</t>
        </is>
      </c>
      <c r="O97" t="inlineStr">
        <is>
          <t>Transferencias corrientes</t>
        </is>
      </c>
      <c r="P97" t="inlineStr">
        <is>
          <t>00</t>
        </is>
      </c>
      <c r="Q97" t="inlineStr">
        <is>
          <t>RECURSO PROPIOS</t>
        </is>
      </c>
      <c r="R97" t="n">
        <v>6284334750</v>
      </c>
      <c r="S97" t="n">
        <v>296862038</v>
      </c>
      <c r="T97" t="n">
        <v>0</v>
      </c>
      <c r="U97" t="n">
        <v>821400000</v>
      </c>
      <c r="V97" t="n">
        <v>800000000</v>
      </c>
      <c r="W97" t="n">
        <v>0</v>
      </c>
      <c r="X97" t="n">
        <v>0</v>
      </c>
      <c r="Y97" t="n">
        <v>6602596788</v>
      </c>
      <c r="Z97" t="n">
        <v>2337722123</v>
      </c>
      <c r="AA97" t="n">
        <v>2337722123</v>
      </c>
      <c r="AB97" t="n">
        <v>1773722123</v>
      </c>
      <c r="AC97" t="n">
        <v>1773701234</v>
      </c>
      <c r="AD97" t="n">
        <v>4264874665</v>
      </c>
      <c r="AE97" t="n">
        <v>35.41</v>
      </c>
    </row>
    <row r="98">
      <c r="A98" t="inlineStr">
        <is>
          <t>1 - ADMINISTRACIÓN CENTRAL</t>
        </is>
      </c>
      <c r="B98" t="inlineStr">
        <is>
          <t>00 - SIN SECTOR</t>
        </is>
      </c>
      <c r="C98" t="inlineStr">
        <is>
          <t>00</t>
        </is>
      </c>
      <c r="D98" t="inlineStr">
        <is>
          <t>0000</t>
        </is>
      </c>
      <c r="E98" t="inlineStr">
        <is>
          <t>0000000</t>
        </is>
      </c>
      <c r="F98" t="inlineStr">
        <is>
          <t>SIN PRODUCTO</t>
        </is>
      </c>
      <c r="G98" t="inlineStr">
        <is>
          <t>00</t>
        </is>
      </c>
      <c r="H98" t="inlineStr">
        <is>
          <t>SIN CODIGO BPIN</t>
        </is>
      </c>
      <c r="I98" t="inlineStr">
        <is>
          <t>00</t>
        </is>
      </c>
      <c r="J98" t="inlineStr">
        <is>
          <t>SIN PRODUCTO DANE</t>
        </is>
      </c>
      <c r="K98" t="inlineStr">
        <is>
          <t>00</t>
        </is>
      </c>
      <c r="L98" t="inlineStr">
        <is>
          <t>SIN ATRIBUTO</t>
        </is>
      </c>
      <c r="N98" t="inlineStr">
        <is>
          <t>2.1.3.04</t>
        </is>
      </c>
      <c r="O98" t="inlineStr">
        <is>
          <t>A organizaciones nacionales</t>
        </is>
      </c>
      <c r="P98" t="inlineStr">
        <is>
          <t>00</t>
        </is>
      </c>
      <c r="Q98" t="inlineStr">
        <is>
          <t>RECURSO PROPIOS</t>
        </is>
      </c>
      <c r="R98" t="n">
        <v>66334750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66334750</v>
      </c>
      <c r="Z98" t="n">
        <v>26334750</v>
      </c>
      <c r="AA98" t="n">
        <v>26334750</v>
      </c>
      <c r="AB98" t="n">
        <v>26334750</v>
      </c>
      <c r="AC98" t="n">
        <v>26334750</v>
      </c>
      <c r="AD98" t="n">
        <v>40000000</v>
      </c>
      <c r="AE98" t="n">
        <v>39.7</v>
      </c>
    </row>
    <row r="99">
      <c r="A99" t="inlineStr">
        <is>
          <t>1 - ADMINISTRACIÓN CENTRAL</t>
        </is>
      </c>
      <c r="B99" t="inlineStr">
        <is>
          <t>00 - SIN SECTOR</t>
        </is>
      </c>
      <c r="C99" t="inlineStr">
        <is>
          <t>00</t>
        </is>
      </c>
      <c r="D99" t="inlineStr">
        <is>
          <t>0000</t>
        </is>
      </c>
      <c r="E99" t="inlineStr">
        <is>
          <t>0000000</t>
        </is>
      </c>
      <c r="F99" t="inlineStr">
        <is>
          <t>SIN PRODUCTO</t>
        </is>
      </c>
      <c r="G99" t="inlineStr">
        <is>
          <t>00</t>
        </is>
      </c>
      <c r="H99" t="inlineStr">
        <is>
          <t>SIN CODIGO BPIN</t>
        </is>
      </c>
      <c r="I99" t="inlineStr">
        <is>
          <t>00</t>
        </is>
      </c>
      <c r="J99" t="inlineStr">
        <is>
          <t>SIN PRODUCTO DANE</t>
        </is>
      </c>
      <c r="K99" t="inlineStr">
        <is>
          <t>00</t>
        </is>
      </c>
      <c r="L99" t="inlineStr">
        <is>
          <t>SIN ATRIBUTO</t>
        </is>
      </c>
      <c r="N99" t="inlineStr">
        <is>
          <t>2.1.3.04.02</t>
        </is>
      </c>
      <c r="O99" t="inlineStr">
        <is>
          <t>Federacion nacional de municipios</t>
        </is>
      </c>
      <c r="P99" t="inlineStr">
        <is>
          <t>00</t>
        </is>
      </c>
      <c r="Q99" t="inlineStr">
        <is>
          <t>RECURSO PROPIOS</t>
        </is>
      </c>
      <c r="R99" t="n">
        <v>26334750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26334750</v>
      </c>
      <c r="Z99" t="n">
        <v>26334750</v>
      </c>
      <c r="AA99" t="n">
        <v>26334750</v>
      </c>
      <c r="AB99" t="n">
        <v>26334750</v>
      </c>
      <c r="AC99" t="n">
        <v>26334750</v>
      </c>
      <c r="AD99" t="n">
        <v>0</v>
      </c>
      <c r="AE99" t="n">
        <v>100</v>
      </c>
    </row>
    <row r="100">
      <c r="A100" t="inlineStr">
        <is>
          <t>1 - ADMINISTRACIÓN CENTRAL</t>
        </is>
      </c>
      <c r="B100" t="inlineStr">
        <is>
          <t>00 - SIN SECTOR</t>
        </is>
      </c>
      <c r="C100" t="inlineStr">
        <is>
          <t>00</t>
        </is>
      </c>
      <c r="D100" t="inlineStr">
        <is>
          <t>0000</t>
        </is>
      </c>
      <c r="E100" t="inlineStr">
        <is>
          <t>0000000</t>
        </is>
      </c>
      <c r="F100" t="inlineStr">
        <is>
          <t>SIN PRODUCTO</t>
        </is>
      </c>
      <c r="G100" t="inlineStr">
        <is>
          <t>00</t>
        </is>
      </c>
      <c r="H100" t="inlineStr">
        <is>
          <t>SIN CODIGO BPIN</t>
        </is>
      </c>
      <c r="I100" t="inlineStr">
        <is>
          <t>00</t>
        </is>
      </c>
      <c r="J100" t="inlineStr">
        <is>
          <t>SIN PRODUCTO DANE</t>
        </is>
      </c>
      <c r="K100" t="inlineStr">
        <is>
          <t>00</t>
        </is>
      </c>
      <c r="L100" t="inlineStr">
        <is>
          <t>SIN ATRIBUTO</t>
        </is>
      </c>
      <c r="N100" t="inlineStr">
        <is>
          <t>2.1.3.04.02.001</t>
        </is>
      </c>
      <c r="O100" t="inlineStr">
        <is>
          <t>Membresias</t>
        </is>
      </c>
      <c r="P100" t="inlineStr">
        <is>
          <t>1.2.1.0.00</t>
        </is>
      </c>
      <c r="Q100" t="inlineStr">
        <is>
          <t>INGRESOS CORRIENTES DE LIBRE DESTINACION</t>
        </is>
      </c>
      <c r="R100" t="n">
        <v>26334750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26334750</v>
      </c>
      <c r="Z100" t="n">
        <v>26334750</v>
      </c>
      <c r="AA100" t="n">
        <v>26334750</v>
      </c>
      <c r="AB100" t="n">
        <v>26334750</v>
      </c>
      <c r="AC100" t="n">
        <v>26334750</v>
      </c>
      <c r="AD100" t="n">
        <v>0</v>
      </c>
      <c r="AE100" t="n">
        <v>100</v>
      </c>
    </row>
    <row r="101">
      <c r="A101" t="inlineStr">
        <is>
          <t>1 - ADMINISTRACIÓN CENTRAL</t>
        </is>
      </c>
      <c r="B101" t="inlineStr">
        <is>
          <t>00 - SIN SECTOR</t>
        </is>
      </c>
      <c r="C101" t="inlineStr">
        <is>
          <t>00</t>
        </is>
      </c>
      <c r="D101" t="inlineStr">
        <is>
          <t>0000</t>
        </is>
      </c>
      <c r="E101" t="inlineStr">
        <is>
          <t>0000000</t>
        </is>
      </c>
      <c r="F101" t="inlineStr">
        <is>
          <t>SIN PRODUCTO</t>
        </is>
      </c>
      <c r="G101" t="inlineStr">
        <is>
          <t>00</t>
        </is>
      </c>
      <c r="H101" t="inlineStr">
        <is>
          <t>SIN CODIGO BPIN</t>
        </is>
      </c>
      <c r="I101" t="inlineStr">
        <is>
          <t>00</t>
        </is>
      </c>
      <c r="J101" t="inlineStr">
        <is>
          <t>SIN PRODUCTO DANE</t>
        </is>
      </c>
      <c r="K101" t="inlineStr">
        <is>
          <t>00</t>
        </is>
      </c>
      <c r="L101" t="inlineStr">
        <is>
          <t>SIN ATRIBUTO</t>
        </is>
      </c>
      <c r="N101" t="inlineStr">
        <is>
          <t>2.1.3.04.05</t>
        </is>
      </c>
      <c r="O101" t="inlineStr">
        <is>
          <t>A otras organizaciones nacionales</t>
        </is>
      </c>
      <c r="P101" t="inlineStr">
        <is>
          <t>00</t>
        </is>
      </c>
      <c r="Q101" t="inlineStr">
        <is>
          <t>RECURSO PROPIOS</t>
        </is>
      </c>
      <c r="R101" t="n">
        <v>40000000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40000000</v>
      </c>
      <c r="Z101" t="n">
        <v>0</v>
      </c>
      <c r="AA101" t="n">
        <v>0</v>
      </c>
      <c r="AB101" t="n">
        <v>0</v>
      </c>
      <c r="AC101" t="n">
        <v>0</v>
      </c>
      <c r="AD101" t="n">
        <v>40000000</v>
      </c>
      <c r="AE101" t="n">
        <v>0</v>
      </c>
    </row>
    <row r="102">
      <c r="A102" t="inlineStr">
        <is>
          <t>1 - ADMINISTRACIÓN CENTRAL</t>
        </is>
      </c>
      <c r="B102" t="inlineStr">
        <is>
          <t>00 - SIN SECTOR</t>
        </is>
      </c>
      <c r="C102" t="inlineStr">
        <is>
          <t>00</t>
        </is>
      </c>
      <c r="D102" t="inlineStr">
        <is>
          <t>0000</t>
        </is>
      </c>
      <c r="E102" t="inlineStr">
        <is>
          <t>0000000</t>
        </is>
      </c>
      <c r="F102" t="inlineStr">
        <is>
          <t>SIN PRODUCTO</t>
        </is>
      </c>
      <c r="G102" t="inlineStr">
        <is>
          <t>00</t>
        </is>
      </c>
      <c r="H102" t="inlineStr">
        <is>
          <t>SIN CODIGO BPIN</t>
        </is>
      </c>
      <c r="I102" t="inlineStr">
        <is>
          <t>00</t>
        </is>
      </c>
      <c r="J102" t="inlineStr">
        <is>
          <t>SIN PRODUCTO DANE</t>
        </is>
      </c>
      <c r="K102" t="inlineStr">
        <is>
          <t>00</t>
        </is>
      </c>
      <c r="L102" t="inlineStr">
        <is>
          <t>SIN ATRIBUTO</t>
        </is>
      </c>
      <c r="N102" t="inlineStr">
        <is>
          <t>2.1.3.04.05.001</t>
        </is>
      </c>
      <c r="O102" t="inlineStr">
        <is>
          <t>Membresias</t>
        </is>
      </c>
      <c r="P102" t="inlineStr">
        <is>
          <t>00</t>
        </is>
      </c>
      <c r="Q102" t="inlineStr">
        <is>
          <t>RECURSO PROPIOS</t>
        </is>
      </c>
      <c r="R102" t="n">
        <v>40000000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40000000</v>
      </c>
      <c r="Z102" t="n">
        <v>0</v>
      </c>
      <c r="AA102" t="n">
        <v>0</v>
      </c>
      <c r="AB102" t="n">
        <v>0</v>
      </c>
      <c r="AC102" t="n">
        <v>0</v>
      </c>
      <c r="AD102" t="n">
        <v>40000000</v>
      </c>
      <c r="AE102" t="n">
        <v>0</v>
      </c>
    </row>
    <row r="103">
      <c r="A103" t="inlineStr">
        <is>
          <t>1 - ADMINISTRACIÓN CENTRAL</t>
        </is>
      </c>
      <c r="B103" t="inlineStr">
        <is>
          <t>00 - SIN SECTOR</t>
        </is>
      </c>
      <c r="C103" t="inlineStr">
        <is>
          <t>00</t>
        </is>
      </c>
      <c r="D103" t="inlineStr">
        <is>
          <t>0000</t>
        </is>
      </c>
      <c r="E103" t="inlineStr">
        <is>
          <t>0000000</t>
        </is>
      </c>
      <c r="F103" t="inlineStr">
        <is>
          <t>SIN PRODUCTO</t>
        </is>
      </c>
      <c r="G103" t="inlineStr">
        <is>
          <t>00</t>
        </is>
      </c>
      <c r="H103" t="inlineStr">
        <is>
          <t>SIN CODIGO BPIN</t>
        </is>
      </c>
      <c r="I103" t="inlineStr">
        <is>
          <t>00</t>
        </is>
      </c>
      <c r="J103" t="inlineStr">
        <is>
          <t>SIN PRODUCTO DANE</t>
        </is>
      </c>
      <c r="K103" t="inlineStr">
        <is>
          <t>00</t>
        </is>
      </c>
      <c r="L103" t="inlineStr">
        <is>
          <t>SIN ATRIBUTO</t>
        </is>
      </c>
      <c r="N103" t="inlineStr">
        <is>
          <t>2.1.3.04.05.001.01</t>
        </is>
      </c>
      <c r="O103" t="inlineStr">
        <is>
          <t>Asociación Colombiana de Ciudades Intermedias</t>
        </is>
      </c>
      <c r="P103" t="inlineStr">
        <is>
          <t>1.2.1.0.00</t>
        </is>
      </c>
      <c r="Q103" t="inlineStr">
        <is>
          <t>INGRESOS CORRIENTES DE LIBRE DESTINACION</t>
        </is>
      </c>
      <c r="R103" t="n">
        <v>40000000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40000000</v>
      </c>
      <c r="Z103" t="n">
        <v>0</v>
      </c>
      <c r="AA103" t="n">
        <v>0</v>
      </c>
      <c r="AB103" t="n">
        <v>0</v>
      </c>
      <c r="AC103" t="n">
        <v>0</v>
      </c>
      <c r="AD103" t="n">
        <v>40000000</v>
      </c>
      <c r="AE103" t="n">
        <v>0</v>
      </c>
    </row>
    <row r="104">
      <c r="A104" t="inlineStr">
        <is>
          <t>1 - ADMINISTRACIÓN CENTRAL</t>
        </is>
      </c>
      <c r="B104" t="inlineStr">
        <is>
          <t>00 - SIN SECTOR</t>
        </is>
      </c>
      <c r="C104" t="inlineStr">
        <is>
          <t>00</t>
        </is>
      </c>
      <c r="D104" t="inlineStr">
        <is>
          <t>0000</t>
        </is>
      </c>
      <c r="E104" t="inlineStr">
        <is>
          <t>0000000</t>
        </is>
      </c>
      <c r="F104" t="inlineStr">
        <is>
          <t>SIN PRODUCTO</t>
        </is>
      </c>
      <c r="G104" t="inlineStr">
        <is>
          <t>00</t>
        </is>
      </c>
      <c r="H104" t="inlineStr">
        <is>
          <t>SIN CODIGO BPIN</t>
        </is>
      </c>
      <c r="I104" t="inlineStr">
        <is>
          <t>00</t>
        </is>
      </c>
      <c r="J104" t="inlineStr">
        <is>
          <t>SIN PRODUCTO DANE</t>
        </is>
      </c>
      <c r="K104" t="inlineStr">
        <is>
          <t>00</t>
        </is>
      </c>
      <c r="L104" t="inlineStr">
        <is>
          <t>SIN ATRIBUTO</t>
        </is>
      </c>
      <c r="N104" t="inlineStr">
        <is>
          <t>2.1.3.05</t>
        </is>
      </c>
      <c r="O104" t="inlineStr">
        <is>
          <t>A entidades del gobierno</t>
        </is>
      </c>
      <c r="P104" t="inlineStr">
        <is>
          <t>00</t>
        </is>
      </c>
      <c r="Q104" t="inlineStr">
        <is>
          <t>RECURSO PROPIOS</t>
        </is>
      </c>
      <c r="R104" t="n">
        <v>4739000000</v>
      </c>
      <c r="S104" t="n">
        <v>0</v>
      </c>
      <c r="T104" t="n">
        <v>0</v>
      </c>
      <c r="U104" t="n">
        <v>800000000</v>
      </c>
      <c r="V104" t="n">
        <v>800000000</v>
      </c>
      <c r="W104" t="n">
        <v>0</v>
      </c>
      <c r="X104" t="n">
        <v>0</v>
      </c>
      <c r="Y104" t="n">
        <v>4739000000</v>
      </c>
      <c r="Z104" t="n">
        <v>1334412186</v>
      </c>
      <c r="AA104" t="n">
        <v>1334412186</v>
      </c>
      <c r="AB104" t="n">
        <v>1334412186</v>
      </c>
      <c r="AC104" t="n">
        <v>1334412186</v>
      </c>
      <c r="AD104" t="n">
        <v>3404587814</v>
      </c>
      <c r="AE104" t="n">
        <v>28.16</v>
      </c>
    </row>
    <row r="105">
      <c r="A105" t="inlineStr">
        <is>
          <t>1 - ADMINISTRACIÓN CENTRAL</t>
        </is>
      </c>
      <c r="B105" t="inlineStr">
        <is>
          <t>00 - SIN SECTOR</t>
        </is>
      </c>
      <c r="C105" t="inlineStr">
        <is>
          <t>00</t>
        </is>
      </c>
      <c r="D105" t="inlineStr">
        <is>
          <t>0000</t>
        </is>
      </c>
      <c r="E105" t="inlineStr">
        <is>
          <t>0000000</t>
        </is>
      </c>
      <c r="F105" t="inlineStr">
        <is>
          <t>SIN PRODUCTO</t>
        </is>
      </c>
      <c r="G105" t="inlineStr">
        <is>
          <t>00</t>
        </is>
      </c>
      <c r="H105" t="inlineStr">
        <is>
          <t>SIN CODIGO BPIN</t>
        </is>
      </c>
      <c r="I105" t="inlineStr">
        <is>
          <t>00</t>
        </is>
      </c>
      <c r="J105" t="inlineStr">
        <is>
          <t>SIN PRODUCTO DANE</t>
        </is>
      </c>
      <c r="K105" t="inlineStr">
        <is>
          <t>00</t>
        </is>
      </c>
      <c r="L105" t="inlineStr">
        <is>
          <t>SIN ATRIBUTO</t>
        </is>
      </c>
      <c r="N105" t="inlineStr">
        <is>
          <t>2.1.3.05.01</t>
        </is>
      </c>
      <c r="O105" t="inlineStr">
        <is>
          <t>A organos del pgn</t>
        </is>
      </c>
      <c r="P105" t="inlineStr">
        <is>
          <t>00</t>
        </is>
      </c>
      <c r="Q105" t="inlineStr">
        <is>
          <t>RECURSO PROPIOS</t>
        </is>
      </c>
      <c r="R105" t="n">
        <v>98000000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98000000</v>
      </c>
      <c r="Z105" t="n">
        <v>0</v>
      </c>
      <c r="AA105" t="n">
        <v>0</v>
      </c>
      <c r="AB105" t="n">
        <v>0</v>
      </c>
      <c r="AC105" t="n">
        <v>0</v>
      </c>
      <c r="AD105" t="n">
        <v>98000000</v>
      </c>
      <c r="AE105" t="n">
        <v>0</v>
      </c>
    </row>
    <row r="106">
      <c r="A106" t="inlineStr">
        <is>
          <t>1 - ADMINISTRACIÓN CENTRAL</t>
        </is>
      </c>
      <c r="B106" t="inlineStr">
        <is>
          <t>00 - SIN SECTOR</t>
        </is>
      </c>
      <c r="C106" t="inlineStr">
        <is>
          <t>00</t>
        </is>
      </c>
      <c r="D106" t="inlineStr">
        <is>
          <t>0000</t>
        </is>
      </c>
      <c r="E106" t="inlineStr">
        <is>
          <t>0000000</t>
        </is>
      </c>
      <c r="F106" t="inlineStr">
        <is>
          <t>SIN PRODUCTO</t>
        </is>
      </c>
      <c r="G106" t="inlineStr">
        <is>
          <t>00</t>
        </is>
      </c>
      <c r="H106" t="inlineStr">
        <is>
          <t>SIN CODIGO BPIN</t>
        </is>
      </c>
      <c r="I106" t="inlineStr">
        <is>
          <t>00</t>
        </is>
      </c>
      <c r="J106" t="inlineStr">
        <is>
          <t>SIN PRODUCTO DANE</t>
        </is>
      </c>
      <c r="K106" t="inlineStr">
        <is>
          <t>00</t>
        </is>
      </c>
      <c r="L106" t="inlineStr">
        <is>
          <t>SIN ATRIBUTO</t>
        </is>
      </c>
      <c r="N106" t="inlineStr">
        <is>
          <t>2.1.3.05.01.061</t>
        </is>
      </c>
      <c r="O106" t="inlineStr">
        <is>
          <t>Administracion, funcionamiento e infraestructura del registro nacional de medidas correctivas</t>
        </is>
      </c>
      <c r="P106" t="inlineStr">
        <is>
          <t>1.2.3.2.24</t>
        </is>
      </c>
      <c r="Q106" t="inlineStr">
        <is>
          <t>MULTAS CODIGO NACIONAL DE POLICIA Y CONVIVENCIA</t>
        </is>
      </c>
      <c r="R106" t="n">
        <v>56000000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56000000</v>
      </c>
      <c r="Z106" t="n">
        <v>0</v>
      </c>
      <c r="AA106" t="n">
        <v>0</v>
      </c>
      <c r="AB106" t="n">
        <v>0</v>
      </c>
      <c r="AC106" t="n">
        <v>0</v>
      </c>
      <c r="AD106" t="n">
        <v>56000000</v>
      </c>
      <c r="AE106" t="n">
        <v>0</v>
      </c>
    </row>
    <row r="107">
      <c r="A107" t="inlineStr">
        <is>
          <t>1 - ADMINISTRACIÓN CENTRAL</t>
        </is>
      </c>
      <c r="B107" t="inlineStr">
        <is>
          <t>00 - SIN SECTOR</t>
        </is>
      </c>
      <c r="C107" t="inlineStr">
        <is>
          <t>00</t>
        </is>
      </c>
      <c r="D107" t="inlineStr">
        <is>
          <t>0000</t>
        </is>
      </c>
      <c r="E107" t="inlineStr">
        <is>
          <t>0000000</t>
        </is>
      </c>
      <c r="F107" t="inlineStr">
        <is>
          <t>SIN PRODUCTO</t>
        </is>
      </c>
      <c r="G107" t="inlineStr">
        <is>
          <t>00</t>
        </is>
      </c>
      <c r="H107" t="inlineStr">
        <is>
          <t>SIN CODIGO BPIN</t>
        </is>
      </c>
      <c r="I107" t="inlineStr">
        <is>
          <t>00</t>
        </is>
      </c>
      <c r="J107" t="inlineStr">
        <is>
          <t>SIN PRODUCTO DANE</t>
        </is>
      </c>
      <c r="K107" t="inlineStr">
        <is>
          <t>00</t>
        </is>
      </c>
      <c r="L107" t="inlineStr">
        <is>
          <t>SIN ATRIBUTO</t>
        </is>
      </c>
      <c r="N107" t="inlineStr">
        <is>
          <t>2.1.3.05.01.067</t>
        </is>
      </c>
      <c r="O107" t="inlineStr">
        <is>
          <t>Servicio de policia en modalidad de vigilancia</t>
        </is>
      </c>
      <c r="P107" t="inlineStr">
        <is>
          <t>1.2.3.2.24</t>
        </is>
      </c>
      <c r="Q107" t="inlineStr">
        <is>
          <t>MULTAS CODIGO NACIONAL DE POLICIA Y CONVIVENCIA</t>
        </is>
      </c>
      <c r="R107" t="n">
        <v>21000000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21000000</v>
      </c>
      <c r="Z107" t="n">
        <v>0</v>
      </c>
      <c r="AA107" t="n">
        <v>0</v>
      </c>
      <c r="AB107" t="n">
        <v>0</v>
      </c>
      <c r="AC107" t="n">
        <v>0</v>
      </c>
      <c r="AD107" t="n">
        <v>21000000</v>
      </c>
      <c r="AE107" t="n">
        <v>0</v>
      </c>
    </row>
    <row r="108">
      <c r="A108" t="inlineStr">
        <is>
          <t>1 - ADMINISTRACIÓN CENTRAL</t>
        </is>
      </c>
      <c r="B108" t="inlineStr">
        <is>
          <t>00 - SIN SECTOR</t>
        </is>
      </c>
      <c r="C108" t="inlineStr">
        <is>
          <t>00</t>
        </is>
      </c>
      <c r="D108" t="inlineStr">
        <is>
          <t>0000</t>
        </is>
      </c>
      <c r="E108" t="inlineStr">
        <is>
          <t>0000000</t>
        </is>
      </c>
      <c r="F108" t="inlineStr">
        <is>
          <t>SIN PRODUCTO</t>
        </is>
      </c>
      <c r="G108" t="inlineStr">
        <is>
          <t>00</t>
        </is>
      </c>
      <c r="H108" t="inlineStr">
        <is>
          <t>SIN CODIGO BPIN</t>
        </is>
      </c>
      <c r="I108" t="inlineStr">
        <is>
          <t>00</t>
        </is>
      </c>
      <c r="J108" t="inlineStr">
        <is>
          <t>SIN PRODUCTO DANE</t>
        </is>
      </c>
      <c r="K108" t="inlineStr">
        <is>
          <t>00</t>
        </is>
      </c>
      <c r="L108" t="inlineStr">
        <is>
          <t>SIN ATRIBUTO</t>
        </is>
      </c>
      <c r="N108" t="inlineStr">
        <is>
          <t>2.1.3.05.01.068</t>
        </is>
      </c>
      <c r="O108" t="inlineStr">
        <is>
          <t>Administracion, funcionamiento e infraestructura del sistema unico de informacion de recaudo, registro y transaccion de multas del codigo nacional de seguridad y convivencia ciudadana</t>
        </is>
      </c>
      <c r="P108" t="inlineStr">
        <is>
          <t>1.2.3.2.24</t>
        </is>
      </c>
      <c r="Q108" t="inlineStr">
        <is>
          <t>MULTAS CODIGO NACIONAL DE POLICIA Y CONVIVENCIA</t>
        </is>
      </c>
      <c r="R108" t="n">
        <v>21000000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21000000</v>
      </c>
      <c r="Z108" t="n">
        <v>0</v>
      </c>
      <c r="AA108" t="n">
        <v>0</v>
      </c>
      <c r="AB108" t="n">
        <v>0</v>
      </c>
      <c r="AC108" t="n">
        <v>0</v>
      </c>
      <c r="AD108" t="n">
        <v>21000000</v>
      </c>
      <c r="AE108" t="n">
        <v>0</v>
      </c>
    </row>
    <row r="109">
      <c r="A109" t="inlineStr">
        <is>
          <t>1 - ADMINISTRACIÓN CENTRAL</t>
        </is>
      </c>
      <c r="B109" t="inlineStr">
        <is>
          <t>00 - SIN SECTOR</t>
        </is>
      </c>
      <c r="C109" t="inlineStr">
        <is>
          <t>00</t>
        </is>
      </c>
      <c r="D109" t="inlineStr">
        <is>
          <t>0000</t>
        </is>
      </c>
      <c r="E109" t="inlineStr">
        <is>
          <t>0000000</t>
        </is>
      </c>
      <c r="F109" t="inlineStr">
        <is>
          <t>SIN PRODUCTO</t>
        </is>
      </c>
      <c r="G109" t="inlineStr">
        <is>
          <t>00</t>
        </is>
      </c>
      <c r="H109" t="inlineStr">
        <is>
          <t>SIN CODIGO BPIN</t>
        </is>
      </c>
      <c r="I109" t="inlineStr">
        <is>
          <t>00</t>
        </is>
      </c>
      <c r="J109" t="inlineStr">
        <is>
          <t>SIN PRODUCTO DANE</t>
        </is>
      </c>
      <c r="K109" t="inlineStr">
        <is>
          <t>00</t>
        </is>
      </c>
      <c r="L109" t="inlineStr">
        <is>
          <t>SIN ATRIBUTO</t>
        </is>
      </c>
      <c r="N109" t="inlineStr">
        <is>
          <t>2.1.3.05.04</t>
        </is>
      </c>
      <c r="O109" t="inlineStr">
        <is>
          <t>Participaciones distintas del sgp</t>
        </is>
      </c>
      <c r="P109" t="inlineStr">
        <is>
          <t>00</t>
        </is>
      </c>
      <c r="Q109" t="inlineStr">
        <is>
          <t>RECURSO PROPIOS</t>
        </is>
      </c>
      <c r="R109" t="n">
        <v>3741000000</v>
      </c>
      <c r="S109" t="n">
        <v>0</v>
      </c>
      <c r="T109" t="n">
        <v>0</v>
      </c>
      <c r="U109" t="n">
        <v>800000000</v>
      </c>
      <c r="V109" t="n">
        <v>800000000</v>
      </c>
      <c r="W109" t="n">
        <v>0</v>
      </c>
      <c r="X109" t="n">
        <v>0</v>
      </c>
      <c r="Y109" t="n">
        <v>3741000000</v>
      </c>
      <c r="Z109" t="n">
        <v>1031157435</v>
      </c>
      <c r="AA109" t="n">
        <v>1031157435</v>
      </c>
      <c r="AB109" t="n">
        <v>1031157435</v>
      </c>
      <c r="AC109" t="n">
        <v>1031157435</v>
      </c>
      <c r="AD109" t="n">
        <v>2709842565</v>
      </c>
      <c r="AE109" t="n">
        <v>27.56</v>
      </c>
    </row>
    <row r="110">
      <c r="A110" t="inlineStr">
        <is>
          <t>1 - ADMINISTRACIÓN CENTRAL</t>
        </is>
      </c>
      <c r="B110" t="inlineStr">
        <is>
          <t>00 - SIN SECTOR</t>
        </is>
      </c>
      <c r="C110" t="inlineStr">
        <is>
          <t>00</t>
        </is>
      </c>
      <c r="D110" t="inlineStr">
        <is>
          <t>0000</t>
        </is>
      </c>
      <c r="E110" t="inlineStr">
        <is>
          <t>0000000</t>
        </is>
      </c>
      <c r="F110" t="inlineStr">
        <is>
          <t>SIN PRODUCTO</t>
        </is>
      </c>
      <c r="G110" t="inlineStr">
        <is>
          <t>00</t>
        </is>
      </c>
      <c r="H110" t="inlineStr">
        <is>
          <t>SIN CODIGO BPIN</t>
        </is>
      </c>
      <c r="I110" t="inlineStr">
        <is>
          <t>00</t>
        </is>
      </c>
      <c r="J110" t="inlineStr">
        <is>
          <t>SIN PRODUCTO DANE</t>
        </is>
      </c>
      <c r="K110" t="inlineStr">
        <is>
          <t>00</t>
        </is>
      </c>
      <c r="L110" t="inlineStr">
        <is>
          <t>SIN ATRIBUTO</t>
        </is>
      </c>
      <c r="N110" t="inlineStr">
        <is>
          <t>2.1.3.05.04.001</t>
        </is>
      </c>
      <c r="O110" t="inlineStr">
        <is>
          <t>Participaciones de impuestos</t>
        </is>
      </c>
      <c r="P110" t="inlineStr">
        <is>
          <t>00</t>
        </is>
      </c>
      <c r="Q110" t="inlineStr">
        <is>
          <t>RECURSO PROPIOS</t>
        </is>
      </c>
      <c r="R110" t="n">
        <v>3741000000</v>
      </c>
      <c r="S110" t="n">
        <v>0</v>
      </c>
      <c r="T110" t="n">
        <v>0</v>
      </c>
      <c r="U110" t="n">
        <v>0</v>
      </c>
      <c r="V110" t="n">
        <v>800000000</v>
      </c>
      <c r="W110" t="n">
        <v>0</v>
      </c>
      <c r="X110" t="n">
        <v>0</v>
      </c>
      <c r="Y110" t="n">
        <v>2941000000</v>
      </c>
      <c r="Z110" t="n">
        <v>965726335</v>
      </c>
      <c r="AA110" t="n">
        <v>965726335</v>
      </c>
      <c r="AB110" t="n">
        <v>965726335</v>
      </c>
      <c r="AC110" t="n">
        <v>965726335</v>
      </c>
      <c r="AD110" t="n">
        <v>1975273665</v>
      </c>
      <c r="AE110" t="n">
        <v>32.84</v>
      </c>
    </row>
    <row r="111">
      <c r="A111" t="inlineStr">
        <is>
          <t>1 - ADMINISTRACIÓN CENTRAL</t>
        </is>
      </c>
      <c r="B111" t="inlineStr">
        <is>
          <t>00 - SIN SECTOR</t>
        </is>
      </c>
      <c r="C111" t="inlineStr">
        <is>
          <t>00</t>
        </is>
      </c>
      <c r="D111" t="inlineStr">
        <is>
          <t>0000</t>
        </is>
      </c>
      <c r="E111" t="inlineStr">
        <is>
          <t>0000000</t>
        </is>
      </c>
      <c r="F111" t="inlineStr">
        <is>
          <t>SIN PRODUCTO</t>
        </is>
      </c>
      <c r="G111" t="inlineStr">
        <is>
          <t>00</t>
        </is>
      </c>
      <c r="H111" t="inlineStr">
        <is>
          <t>SIN CODIGO BPIN</t>
        </is>
      </c>
      <c r="I111" t="inlineStr">
        <is>
          <t>00</t>
        </is>
      </c>
      <c r="J111" t="inlineStr">
        <is>
          <t>SIN PRODUCTO DANE</t>
        </is>
      </c>
      <c r="K111" t="inlineStr">
        <is>
          <t>00</t>
        </is>
      </c>
      <c r="L111" t="inlineStr">
        <is>
          <t>SIN ATRIBUTO</t>
        </is>
      </c>
      <c r="N111" t="inlineStr">
        <is>
          <t>2.1.3.05.04.001.13</t>
        </is>
      </c>
      <c r="O111" t="inlineStr">
        <is>
          <t>Participacion de la sobretasa ambiental</t>
        </is>
      </c>
      <c r="P111" t="inlineStr">
        <is>
          <t>00</t>
        </is>
      </c>
      <c r="Q111" t="inlineStr">
        <is>
          <t>RECURSO PROPIOS</t>
        </is>
      </c>
      <c r="R111" t="n">
        <v>3741000000</v>
      </c>
      <c r="S111" t="n">
        <v>0</v>
      </c>
      <c r="T111" t="n">
        <v>0</v>
      </c>
      <c r="U111" t="n">
        <v>0</v>
      </c>
      <c r="V111" t="n">
        <v>800000000</v>
      </c>
      <c r="W111" t="n">
        <v>0</v>
      </c>
      <c r="X111" t="n">
        <v>0</v>
      </c>
      <c r="Y111" t="n">
        <v>2941000000</v>
      </c>
      <c r="Z111" t="n">
        <v>965726335</v>
      </c>
      <c r="AA111" t="n">
        <v>965726335</v>
      </c>
      <c r="AB111" t="n">
        <v>965726335</v>
      </c>
      <c r="AC111" t="n">
        <v>965726335</v>
      </c>
      <c r="AD111" t="n">
        <v>1975273665</v>
      </c>
      <c r="AE111" t="n">
        <v>32.84</v>
      </c>
    </row>
    <row r="112">
      <c r="A112" t="inlineStr">
        <is>
          <t>1 - ADMINISTRACIÓN CENTRAL</t>
        </is>
      </c>
      <c r="B112" t="inlineStr">
        <is>
          <t>00 - SIN SECTOR</t>
        </is>
      </c>
      <c r="C112" t="inlineStr">
        <is>
          <t>00</t>
        </is>
      </c>
      <c r="D112" t="inlineStr">
        <is>
          <t>0000</t>
        </is>
      </c>
      <c r="E112" t="inlineStr">
        <is>
          <t>0000000</t>
        </is>
      </c>
      <c r="F112" t="inlineStr">
        <is>
          <t>SIN PRODUCTO</t>
        </is>
      </c>
      <c r="G112" t="inlineStr">
        <is>
          <t>00</t>
        </is>
      </c>
      <c r="H112" t="inlineStr">
        <is>
          <t>SIN CODIGO BPIN</t>
        </is>
      </c>
      <c r="I112" t="inlineStr">
        <is>
          <t>00</t>
        </is>
      </c>
      <c r="J112" t="inlineStr">
        <is>
          <t>SIN PRODUCTO DANE</t>
        </is>
      </c>
      <c r="K112" t="inlineStr">
        <is>
          <t>00</t>
        </is>
      </c>
      <c r="L112" t="inlineStr">
        <is>
          <t>SIN ATRIBUTO</t>
        </is>
      </c>
      <c r="N112" t="inlineStr">
        <is>
          <t>2.1.3.05.04.001.13.01</t>
        </is>
      </c>
      <c r="O112" t="inlineStr">
        <is>
          <t>Transferencia de la sobretasa ambiental a las corporaciones autonomas regionales</t>
        </is>
      </c>
      <c r="P112" t="inlineStr">
        <is>
          <t>1.2.3.1.01</t>
        </is>
      </c>
      <c r="Q112" t="inlineStr">
        <is>
          <t>SOBRETASA - PARTICIPACION AMBIENTAL - CORPORACIONES AUTONOMAS REGIONALES</t>
        </is>
      </c>
      <c r="R112" t="n">
        <v>3520000000</v>
      </c>
      <c r="S112" t="n">
        <v>0</v>
      </c>
      <c r="T112" t="n">
        <v>0</v>
      </c>
      <c r="U112" t="n">
        <v>0</v>
      </c>
      <c r="V112" t="n">
        <v>800000000</v>
      </c>
      <c r="W112" t="n">
        <v>0</v>
      </c>
      <c r="X112" t="n">
        <v>0</v>
      </c>
      <c r="Y112" t="n">
        <v>2720000000</v>
      </c>
      <c r="Z112" t="n">
        <v>965726335</v>
      </c>
      <c r="AA112" t="n">
        <v>965726335</v>
      </c>
      <c r="AB112" t="n">
        <v>965726335</v>
      </c>
      <c r="AC112" t="n">
        <v>965726335</v>
      </c>
      <c r="AD112" t="n">
        <v>1754273665</v>
      </c>
      <c r="AE112" t="n">
        <v>35.5</v>
      </c>
    </row>
    <row r="113">
      <c r="A113" t="inlineStr">
        <is>
          <t>1 - ADMINISTRACIÓN CENTRAL</t>
        </is>
      </c>
      <c r="B113" t="inlineStr">
        <is>
          <t>00 - SIN SECTOR</t>
        </is>
      </c>
      <c r="C113" t="inlineStr">
        <is>
          <t>00</t>
        </is>
      </c>
      <c r="D113" t="inlineStr">
        <is>
          <t>0000</t>
        </is>
      </c>
      <c r="E113" t="inlineStr">
        <is>
          <t>0000000</t>
        </is>
      </c>
      <c r="F113" t="inlineStr">
        <is>
          <t>SIN PRODUCTO</t>
        </is>
      </c>
      <c r="G113" t="inlineStr">
        <is>
          <t>00</t>
        </is>
      </c>
      <c r="H113" t="inlineStr">
        <is>
          <t>SIN CODIGO BPIN</t>
        </is>
      </c>
      <c r="I113" t="inlineStr">
        <is>
          <t>00</t>
        </is>
      </c>
      <c r="J113" t="inlineStr">
        <is>
          <t>SIN PRODUCTO DANE</t>
        </is>
      </c>
      <c r="K113" t="inlineStr">
        <is>
          <t>00</t>
        </is>
      </c>
      <c r="L113" t="inlineStr">
        <is>
          <t>SIN ATRIBUTO</t>
        </is>
      </c>
      <c r="N113" t="inlineStr">
        <is>
          <t>2.1.3.05.04.001.13.02</t>
        </is>
      </c>
      <c r="O113" t="inlineStr">
        <is>
          <t>Transferencia de la sobretasa ambiental a las areas metropolitanas</t>
        </is>
      </c>
      <c r="P113" t="inlineStr">
        <is>
          <t>00</t>
        </is>
      </c>
      <c r="Q113" t="inlineStr">
        <is>
          <t>RECURSO PROPIOS</t>
        </is>
      </c>
      <c r="R113" t="n">
        <v>221000000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221000000</v>
      </c>
      <c r="Z113" t="n">
        <v>0</v>
      </c>
      <c r="AA113" t="n">
        <v>0</v>
      </c>
      <c r="AB113" t="n">
        <v>0</v>
      </c>
      <c r="AC113" t="n">
        <v>0</v>
      </c>
      <c r="AD113" t="n">
        <v>221000000</v>
      </c>
      <c r="AE113" t="n">
        <v>0</v>
      </c>
    </row>
    <row r="114">
      <c r="A114" t="inlineStr">
        <is>
          <t>1 - ADMINISTRACIÓN CENTRAL</t>
        </is>
      </c>
      <c r="B114" t="inlineStr">
        <is>
          <t>00 - SIN SECTOR</t>
        </is>
      </c>
      <c r="C114" t="inlineStr">
        <is>
          <t>00</t>
        </is>
      </c>
      <c r="D114" t="inlineStr">
        <is>
          <t>0000</t>
        </is>
      </c>
      <c r="E114" t="inlineStr">
        <is>
          <t>0000000</t>
        </is>
      </c>
      <c r="F114" t="inlineStr">
        <is>
          <t>SIN PRODUCTO</t>
        </is>
      </c>
      <c r="G114" t="inlineStr">
        <is>
          <t>00</t>
        </is>
      </c>
      <c r="H114" t="inlineStr">
        <is>
          <t>SIN CODIGO BPIN</t>
        </is>
      </c>
      <c r="I114" t="inlineStr">
        <is>
          <t>00</t>
        </is>
      </c>
      <c r="J114" t="inlineStr">
        <is>
          <t>SIN PRODUCTO DANE</t>
        </is>
      </c>
      <c r="K114" t="inlineStr">
        <is>
          <t>00</t>
        </is>
      </c>
      <c r="L114" t="inlineStr">
        <is>
          <t>SIN ATRIBUTO</t>
        </is>
      </c>
      <c r="N114" t="inlineStr">
        <is>
          <t>2.1.3.05.04.001.13.02.01</t>
        </is>
      </c>
      <c r="O114" t="inlineStr">
        <is>
          <t>Transferencia de la sobretasa ambiental a las areas metropolitanas - Vigencia</t>
        </is>
      </c>
      <c r="P114" t="inlineStr">
        <is>
          <t>1.2.3.1.02</t>
        </is>
      </c>
      <c r="Q114" t="inlineStr">
        <is>
          <t>SOBRETASA AMBIENTAL AREAS METROPOLITANAS</t>
        </is>
      </c>
      <c r="R114" t="n">
        <v>220000000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220000000</v>
      </c>
      <c r="Z114" t="n">
        <v>0</v>
      </c>
      <c r="AA114" t="n">
        <v>0</v>
      </c>
      <c r="AB114" t="n">
        <v>0</v>
      </c>
      <c r="AC114" t="n">
        <v>0</v>
      </c>
      <c r="AD114" t="n">
        <v>220000000</v>
      </c>
      <c r="AE114" t="n">
        <v>0</v>
      </c>
    </row>
    <row r="115">
      <c r="A115" t="inlineStr">
        <is>
          <t>1 - ADMINISTRACIÓN CENTRAL</t>
        </is>
      </c>
      <c r="B115" t="inlineStr">
        <is>
          <t>00 - SIN SECTOR</t>
        </is>
      </c>
      <c r="C115" t="inlineStr">
        <is>
          <t>00</t>
        </is>
      </c>
      <c r="D115" t="inlineStr">
        <is>
          <t>0000</t>
        </is>
      </c>
      <c r="E115" t="inlineStr">
        <is>
          <t>0000000</t>
        </is>
      </c>
      <c r="F115" t="inlineStr">
        <is>
          <t>SIN PRODUCTO</t>
        </is>
      </c>
      <c r="G115" t="inlineStr">
        <is>
          <t>00</t>
        </is>
      </c>
      <c r="H115" t="inlineStr">
        <is>
          <t>SIN CODIGO BPIN</t>
        </is>
      </c>
      <c r="I115" t="inlineStr">
        <is>
          <t>00</t>
        </is>
      </c>
      <c r="J115" t="inlineStr">
        <is>
          <t>SIN PRODUCTO DANE</t>
        </is>
      </c>
      <c r="K115" t="inlineStr">
        <is>
          <t>00</t>
        </is>
      </c>
      <c r="L115" t="inlineStr">
        <is>
          <t>SIN ATRIBUTO</t>
        </is>
      </c>
      <c r="N115" t="inlineStr">
        <is>
          <t>2.1.3.05.04.001.13.02.02</t>
        </is>
      </c>
      <c r="O115" t="inlineStr">
        <is>
          <t>Transferencia de la sobretasa ambiental a las areas metropolitanas - RB</t>
        </is>
      </c>
      <c r="P115" t="inlineStr">
        <is>
          <t>1.3.3.4.19</t>
        </is>
      </c>
      <c r="Q115" t="inlineStr">
        <is>
          <t>R.B. OTRAS MULTAS,SANCIONES E INTERESES DE MORA</t>
        </is>
      </c>
      <c r="R115" t="n">
        <v>1000000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1000000</v>
      </c>
      <c r="Z115" t="n">
        <v>0</v>
      </c>
      <c r="AA115" t="n">
        <v>0</v>
      </c>
      <c r="AB115" t="n">
        <v>0</v>
      </c>
      <c r="AC115" t="n">
        <v>0</v>
      </c>
      <c r="AD115" t="n">
        <v>1000000</v>
      </c>
      <c r="AE115" t="n">
        <v>0</v>
      </c>
    </row>
    <row r="116">
      <c r="A116" t="inlineStr">
        <is>
          <t>1 - ADMINISTRACIÓN CENTRAL</t>
        </is>
      </c>
      <c r="B116" t="inlineStr">
        <is>
          <t>00 - SIN SECTOR</t>
        </is>
      </c>
      <c r="C116" t="inlineStr">
        <is>
          <t>00</t>
        </is>
      </c>
      <c r="D116" t="inlineStr">
        <is>
          <t>0000</t>
        </is>
      </c>
      <c r="E116" t="inlineStr">
        <is>
          <t>000000</t>
        </is>
      </c>
      <c r="F116" t="inlineStr">
        <is>
          <t>SIN PRODUCTO</t>
        </is>
      </c>
      <c r="G116" t="inlineStr">
        <is>
          <t>00</t>
        </is>
      </c>
      <c r="H116" t="inlineStr">
        <is>
          <t>SIN CODIGO BPIN</t>
        </is>
      </c>
      <c r="I116" t="inlineStr">
        <is>
          <t>00</t>
        </is>
      </c>
      <c r="J116" t="inlineStr">
        <is>
          <t>SIN PRODUCTO DANE</t>
        </is>
      </c>
      <c r="K116" t="inlineStr">
        <is>
          <t>00</t>
        </is>
      </c>
      <c r="L116" t="inlineStr">
        <is>
          <t>SIN ATRIBUTO</t>
        </is>
      </c>
      <c r="N116" t="inlineStr">
        <is>
          <t>2.1.3.05.04.003</t>
        </is>
      </c>
      <c r="O116" t="inlineStr">
        <is>
          <t>Participaciones de multas, sanciones e intereses moratorios</t>
        </is>
      </c>
      <c r="P116" t="inlineStr">
        <is>
          <t>00</t>
        </is>
      </c>
      <c r="Q116" t="inlineStr">
        <is>
          <t>RECURSO PROPIOS</t>
        </is>
      </c>
      <c r="R116" t="n">
        <v>0</v>
      </c>
      <c r="S116" t="n">
        <v>0</v>
      </c>
      <c r="T116" t="n">
        <v>0</v>
      </c>
      <c r="U116" t="n">
        <v>800000000</v>
      </c>
      <c r="V116" t="n">
        <v>0</v>
      </c>
      <c r="W116" t="n">
        <v>0</v>
      </c>
      <c r="X116" t="n">
        <v>0</v>
      </c>
      <c r="Y116" t="n">
        <v>800000000</v>
      </c>
      <c r="Z116" t="n">
        <v>65431100</v>
      </c>
      <c r="AA116" t="n">
        <v>65431100</v>
      </c>
      <c r="AB116" t="n">
        <v>65431100</v>
      </c>
      <c r="AC116" t="n">
        <v>65431100</v>
      </c>
      <c r="AD116" t="n">
        <v>734568900</v>
      </c>
      <c r="AE116" t="n">
        <v>8.18</v>
      </c>
    </row>
    <row r="117">
      <c r="A117" t="inlineStr">
        <is>
          <t>1 - ADMINISTRACIÓN CENTRAL</t>
        </is>
      </c>
      <c r="B117" t="inlineStr">
        <is>
          <t>00 - SIN SECTOR</t>
        </is>
      </c>
      <c r="C117" t="inlineStr">
        <is>
          <t>00</t>
        </is>
      </c>
      <c r="D117" t="inlineStr">
        <is>
          <t>0000</t>
        </is>
      </c>
      <c r="E117" t="inlineStr">
        <is>
          <t>000000</t>
        </is>
      </c>
      <c r="F117" t="inlineStr">
        <is>
          <t>SIN PRODUCTO</t>
        </is>
      </c>
      <c r="G117" t="inlineStr">
        <is>
          <t>00</t>
        </is>
      </c>
      <c r="H117" t="inlineStr">
        <is>
          <t>SIN CODIGO BPIN</t>
        </is>
      </c>
      <c r="I117" t="inlineStr">
        <is>
          <t>00</t>
        </is>
      </c>
      <c r="J117" t="inlineStr">
        <is>
          <t>SIN PRODUCTO DANE</t>
        </is>
      </c>
      <c r="K117" t="inlineStr">
        <is>
          <t>00</t>
        </is>
      </c>
      <c r="L117" t="inlineStr">
        <is>
          <t>SIN ATRIBUTO</t>
        </is>
      </c>
      <c r="N117" t="inlineStr">
        <is>
          <t>2.1.3.05.04.003.03</t>
        </is>
      </c>
      <c r="O117" t="inlineStr">
        <is>
          <t>Participación de intereses de mora sobre la sobretasa ambiental</t>
        </is>
      </c>
      <c r="P117" t="inlineStr">
        <is>
          <t>00</t>
        </is>
      </c>
      <c r="Q117" t="inlineStr">
        <is>
          <t>RECURSO PROPIOS</t>
        </is>
      </c>
      <c r="R117" t="n">
        <v>0</v>
      </c>
      <c r="S117" t="n">
        <v>0</v>
      </c>
      <c r="T117" t="n">
        <v>0</v>
      </c>
      <c r="U117" t="n">
        <v>800000000</v>
      </c>
      <c r="V117" t="n">
        <v>0</v>
      </c>
      <c r="W117" t="n">
        <v>0</v>
      </c>
      <c r="X117" t="n">
        <v>0</v>
      </c>
      <c r="Y117" t="n">
        <v>800000000</v>
      </c>
      <c r="Z117" t="n">
        <v>65431100</v>
      </c>
      <c r="AA117" t="n">
        <v>65431100</v>
      </c>
      <c r="AB117" t="n">
        <v>65431100</v>
      </c>
      <c r="AC117" t="n">
        <v>65431100</v>
      </c>
      <c r="AD117" t="n">
        <v>734568900</v>
      </c>
      <c r="AE117" t="n">
        <v>8.18</v>
      </c>
    </row>
    <row r="118">
      <c r="A118" t="inlineStr">
        <is>
          <t>1 - ADMINISTRACIÓN CENTRAL</t>
        </is>
      </c>
      <c r="B118" t="inlineStr">
        <is>
          <t>00 - SIN SECTOR</t>
        </is>
      </c>
      <c r="C118" t="inlineStr">
        <is>
          <t>00</t>
        </is>
      </c>
      <c r="D118" t="inlineStr">
        <is>
          <t>0000</t>
        </is>
      </c>
      <c r="E118" t="inlineStr">
        <is>
          <t>000000</t>
        </is>
      </c>
      <c r="F118" t="inlineStr">
        <is>
          <t>SIN PRODUCTO</t>
        </is>
      </c>
      <c r="G118" t="inlineStr">
        <is>
          <t>00</t>
        </is>
      </c>
      <c r="H118" t="inlineStr">
        <is>
          <t>SIN CODIGO BPIN</t>
        </is>
      </c>
      <c r="I118" t="inlineStr">
        <is>
          <t>00</t>
        </is>
      </c>
      <c r="J118" t="inlineStr">
        <is>
          <t>SIN PRODUCTO DANE</t>
        </is>
      </c>
      <c r="K118" t="inlineStr">
        <is>
          <t>00</t>
        </is>
      </c>
      <c r="L118" t="inlineStr">
        <is>
          <t>SIN ATRIBUTO</t>
        </is>
      </c>
      <c r="N118" t="inlineStr">
        <is>
          <t>2.1.3.05.04.003.03.01</t>
        </is>
      </c>
      <c r="O118" t="inlineStr">
        <is>
          <t>Participación de intereses de mora sobre la sobretasa ambiental Corponor</t>
        </is>
      </c>
      <c r="P118" t="inlineStr">
        <is>
          <t>1.2.3.1.01</t>
        </is>
      </c>
      <c r="Q118" t="inlineStr">
        <is>
          <t>SOBRETASA - PARTICIPACION AMBIENTAL - CORPORACIONES AUTONOMAS REGIONALES</t>
        </is>
      </c>
      <c r="R118" t="n">
        <v>0</v>
      </c>
      <c r="S118" t="n">
        <v>0</v>
      </c>
      <c r="T118" t="n">
        <v>0</v>
      </c>
      <c r="U118" t="n">
        <v>800000000</v>
      </c>
      <c r="V118" t="n">
        <v>0</v>
      </c>
      <c r="W118" t="n">
        <v>0</v>
      </c>
      <c r="X118" t="n">
        <v>0</v>
      </c>
      <c r="Y118" t="n">
        <v>800000000</v>
      </c>
      <c r="Z118" t="n">
        <v>65431100</v>
      </c>
      <c r="AA118" t="n">
        <v>65431100</v>
      </c>
      <c r="AB118" t="n">
        <v>65431100</v>
      </c>
      <c r="AC118" t="n">
        <v>65431100</v>
      </c>
      <c r="AD118" t="n">
        <v>734568900</v>
      </c>
      <c r="AE118" t="n">
        <v>8.18</v>
      </c>
    </row>
    <row r="119">
      <c r="A119" t="inlineStr">
        <is>
          <t>1 - ADMINISTRACIÓN CENTRAL</t>
        </is>
      </c>
      <c r="B119" t="inlineStr">
        <is>
          <t>00 - SIN SECTOR</t>
        </is>
      </c>
      <c r="C119" t="inlineStr">
        <is>
          <t>00</t>
        </is>
      </c>
      <c r="D119" t="inlineStr">
        <is>
          <t>0000</t>
        </is>
      </c>
      <c r="E119" t="inlineStr">
        <is>
          <t>0000000</t>
        </is>
      </c>
      <c r="F119" t="inlineStr">
        <is>
          <t>SIN PRODUCTO</t>
        </is>
      </c>
      <c r="G119" t="inlineStr">
        <is>
          <t>00</t>
        </is>
      </c>
      <c r="H119" t="inlineStr">
        <is>
          <t>SIN CODIGO BPIN</t>
        </is>
      </c>
      <c r="I119" t="inlineStr">
        <is>
          <t>00</t>
        </is>
      </c>
      <c r="J119" t="inlineStr">
        <is>
          <t>SIN PRODUCTO DANE</t>
        </is>
      </c>
      <c r="K119" t="inlineStr">
        <is>
          <t>00</t>
        </is>
      </c>
      <c r="L119" t="inlineStr">
        <is>
          <t>SIN ATRIBUTO</t>
        </is>
      </c>
      <c r="N119" t="inlineStr">
        <is>
          <t>2.1.3.05.09</t>
        </is>
      </c>
      <c r="O119" t="inlineStr">
        <is>
          <t>A otras entidades del gobierno general</t>
        </is>
      </c>
      <c r="P119" t="inlineStr">
        <is>
          <t>00</t>
        </is>
      </c>
      <c r="Q119" t="inlineStr">
        <is>
          <t>RECURSO PROPIOS</t>
        </is>
      </c>
      <c r="R119" t="n">
        <v>900000000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900000000</v>
      </c>
      <c r="Z119" t="n">
        <v>303254751</v>
      </c>
      <c r="AA119" t="n">
        <v>303254751</v>
      </c>
      <c r="AB119" t="n">
        <v>303254751</v>
      </c>
      <c r="AC119" t="n">
        <v>303254751</v>
      </c>
      <c r="AD119" t="n">
        <v>596745249</v>
      </c>
      <c r="AE119" t="n">
        <v>33.69</v>
      </c>
    </row>
    <row r="120">
      <c r="A120" t="inlineStr">
        <is>
          <t>1 - ADMINISTRACIÓN CENTRAL</t>
        </is>
      </c>
      <c r="B120" t="inlineStr">
        <is>
          <t>00 - SIN SECTOR</t>
        </is>
      </c>
      <c r="C120" t="inlineStr">
        <is>
          <t>00</t>
        </is>
      </c>
      <c r="D120" t="inlineStr">
        <is>
          <t>0000</t>
        </is>
      </c>
      <c r="E120" t="inlineStr">
        <is>
          <t>0000000</t>
        </is>
      </c>
      <c r="F120" t="inlineStr">
        <is>
          <t>SIN PRODUCTO</t>
        </is>
      </c>
      <c r="G120" t="inlineStr">
        <is>
          <t>00</t>
        </is>
      </c>
      <c r="H120" t="inlineStr">
        <is>
          <t>SIN CODIGO BPIN</t>
        </is>
      </c>
      <c r="I120" t="inlineStr">
        <is>
          <t>00</t>
        </is>
      </c>
      <c r="J120" t="inlineStr">
        <is>
          <t>SIN PRODUCTO DANE</t>
        </is>
      </c>
      <c r="K120" t="inlineStr">
        <is>
          <t>00</t>
        </is>
      </c>
      <c r="L120" t="inlineStr">
        <is>
          <t>SIN ATRIBUTO</t>
        </is>
      </c>
      <c r="N120" t="inlineStr">
        <is>
          <t>2.1.3.05.09.099</t>
        </is>
      </c>
      <c r="O120" t="inlineStr">
        <is>
          <t>Aportes a establecimientos publicos y unidades administrativas especiales</t>
        </is>
      </c>
      <c r="P120" t="inlineStr">
        <is>
          <t>00</t>
        </is>
      </c>
      <c r="Q120" t="inlineStr">
        <is>
          <t>RECURSO PROPIOS</t>
        </is>
      </c>
      <c r="R120" t="n">
        <v>900000000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900000000</v>
      </c>
      <c r="Z120" t="n">
        <v>303254751</v>
      </c>
      <c r="AA120" t="n">
        <v>303254751</v>
      </c>
      <c r="AB120" t="n">
        <v>303254751</v>
      </c>
      <c r="AC120" t="n">
        <v>303254751</v>
      </c>
      <c r="AD120" t="n">
        <v>596745249</v>
      </c>
      <c r="AE120" t="n">
        <v>33.69</v>
      </c>
    </row>
    <row r="121">
      <c r="A121" t="inlineStr">
        <is>
          <t>1 - ADMINISTRACIÓN CENTRAL</t>
        </is>
      </c>
      <c r="B121" t="inlineStr">
        <is>
          <t>00 - SIN SECTOR</t>
        </is>
      </c>
      <c r="C121" t="inlineStr">
        <is>
          <t>00</t>
        </is>
      </c>
      <c r="D121" t="inlineStr">
        <is>
          <t>0000</t>
        </is>
      </c>
      <c r="E121" t="inlineStr">
        <is>
          <t>0000000</t>
        </is>
      </c>
      <c r="F121" t="inlineStr">
        <is>
          <t>SIN PRODUCTO</t>
        </is>
      </c>
      <c r="G121" t="inlineStr">
        <is>
          <t>00</t>
        </is>
      </c>
      <c r="H121" t="inlineStr">
        <is>
          <t>SIN CODIGO BPIN</t>
        </is>
      </c>
      <c r="I121" t="inlineStr">
        <is>
          <t>00</t>
        </is>
      </c>
      <c r="J121" t="inlineStr">
        <is>
          <t>SIN PRODUCTO DANE</t>
        </is>
      </c>
      <c r="K121" t="inlineStr">
        <is>
          <t>00</t>
        </is>
      </c>
      <c r="L121" t="inlineStr">
        <is>
          <t>SIN ATRIBUTO</t>
        </is>
      </c>
      <c r="N121" t="inlineStr">
        <is>
          <t>2.1.3.05.09.099.01</t>
        </is>
      </c>
      <c r="O121" t="inlineStr">
        <is>
          <t>Instituto Municipal para la Recreación y el Deporte</t>
        </is>
      </c>
      <c r="P121" t="inlineStr">
        <is>
          <t>1.2.1.0.00</t>
        </is>
      </c>
      <c r="Q121" t="inlineStr">
        <is>
          <t>INGRESOS CORRIENTES DE LIBRE DESTINACION</t>
        </is>
      </c>
      <c r="R121" t="n">
        <v>900000000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900000000</v>
      </c>
      <c r="Z121" t="n">
        <v>303254751</v>
      </c>
      <c r="AA121" t="n">
        <v>303254751</v>
      </c>
      <c r="AB121" t="n">
        <v>303254751</v>
      </c>
      <c r="AC121" t="n">
        <v>303254751</v>
      </c>
      <c r="AD121" t="n">
        <v>596745249</v>
      </c>
      <c r="AE121" t="n">
        <v>33.69</v>
      </c>
    </row>
    <row r="122">
      <c r="A122" t="inlineStr">
        <is>
          <t>1 - ADMINISTRACIÓN CENTRAL</t>
        </is>
      </c>
      <c r="B122" t="inlineStr">
        <is>
          <t>00 - SIN SECTOR</t>
        </is>
      </c>
      <c r="C122" t="inlineStr">
        <is>
          <t>00</t>
        </is>
      </c>
      <c r="D122" t="inlineStr">
        <is>
          <t>0000</t>
        </is>
      </c>
      <c r="E122" t="inlineStr">
        <is>
          <t>0000000</t>
        </is>
      </c>
      <c r="F122" t="inlineStr">
        <is>
          <t>SIN PRODUCTO</t>
        </is>
      </c>
      <c r="G122" t="inlineStr">
        <is>
          <t>00</t>
        </is>
      </c>
      <c r="H122" t="inlineStr">
        <is>
          <t>SIN CODIGO BPIN</t>
        </is>
      </c>
      <c r="I122" t="inlineStr">
        <is>
          <t>00</t>
        </is>
      </c>
      <c r="J122" t="inlineStr">
        <is>
          <t>SIN PRODUCTO DANE</t>
        </is>
      </c>
      <c r="K122" t="inlineStr">
        <is>
          <t>00</t>
        </is>
      </c>
      <c r="L122" t="inlineStr">
        <is>
          <t>SIN ATRIBUTO</t>
        </is>
      </c>
      <c r="N122" t="inlineStr">
        <is>
          <t>2.1.3.07</t>
        </is>
      </c>
      <c r="O122" t="inlineStr">
        <is>
          <t>Prestaciones para cubrir riesgos sociales</t>
        </is>
      </c>
      <c r="P122" t="inlineStr">
        <is>
          <t>00</t>
        </is>
      </c>
      <c r="Q122" t="inlineStr">
        <is>
          <t>RECURSO PROPIOS</t>
        </is>
      </c>
      <c r="R122" t="n">
        <v>228000000</v>
      </c>
      <c r="S122" t="n">
        <v>14273</v>
      </c>
      <c r="T122" t="n">
        <v>0</v>
      </c>
      <c r="U122" t="n">
        <v>21400000</v>
      </c>
      <c r="V122" t="n">
        <v>0</v>
      </c>
      <c r="W122" t="n">
        <v>0</v>
      </c>
      <c r="X122" t="n">
        <v>0</v>
      </c>
      <c r="Y122" t="n">
        <v>249414273</v>
      </c>
      <c r="Z122" t="n">
        <v>56586926</v>
      </c>
      <c r="AA122" t="n">
        <v>56586926</v>
      </c>
      <c r="AB122" t="n">
        <v>56586926</v>
      </c>
      <c r="AC122" t="n">
        <v>56566037</v>
      </c>
      <c r="AD122" t="n">
        <v>192827347</v>
      </c>
      <c r="AE122" t="n">
        <v>22.69</v>
      </c>
    </row>
    <row r="123">
      <c r="A123" t="inlineStr">
        <is>
          <t>1 - ADMINISTRACIÓN CENTRAL</t>
        </is>
      </c>
      <c r="B123" t="inlineStr">
        <is>
          <t>00 - SIN SECTOR</t>
        </is>
      </c>
      <c r="C123" t="inlineStr">
        <is>
          <t>00</t>
        </is>
      </c>
      <c r="D123" t="inlineStr">
        <is>
          <t>0000</t>
        </is>
      </c>
      <c r="E123" t="inlineStr">
        <is>
          <t>0000000</t>
        </is>
      </c>
      <c r="F123" t="inlineStr">
        <is>
          <t>SIN PRODUCTO</t>
        </is>
      </c>
      <c r="G123" t="inlineStr">
        <is>
          <t>00</t>
        </is>
      </c>
      <c r="H123" t="inlineStr">
        <is>
          <t>SIN CODIGO BPIN</t>
        </is>
      </c>
      <c r="I123" t="inlineStr">
        <is>
          <t>00</t>
        </is>
      </c>
      <c r="J123" t="inlineStr">
        <is>
          <t>SIN PRODUCTO DANE</t>
        </is>
      </c>
      <c r="K123" t="inlineStr">
        <is>
          <t>00</t>
        </is>
      </c>
      <c r="L123" t="inlineStr">
        <is>
          <t>SIN ATRIBUTO</t>
        </is>
      </c>
      <c r="N123" t="inlineStr">
        <is>
          <t>2.1.3.07.02</t>
        </is>
      </c>
      <c r="O123" t="inlineStr">
        <is>
          <t>Prestaciones sociales relacionadas con el empleo</t>
        </is>
      </c>
      <c r="P123" t="inlineStr">
        <is>
          <t>00</t>
        </is>
      </c>
      <c r="Q123" t="inlineStr">
        <is>
          <t>RECURSO PROPIOS</t>
        </is>
      </c>
      <c r="R123" t="n">
        <v>228000000</v>
      </c>
      <c r="S123" t="n">
        <v>14273</v>
      </c>
      <c r="T123" t="n">
        <v>0</v>
      </c>
      <c r="U123" t="n">
        <v>21400000</v>
      </c>
      <c r="V123" t="n">
        <v>0</v>
      </c>
      <c r="W123" t="n">
        <v>0</v>
      </c>
      <c r="X123" t="n">
        <v>0</v>
      </c>
      <c r="Y123" t="n">
        <v>249414273</v>
      </c>
      <c r="Z123" t="n">
        <v>56586926</v>
      </c>
      <c r="AA123" t="n">
        <v>56586926</v>
      </c>
      <c r="AB123" t="n">
        <v>56586926</v>
      </c>
      <c r="AC123" t="n">
        <v>56566037</v>
      </c>
      <c r="AD123" t="n">
        <v>192827347</v>
      </c>
      <c r="AE123" t="n">
        <v>22.69</v>
      </c>
    </row>
    <row r="124">
      <c r="A124" t="inlineStr">
        <is>
          <t>1 - ADMINISTRACIÓN CENTRAL</t>
        </is>
      </c>
      <c r="B124" t="inlineStr">
        <is>
          <t>00 - SIN SECTOR</t>
        </is>
      </c>
      <c r="C124" t="inlineStr">
        <is>
          <t>00</t>
        </is>
      </c>
      <c r="D124" t="inlineStr">
        <is>
          <t>0000</t>
        </is>
      </c>
      <c r="E124" t="inlineStr">
        <is>
          <t>0000000</t>
        </is>
      </c>
      <c r="F124" t="inlineStr">
        <is>
          <t>SIN PRODUCTO</t>
        </is>
      </c>
      <c r="G124" t="inlineStr">
        <is>
          <t>00</t>
        </is>
      </c>
      <c r="H124" t="inlineStr">
        <is>
          <t>SIN CODIGO BPIN</t>
        </is>
      </c>
      <c r="I124" t="inlineStr">
        <is>
          <t>00</t>
        </is>
      </c>
      <c r="J124" t="inlineStr">
        <is>
          <t>SIN PRODUCTO DANE</t>
        </is>
      </c>
      <c r="K124" t="inlineStr">
        <is>
          <t>00</t>
        </is>
      </c>
      <c r="L124" t="inlineStr">
        <is>
          <t>SIN ATRIBUTO</t>
        </is>
      </c>
      <c r="N124" t="inlineStr">
        <is>
          <t>2.1.3.07.02.001</t>
        </is>
      </c>
      <c r="O124" t="inlineStr">
        <is>
          <t>Mesadas pensionales de pensiones</t>
        </is>
      </c>
      <c r="P124" t="inlineStr">
        <is>
          <t>00</t>
        </is>
      </c>
      <c r="Q124" t="inlineStr">
        <is>
          <t>RECURSO PROPIOS</t>
        </is>
      </c>
      <c r="R124" t="n">
        <v>82000000</v>
      </c>
      <c r="S124" t="n">
        <v>14273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82014273</v>
      </c>
      <c r="Z124" t="n">
        <v>25958199</v>
      </c>
      <c r="AA124" t="n">
        <v>25958199</v>
      </c>
      <c r="AB124" t="n">
        <v>25958199</v>
      </c>
      <c r="AC124" t="n">
        <v>25958199</v>
      </c>
      <c r="AD124" t="n">
        <v>56056074</v>
      </c>
      <c r="AE124" t="n">
        <v>31.65</v>
      </c>
    </row>
    <row r="125">
      <c r="A125" t="inlineStr">
        <is>
          <t>1 - ADMINISTRACIÓN CENTRAL</t>
        </is>
      </c>
      <c r="B125" t="inlineStr">
        <is>
          <t>00 - SIN SECTOR</t>
        </is>
      </c>
      <c r="C125" t="inlineStr">
        <is>
          <t>00</t>
        </is>
      </c>
      <c r="D125" t="inlineStr">
        <is>
          <t>0000</t>
        </is>
      </c>
      <c r="E125" t="inlineStr">
        <is>
          <t>0000000</t>
        </is>
      </c>
      <c r="F125" t="inlineStr">
        <is>
          <t>SIN PRODUCTO</t>
        </is>
      </c>
      <c r="G125" t="inlineStr">
        <is>
          <t>00</t>
        </is>
      </c>
      <c r="H125" t="inlineStr">
        <is>
          <t>SIN CODIGO BPIN</t>
        </is>
      </c>
      <c r="I125" t="inlineStr">
        <is>
          <t>00</t>
        </is>
      </c>
      <c r="J125" t="inlineStr">
        <is>
          <t>SIN PRODUCTO DANE</t>
        </is>
      </c>
      <c r="K125" t="inlineStr">
        <is>
          <t>00</t>
        </is>
      </c>
      <c r="L125" t="inlineStr">
        <is>
          <t>SIN ATRIBUTO</t>
        </is>
      </c>
      <c r="N125" t="inlineStr">
        <is>
          <t>2.1.3.07.02.001.02</t>
        </is>
      </c>
      <c r="O125" t="inlineStr">
        <is>
          <t>Mesadas pensionales a cargo de la entidad de pensiones</t>
        </is>
      </c>
      <c r="P125" t="inlineStr">
        <is>
          <t>00</t>
        </is>
      </c>
      <c r="Q125" t="inlineStr">
        <is>
          <t>RECURSO PROPIOS</t>
        </is>
      </c>
      <c r="R125" t="n">
        <v>82000000</v>
      </c>
      <c r="S125" t="n">
        <v>14273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82014273</v>
      </c>
      <c r="Z125" t="n">
        <v>25958199</v>
      </c>
      <c r="AA125" t="n">
        <v>25958199</v>
      </c>
      <c r="AB125" t="n">
        <v>25958199</v>
      </c>
      <c r="AC125" t="n">
        <v>25958199</v>
      </c>
      <c r="AD125" t="n">
        <v>56056074</v>
      </c>
      <c r="AE125" t="n">
        <v>31.65</v>
      </c>
    </row>
    <row r="126">
      <c r="A126" t="inlineStr">
        <is>
          <t>1 - ADMINISTRACIÓN CENTRAL</t>
        </is>
      </c>
      <c r="B126" t="inlineStr">
        <is>
          <t>00 - SIN SECTOR</t>
        </is>
      </c>
      <c r="C126" t="inlineStr">
        <is>
          <t>00</t>
        </is>
      </c>
      <c r="D126" t="inlineStr">
        <is>
          <t>0000</t>
        </is>
      </c>
      <c r="E126" t="inlineStr">
        <is>
          <t>0000000</t>
        </is>
      </c>
      <c r="F126" t="inlineStr">
        <is>
          <t>SIN PRODUCTO</t>
        </is>
      </c>
      <c r="G126" t="inlineStr">
        <is>
          <t>00</t>
        </is>
      </c>
      <c r="H126" t="inlineStr">
        <is>
          <t>SIN CODIGO BPIN</t>
        </is>
      </c>
      <c r="I126" t="inlineStr">
        <is>
          <t>00</t>
        </is>
      </c>
      <c r="J126" t="inlineStr">
        <is>
          <t>SIN PRODUCTO DANE</t>
        </is>
      </c>
      <c r="K126" t="inlineStr">
        <is>
          <t>00</t>
        </is>
      </c>
      <c r="L126" t="inlineStr">
        <is>
          <t>SIN ATRIBUTO</t>
        </is>
      </c>
      <c r="N126" t="inlineStr">
        <is>
          <t>2.1.3.07.02.001.02.01</t>
        </is>
      </c>
      <c r="O126" t="inlineStr">
        <is>
          <t>Mesadas pensionales a cargo de la entidad (de pensiones) -ICLD</t>
        </is>
      </c>
      <c r="P126" t="inlineStr">
        <is>
          <t>1.2.1.0.00</t>
        </is>
      </c>
      <c r="Q126" t="inlineStr">
        <is>
          <t>INGRESOS CORRIENTES DE LIBRE DESTINACION</t>
        </is>
      </c>
      <c r="R126" t="n">
        <v>27541132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27541132</v>
      </c>
      <c r="Z126" t="n">
        <v>0</v>
      </c>
      <c r="AA126" t="n">
        <v>0</v>
      </c>
      <c r="AB126" t="n">
        <v>0</v>
      </c>
      <c r="AC126" t="n">
        <v>0</v>
      </c>
      <c r="AD126" t="n">
        <v>27541132</v>
      </c>
      <c r="AE126" t="n">
        <v>0</v>
      </c>
    </row>
    <row r="127">
      <c r="A127" t="inlineStr">
        <is>
          <t>1 - ADMINISTRACIÓN CENTRAL</t>
        </is>
      </c>
      <c r="B127" t="inlineStr">
        <is>
          <t>00 - SIN SECTOR</t>
        </is>
      </c>
      <c r="C127" t="inlineStr">
        <is>
          <t>00</t>
        </is>
      </c>
      <c r="D127" t="inlineStr">
        <is>
          <t>0000</t>
        </is>
      </c>
      <c r="E127" t="inlineStr">
        <is>
          <t>0000000</t>
        </is>
      </c>
      <c r="F127" t="inlineStr">
        <is>
          <t>SIN PRODUCTO</t>
        </is>
      </c>
      <c r="G127" t="inlineStr">
        <is>
          <t>00</t>
        </is>
      </c>
      <c r="H127" t="inlineStr">
        <is>
          <t>SIN CODIGO BPIN</t>
        </is>
      </c>
      <c r="I127" t="inlineStr">
        <is>
          <t>00</t>
        </is>
      </c>
      <c r="J127" t="inlineStr">
        <is>
          <t>SIN PRODUCTO DANE</t>
        </is>
      </c>
      <c r="K127" t="inlineStr">
        <is>
          <t>00</t>
        </is>
      </c>
      <c r="L127" t="inlineStr">
        <is>
          <t>SIN ATRIBUTO</t>
        </is>
      </c>
      <c r="N127" t="inlineStr">
        <is>
          <t>2.1.3.07.02.001.02.02</t>
        </is>
      </c>
      <c r="O127" t="inlineStr">
        <is>
          <t>Mesadas pensionales a cargo de la entidad (de pensiones) - RETIROS FONPET</t>
        </is>
      </c>
      <c r="P127" t="inlineStr">
        <is>
          <t>1.3.3.11.10.04</t>
        </is>
      </c>
      <c r="Q127" t="inlineStr">
        <is>
          <t>R.B. RETIROS FONPET 2024 C.S.F.</t>
        </is>
      </c>
      <c r="R127" t="n">
        <v>42458868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42458868</v>
      </c>
      <c r="Z127" t="n">
        <v>25958199</v>
      </c>
      <c r="AA127" t="n">
        <v>25958199</v>
      </c>
      <c r="AB127" t="n">
        <v>25958199</v>
      </c>
      <c r="AC127" t="n">
        <v>25958199</v>
      </c>
      <c r="AD127" t="n">
        <v>16500669</v>
      </c>
      <c r="AE127" t="n">
        <v>61.14</v>
      </c>
    </row>
    <row r="128">
      <c r="A128" t="inlineStr">
        <is>
          <t>1 - ADMINISTRACIÓN CENTRAL</t>
        </is>
      </c>
      <c r="B128" t="inlineStr">
        <is>
          <t>00 - SIN SECTOR</t>
        </is>
      </c>
      <c r="C128" t="inlineStr">
        <is>
          <t>00</t>
        </is>
      </c>
      <c r="D128" t="inlineStr">
        <is>
          <t>0000</t>
        </is>
      </c>
      <c r="E128" t="inlineStr">
        <is>
          <t>0000000</t>
        </is>
      </c>
      <c r="F128" t="inlineStr">
        <is>
          <t>SIN PRODUCTO</t>
        </is>
      </c>
      <c r="G128" t="inlineStr">
        <is>
          <t>00</t>
        </is>
      </c>
      <c r="H128" t="inlineStr">
        <is>
          <t>SIN CODIGO BPIN</t>
        </is>
      </c>
      <c r="I128" t="inlineStr">
        <is>
          <t>00</t>
        </is>
      </c>
      <c r="J128" t="inlineStr">
        <is>
          <t>SIN PRODUCTO DANE</t>
        </is>
      </c>
      <c r="K128" t="inlineStr">
        <is>
          <t>00</t>
        </is>
      </c>
      <c r="L128" t="inlineStr">
        <is>
          <t>SIN ATRIBUTO</t>
        </is>
      </c>
      <c r="N128" t="inlineStr">
        <is>
          <t>2.1.3.07.02.001.02.03</t>
        </is>
      </c>
      <c r="O128" t="inlineStr">
        <is>
          <t>Mesadas pensionales a cargo de la entidad (de pensiones) - RF  Devolucion FONPET 2025 Mesadas pensionales CSF</t>
        </is>
      </c>
      <c r="P128" t="inlineStr">
        <is>
          <t>1.3.2.3.11.21</t>
        </is>
      </c>
      <c r="Q128" t="inlineStr">
        <is>
          <t>OTROS RENDIMIENTOS FINANCIEROS - DESAHORRO FONPET MESADAS PENSIONALES 2023</t>
        </is>
      </c>
      <c r="R128" t="n">
        <v>1000000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1000000</v>
      </c>
      <c r="Z128" t="n">
        <v>0</v>
      </c>
      <c r="AA128" t="n">
        <v>0</v>
      </c>
      <c r="AB128" t="n">
        <v>0</v>
      </c>
      <c r="AC128" t="n">
        <v>0</v>
      </c>
      <c r="AD128" t="n">
        <v>1000000</v>
      </c>
      <c r="AE128" t="n">
        <v>0</v>
      </c>
    </row>
    <row r="129">
      <c r="A129" t="inlineStr">
        <is>
          <t>1 - ADMINISTRACIÓN CENTRAL</t>
        </is>
      </c>
      <c r="B129" t="inlineStr">
        <is>
          <t>00 - SIN SECTOR</t>
        </is>
      </c>
      <c r="C129" t="inlineStr">
        <is>
          <t>00</t>
        </is>
      </c>
      <c r="D129" t="inlineStr">
        <is>
          <t>0000</t>
        </is>
      </c>
      <c r="E129" t="inlineStr">
        <is>
          <t>0000000</t>
        </is>
      </c>
      <c r="F129" t="inlineStr">
        <is>
          <t>SIN PRODUCTO</t>
        </is>
      </c>
      <c r="G129" t="inlineStr">
        <is>
          <t>00</t>
        </is>
      </c>
      <c r="H129" t="inlineStr">
        <is>
          <t>SIN CODIGO BPIN</t>
        </is>
      </c>
      <c r="I129" t="inlineStr">
        <is>
          <t>00</t>
        </is>
      </c>
      <c r="J129" t="inlineStr">
        <is>
          <t>SIN PRODUCTO DANE</t>
        </is>
      </c>
      <c r="K129" t="inlineStr">
        <is>
          <t>00</t>
        </is>
      </c>
      <c r="L129" t="inlineStr">
        <is>
          <t>SIN ATRIBUTO</t>
        </is>
      </c>
      <c r="N129" t="inlineStr">
        <is>
          <t>2.1.3.07.02.001.02.04</t>
        </is>
      </c>
      <c r="O129" t="inlineStr">
        <is>
          <t>Mesadas pensionales a cargo de la entidad (de pensiones) - RB Saldos de Fonpet SSF 2025</t>
        </is>
      </c>
      <c r="P129" t="inlineStr">
        <is>
          <t>1.3.3.11.10.02</t>
        </is>
      </c>
      <c r="Q129" t="inlineStr">
        <is>
          <t>R.B. RETIROS FONPET S.S.F. SALDOS 2024 CUOTAS PARTES</t>
        </is>
      </c>
      <c r="R129" t="n">
        <v>1000000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1000000</v>
      </c>
      <c r="Z129" t="n">
        <v>0</v>
      </c>
      <c r="AA129" t="n">
        <v>0</v>
      </c>
      <c r="AB129" t="n">
        <v>0</v>
      </c>
      <c r="AC129" t="n">
        <v>0</v>
      </c>
      <c r="AD129" t="n">
        <v>1000000</v>
      </c>
      <c r="AE129" t="n">
        <v>0</v>
      </c>
    </row>
    <row r="130">
      <c r="A130" t="inlineStr">
        <is>
          <t>1 - ADMINISTRACIÓN CENTRAL</t>
        </is>
      </c>
      <c r="B130" t="inlineStr">
        <is>
          <t>00 - SIN SECTOR</t>
        </is>
      </c>
      <c r="C130" t="inlineStr">
        <is>
          <t>00</t>
        </is>
      </c>
      <c r="D130" t="inlineStr">
        <is>
          <t>0000</t>
        </is>
      </c>
      <c r="E130" t="inlineStr">
        <is>
          <t>0000000</t>
        </is>
      </c>
      <c r="F130" t="inlineStr">
        <is>
          <t>SIN PRODUCTO</t>
        </is>
      </c>
      <c r="G130" t="inlineStr">
        <is>
          <t>00</t>
        </is>
      </c>
      <c r="H130" t="inlineStr">
        <is>
          <t>SIN CODIGO BPIN</t>
        </is>
      </c>
      <c r="I130" t="inlineStr">
        <is>
          <t>00</t>
        </is>
      </c>
      <c r="J130" t="inlineStr">
        <is>
          <t>SIN PRODUCTO DANE</t>
        </is>
      </c>
      <c r="K130" t="inlineStr">
        <is>
          <t>00</t>
        </is>
      </c>
      <c r="L130" t="inlineStr">
        <is>
          <t>SIN ATRIBUTO</t>
        </is>
      </c>
      <c r="N130" t="inlineStr">
        <is>
          <t>2.1.3.07.02.001.02.05</t>
        </is>
      </c>
      <c r="O130" t="inlineStr">
        <is>
          <t>Mesadas pensionales a cargo de la entidad (de pensiones) - Para el pago de bonos y cuotas partes de bonos pensionales A y B SSF</t>
        </is>
      </c>
      <c r="P130" t="inlineStr">
        <is>
          <t>1.3.1.1.10</t>
        </is>
      </c>
      <c r="Q130" t="inlineStr">
        <is>
          <t>RETIROS FONPET</t>
        </is>
      </c>
      <c r="R130" t="n">
        <v>10000000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10000000</v>
      </c>
      <c r="Z130" t="n">
        <v>0</v>
      </c>
      <c r="AA130" t="n">
        <v>0</v>
      </c>
      <c r="AB130" t="n">
        <v>0</v>
      </c>
      <c r="AC130" t="n">
        <v>0</v>
      </c>
      <c r="AD130" t="n">
        <v>10000000</v>
      </c>
      <c r="AE130" t="n">
        <v>0</v>
      </c>
    </row>
    <row r="131">
      <c r="A131" t="inlineStr">
        <is>
          <t>1 - ADMINISTRACIÓN CENTRAL</t>
        </is>
      </c>
      <c r="B131" t="inlineStr">
        <is>
          <t>00 - SIN SECTOR</t>
        </is>
      </c>
      <c r="C131" t="inlineStr">
        <is>
          <t>00</t>
        </is>
      </c>
      <c r="D131" t="inlineStr">
        <is>
          <t>0000</t>
        </is>
      </c>
      <c r="E131" t="inlineStr">
        <is>
          <t>0000000</t>
        </is>
      </c>
      <c r="F131" t="inlineStr">
        <is>
          <t>SIN PRODUCTO</t>
        </is>
      </c>
      <c r="G131" t="inlineStr">
        <is>
          <t>00</t>
        </is>
      </c>
      <c r="H131" t="inlineStr">
        <is>
          <t>SIN CODIGO BPIN</t>
        </is>
      </c>
      <c r="I131" t="inlineStr">
        <is>
          <t>00</t>
        </is>
      </c>
      <c r="J131" t="inlineStr">
        <is>
          <t>SIN PRODUCTO DANE</t>
        </is>
      </c>
      <c r="K131" t="inlineStr">
        <is>
          <t>00</t>
        </is>
      </c>
      <c r="L131" t="inlineStr">
        <is>
          <t>SIN ATRIBUTO</t>
        </is>
      </c>
      <c r="N131" t="inlineStr">
        <is>
          <t>2.1.3.07.02.001.02.06</t>
        </is>
      </c>
      <c r="O131" t="inlineStr">
        <is>
          <t>Mesadas pensionales a cargo de la entidad (de pensiones) - R.F. 2026 nmina pensionados</t>
        </is>
      </c>
      <c r="P131" t="inlineStr">
        <is>
          <t>1.3.2.3.11.39</t>
        </is>
      </c>
      <c r="Q131" t="inlineStr">
        <is>
          <t>OTROS RENDIMIENTOS FINANCIEROS NOMINA MESADAS PENSIONALES</t>
        </is>
      </c>
      <c r="R131" t="n">
        <v>0</v>
      </c>
      <c r="S131" t="n">
        <v>14273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14273</v>
      </c>
      <c r="Z131" t="n">
        <v>0</v>
      </c>
      <c r="AA131" t="n">
        <v>0</v>
      </c>
      <c r="AB131" t="n">
        <v>0</v>
      </c>
      <c r="AC131" t="n">
        <v>0</v>
      </c>
      <c r="AD131" t="n">
        <v>14273</v>
      </c>
      <c r="AE131" t="n">
        <v>0</v>
      </c>
    </row>
    <row r="132">
      <c r="A132" t="inlineStr">
        <is>
          <t>1 - ADMINISTRACIÓN CENTRAL</t>
        </is>
      </c>
      <c r="B132" t="inlineStr">
        <is>
          <t>00 - SIN SECTOR</t>
        </is>
      </c>
      <c r="C132" t="inlineStr">
        <is>
          <t>00</t>
        </is>
      </c>
      <c r="D132" t="inlineStr">
        <is>
          <t>0000</t>
        </is>
      </c>
      <c r="E132" t="inlineStr">
        <is>
          <t>0000000</t>
        </is>
      </c>
      <c r="F132" t="inlineStr">
        <is>
          <t>SIN PRODUCTO</t>
        </is>
      </c>
      <c r="G132" t="inlineStr">
        <is>
          <t>00</t>
        </is>
      </c>
      <c r="H132" t="inlineStr">
        <is>
          <t>SIN CODIGO BPIN</t>
        </is>
      </c>
      <c r="I132" t="inlineStr">
        <is>
          <t>00</t>
        </is>
      </c>
      <c r="J132" t="inlineStr">
        <is>
          <t>SIN PRODUCTO DANE</t>
        </is>
      </c>
      <c r="K132" t="inlineStr">
        <is>
          <t>00</t>
        </is>
      </c>
      <c r="L132" t="inlineStr">
        <is>
          <t>SIN ATRIBUTO</t>
        </is>
      </c>
      <c r="N132" t="inlineStr">
        <is>
          <t>2.1.3.07.02.002</t>
        </is>
      </c>
      <c r="O132" t="inlineStr">
        <is>
          <t>Cuotas partes pensionales de pensiones</t>
        </is>
      </c>
      <c r="P132" t="inlineStr">
        <is>
          <t>00</t>
        </is>
      </c>
      <c r="Q132" t="inlineStr">
        <is>
          <t>RECURSO PROPIOS</t>
        </is>
      </c>
      <c r="R132" t="n">
        <v>30000000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30000000</v>
      </c>
      <c r="Z132" t="n">
        <v>6033476</v>
      </c>
      <c r="AA132" t="n">
        <v>6033476</v>
      </c>
      <c r="AB132" t="n">
        <v>6033476</v>
      </c>
      <c r="AC132" t="n">
        <v>6033476</v>
      </c>
      <c r="AD132" t="n">
        <v>23966524</v>
      </c>
      <c r="AE132" t="n">
        <v>20.11</v>
      </c>
    </row>
    <row r="133">
      <c r="A133" t="inlineStr">
        <is>
          <t>1 - ADMINISTRACIÓN CENTRAL</t>
        </is>
      </c>
      <c r="B133" t="inlineStr">
        <is>
          <t>00 - SIN SECTOR</t>
        </is>
      </c>
      <c r="C133" t="inlineStr">
        <is>
          <t>00</t>
        </is>
      </c>
      <c r="D133" t="inlineStr">
        <is>
          <t>0000</t>
        </is>
      </c>
      <c r="E133" t="inlineStr">
        <is>
          <t>0000000</t>
        </is>
      </c>
      <c r="F133" t="inlineStr">
        <is>
          <t>SIN PRODUCTO</t>
        </is>
      </c>
      <c r="G133" t="inlineStr">
        <is>
          <t>00</t>
        </is>
      </c>
      <c r="H133" t="inlineStr">
        <is>
          <t>SIN CODIGO BPIN</t>
        </is>
      </c>
      <c r="I133" t="inlineStr">
        <is>
          <t>00</t>
        </is>
      </c>
      <c r="J133" t="inlineStr">
        <is>
          <t>SIN PRODUCTO DANE</t>
        </is>
      </c>
      <c r="K133" t="inlineStr">
        <is>
          <t>00</t>
        </is>
      </c>
      <c r="L133" t="inlineStr">
        <is>
          <t>SIN ATRIBUTO</t>
        </is>
      </c>
      <c r="N133" t="inlineStr">
        <is>
          <t>2.1.3.07.02.002.02</t>
        </is>
      </c>
      <c r="O133" t="inlineStr">
        <is>
          <t>Cuotas partes pensionales a cargo de la entidad de pensiones</t>
        </is>
      </c>
      <c r="P133" t="inlineStr">
        <is>
          <t>1.2.1.0.00</t>
        </is>
      </c>
      <c r="Q133" t="inlineStr">
        <is>
          <t>INGRESOS CORRIENTES DE LIBRE DESTINACION</t>
        </is>
      </c>
      <c r="R133" t="n">
        <v>30000000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30000000</v>
      </c>
      <c r="Z133" t="n">
        <v>6033476</v>
      </c>
      <c r="AA133" t="n">
        <v>6033476</v>
      </c>
      <c r="AB133" t="n">
        <v>6033476</v>
      </c>
      <c r="AC133" t="n">
        <v>6033476</v>
      </c>
      <c r="AD133" t="n">
        <v>23966524</v>
      </c>
      <c r="AE133" t="n">
        <v>20.11</v>
      </c>
    </row>
    <row r="134">
      <c r="A134" t="inlineStr">
        <is>
          <t>1 - ADMINISTRACIÓN CENTRAL</t>
        </is>
      </c>
      <c r="B134" t="inlineStr">
        <is>
          <t>00 - SIN SECTOR</t>
        </is>
      </c>
      <c r="C134" t="inlineStr">
        <is>
          <t>00</t>
        </is>
      </c>
      <c r="D134" t="inlineStr">
        <is>
          <t>0000</t>
        </is>
      </c>
      <c r="E134" t="inlineStr">
        <is>
          <t>0000000</t>
        </is>
      </c>
      <c r="F134" t="inlineStr">
        <is>
          <t>SIN PRODUCTO</t>
        </is>
      </c>
      <c r="G134" t="inlineStr">
        <is>
          <t>00</t>
        </is>
      </c>
      <c r="H134" t="inlineStr">
        <is>
          <t>SIN CODIGO BPIN</t>
        </is>
      </c>
      <c r="I134" t="inlineStr">
        <is>
          <t>00</t>
        </is>
      </c>
      <c r="J134" t="inlineStr">
        <is>
          <t>SIN PRODUCTO DANE</t>
        </is>
      </c>
      <c r="K134" t="inlineStr">
        <is>
          <t>00</t>
        </is>
      </c>
      <c r="L134" t="inlineStr">
        <is>
          <t>SIN ATRIBUTO</t>
        </is>
      </c>
      <c r="N134" t="inlineStr">
        <is>
          <t>2.1.3.07.02.005</t>
        </is>
      </c>
      <c r="O134" t="inlineStr">
        <is>
          <t>Fondo nacional de prestaciones sociales del magisterio de pensiones</t>
        </is>
      </c>
      <c r="P134" t="inlineStr">
        <is>
          <t>00</t>
        </is>
      </c>
      <c r="Q134" t="inlineStr">
        <is>
          <t>RECURSO PROPIOS</t>
        </is>
      </c>
      <c r="R134" t="n">
        <v>1000000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1000000</v>
      </c>
      <c r="Z134" t="n">
        <v>0</v>
      </c>
      <c r="AA134" t="n">
        <v>0</v>
      </c>
      <c r="AB134" t="n">
        <v>0</v>
      </c>
      <c r="AC134" t="n">
        <v>0</v>
      </c>
      <c r="AD134" t="n">
        <v>1000000</v>
      </c>
      <c r="AE134" t="n">
        <v>0</v>
      </c>
    </row>
    <row r="135">
      <c r="A135" t="inlineStr">
        <is>
          <t>1 - ADMINISTRACIÓN CENTRAL</t>
        </is>
      </c>
      <c r="B135" t="inlineStr">
        <is>
          <t>00 - SIN SECTOR</t>
        </is>
      </c>
      <c r="C135" t="inlineStr">
        <is>
          <t>00</t>
        </is>
      </c>
      <c r="D135" t="inlineStr">
        <is>
          <t>0000</t>
        </is>
      </c>
      <c r="E135" t="inlineStr">
        <is>
          <t>0000000</t>
        </is>
      </c>
      <c r="F135" t="inlineStr">
        <is>
          <t>SIN PRODUCTO</t>
        </is>
      </c>
      <c r="G135" t="inlineStr">
        <is>
          <t>00</t>
        </is>
      </c>
      <c r="H135" t="inlineStr">
        <is>
          <t>SIN CODIGO BPIN</t>
        </is>
      </c>
      <c r="I135" t="inlineStr">
        <is>
          <t>00</t>
        </is>
      </c>
      <c r="J135" t="inlineStr">
        <is>
          <t>SIN PRODUCTO DANE</t>
        </is>
      </c>
      <c r="K135" t="inlineStr">
        <is>
          <t>00</t>
        </is>
      </c>
      <c r="L135" t="inlineStr">
        <is>
          <t>SIN ATRIBUTO</t>
        </is>
      </c>
      <c r="N135" t="inlineStr">
        <is>
          <t>2.1.3.07.02.005.01</t>
        </is>
      </c>
      <c r="O135" t="inlineStr">
        <is>
          <t>Fondo Nacional de Prestaciones Sociales del Magisterio (de pensiones) S.S.F.</t>
        </is>
      </c>
      <c r="P135" t="inlineStr">
        <is>
          <t>1.3.3.6.02</t>
        </is>
      </c>
      <c r="Q135" t="inlineStr">
        <is>
          <t>R.B. SGP EDUCACIÓN - CANCELACION DE PRESTACIONES SOCIALES DEL MAGISTERIO</t>
        </is>
      </c>
      <c r="R135" t="n">
        <v>1000000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1000000</v>
      </c>
      <c r="Z135" t="n">
        <v>0</v>
      </c>
      <c r="AA135" t="n">
        <v>0</v>
      </c>
      <c r="AB135" t="n">
        <v>0</v>
      </c>
      <c r="AC135" t="n">
        <v>0</v>
      </c>
      <c r="AD135" t="n">
        <v>1000000</v>
      </c>
      <c r="AE135" t="n">
        <v>0</v>
      </c>
    </row>
    <row r="136">
      <c r="A136" t="inlineStr">
        <is>
          <t>1 - ADMINISTRACIÓN CENTRAL</t>
        </is>
      </c>
      <c r="B136" t="inlineStr">
        <is>
          <t>00 - SIN SECTOR</t>
        </is>
      </c>
      <c r="C136" t="inlineStr">
        <is>
          <t>00</t>
        </is>
      </c>
      <c r="D136" t="inlineStr">
        <is>
          <t>0000</t>
        </is>
      </c>
      <c r="E136" t="inlineStr">
        <is>
          <t>0000000</t>
        </is>
      </c>
      <c r="F136" t="inlineStr">
        <is>
          <t>SIN PRODUCTO</t>
        </is>
      </c>
      <c r="G136" t="inlineStr">
        <is>
          <t>00</t>
        </is>
      </c>
      <c r="H136" t="inlineStr">
        <is>
          <t>SIN CODIGO BPIN</t>
        </is>
      </c>
      <c r="I136" t="inlineStr">
        <is>
          <t>00</t>
        </is>
      </c>
      <c r="J136" t="inlineStr">
        <is>
          <t>SIN PRODUCTO DANE</t>
        </is>
      </c>
      <c r="K136" t="inlineStr">
        <is>
          <t>00</t>
        </is>
      </c>
      <c r="L136" t="inlineStr">
        <is>
          <t>SIN ATRIBUTO</t>
        </is>
      </c>
      <c r="N136" t="inlineStr">
        <is>
          <t>2.1.3.07.02.010</t>
        </is>
      </c>
      <c r="O136" t="inlineStr">
        <is>
          <t>Incapacidades y licencias de maternidad y paternidad no de pensiones</t>
        </is>
      </c>
      <c r="P136" t="inlineStr">
        <is>
          <t>00</t>
        </is>
      </c>
      <c r="Q136" t="inlineStr">
        <is>
          <t>RECURSO PROPIOS</t>
        </is>
      </c>
      <c r="R136" t="n">
        <v>35000000</v>
      </c>
      <c r="S136" t="n">
        <v>0</v>
      </c>
      <c r="T136" t="n">
        <v>0</v>
      </c>
      <c r="U136" t="n">
        <v>21400000</v>
      </c>
      <c r="V136" t="n">
        <v>0</v>
      </c>
      <c r="W136" t="n">
        <v>0</v>
      </c>
      <c r="X136" t="n">
        <v>0</v>
      </c>
      <c r="Y136" t="n">
        <v>56400000</v>
      </c>
      <c r="Z136" t="n">
        <v>24595251</v>
      </c>
      <c r="AA136" t="n">
        <v>24595251</v>
      </c>
      <c r="AB136" t="n">
        <v>24595251</v>
      </c>
      <c r="AC136" t="n">
        <v>24574362</v>
      </c>
      <c r="AD136" t="n">
        <v>31804749</v>
      </c>
      <c r="AE136" t="n">
        <v>43.61</v>
      </c>
    </row>
    <row r="137">
      <c r="A137" t="inlineStr">
        <is>
          <t>1 - ADMINISTRACIÓN CENTRAL</t>
        </is>
      </c>
      <c r="B137" t="inlineStr">
        <is>
          <t>00 - SIN SECTOR</t>
        </is>
      </c>
      <c r="C137" t="inlineStr">
        <is>
          <t>00</t>
        </is>
      </c>
      <c r="D137" t="inlineStr">
        <is>
          <t>0000</t>
        </is>
      </c>
      <c r="E137" t="inlineStr">
        <is>
          <t>0000000</t>
        </is>
      </c>
      <c r="F137" t="inlineStr">
        <is>
          <t>SIN PRODUCTO</t>
        </is>
      </c>
      <c r="G137" t="inlineStr">
        <is>
          <t>00</t>
        </is>
      </c>
      <c r="H137" t="inlineStr">
        <is>
          <t>SIN CODIGO BPIN</t>
        </is>
      </c>
      <c r="I137" t="inlineStr">
        <is>
          <t>00</t>
        </is>
      </c>
      <c r="J137" t="inlineStr">
        <is>
          <t>SIN PRODUCTO DANE</t>
        </is>
      </c>
      <c r="K137" t="inlineStr">
        <is>
          <t>00</t>
        </is>
      </c>
      <c r="L137" t="inlineStr">
        <is>
          <t>SIN ATRIBUTO</t>
        </is>
      </c>
      <c r="N137" t="inlineStr">
        <is>
          <t>2.1.3.07.02.010.01</t>
        </is>
      </c>
      <c r="O137" t="inlineStr">
        <is>
          <t>Incapacidades no de pensiones</t>
        </is>
      </c>
      <c r="P137" t="inlineStr">
        <is>
          <t>00</t>
        </is>
      </c>
      <c r="Q137" t="inlineStr">
        <is>
          <t>RECURSO PROPIOS</t>
        </is>
      </c>
      <c r="R137" t="n">
        <v>35000000</v>
      </c>
      <c r="S137" t="n">
        <v>0</v>
      </c>
      <c r="T137" t="n">
        <v>0</v>
      </c>
      <c r="U137" t="n">
        <v>21400000</v>
      </c>
      <c r="V137" t="n">
        <v>0</v>
      </c>
      <c r="W137" t="n">
        <v>0</v>
      </c>
      <c r="X137" t="n">
        <v>0</v>
      </c>
      <c r="Y137" t="n">
        <v>56400000</v>
      </c>
      <c r="Z137" t="n">
        <v>24595251</v>
      </c>
      <c r="AA137" t="n">
        <v>24595251</v>
      </c>
      <c r="AB137" t="n">
        <v>24595251</v>
      </c>
      <c r="AC137" t="n">
        <v>24574362</v>
      </c>
      <c r="AD137" t="n">
        <v>31804749</v>
      </c>
      <c r="AE137" t="n">
        <v>43.61</v>
      </c>
    </row>
    <row r="138">
      <c r="A138" t="inlineStr">
        <is>
          <t>1 - ADMINISTRACIÓN CENTRAL</t>
        </is>
      </c>
      <c r="B138" t="inlineStr">
        <is>
          <t>00 - SIN SECTOR</t>
        </is>
      </c>
      <c r="C138" t="inlineStr">
        <is>
          <t>00</t>
        </is>
      </c>
      <c r="D138" t="inlineStr">
        <is>
          <t>0000</t>
        </is>
      </c>
      <c r="E138" t="inlineStr">
        <is>
          <t>0000000</t>
        </is>
      </c>
      <c r="F138" t="inlineStr">
        <is>
          <t>SIN PRODUCTO</t>
        </is>
      </c>
      <c r="G138" t="inlineStr">
        <is>
          <t>00</t>
        </is>
      </c>
      <c r="H138" t="inlineStr">
        <is>
          <t>SIN CODIGO BPIN</t>
        </is>
      </c>
      <c r="I138" t="inlineStr">
        <is>
          <t>00</t>
        </is>
      </c>
      <c r="J138" t="inlineStr">
        <is>
          <t>SIN PRODUCTO DANE</t>
        </is>
      </c>
      <c r="K138" t="inlineStr">
        <is>
          <t>00</t>
        </is>
      </c>
      <c r="L138" t="inlineStr">
        <is>
          <t>SIN ATRIBUTO</t>
        </is>
      </c>
      <c r="N138" t="inlineStr">
        <is>
          <t>2.1.3.07.02.010.01.01</t>
        </is>
      </c>
      <c r="O138" t="inlineStr">
        <is>
          <t>Incapacidades</t>
        </is>
      </c>
      <c r="P138" t="inlineStr">
        <is>
          <t>1.2.1.0.00</t>
        </is>
      </c>
      <c r="Q138" t="inlineStr">
        <is>
          <t>INGRESOS CORRIENTES DE LIBRE DESTINACION</t>
        </is>
      </c>
      <c r="R138" t="n">
        <v>15000000</v>
      </c>
      <c r="S138" t="n">
        <v>0</v>
      </c>
      <c r="T138" t="n">
        <v>0</v>
      </c>
      <c r="U138" t="n">
        <v>21400000</v>
      </c>
      <c r="V138" t="n">
        <v>0</v>
      </c>
      <c r="W138" t="n">
        <v>0</v>
      </c>
      <c r="X138" t="n">
        <v>0</v>
      </c>
      <c r="Y138" t="n">
        <v>36400000</v>
      </c>
      <c r="Z138" t="n">
        <v>15018251</v>
      </c>
      <c r="AA138" t="n">
        <v>15018251</v>
      </c>
      <c r="AB138" t="n">
        <v>15018251</v>
      </c>
      <c r="AC138" t="n">
        <v>14997362</v>
      </c>
      <c r="AD138" t="n">
        <v>21381749</v>
      </c>
      <c r="AE138" t="n">
        <v>41.26</v>
      </c>
    </row>
    <row r="139">
      <c r="A139" t="inlineStr">
        <is>
          <t>1 - ADMINISTRACIÓN CENTRAL</t>
        </is>
      </c>
      <c r="B139" t="inlineStr">
        <is>
          <t>00 - SIN SECTOR</t>
        </is>
      </c>
      <c r="C139" t="inlineStr">
        <is>
          <t>00</t>
        </is>
      </c>
      <c r="D139" t="inlineStr">
        <is>
          <t>0000</t>
        </is>
      </c>
      <c r="E139" t="inlineStr">
        <is>
          <t>0000000</t>
        </is>
      </c>
      <c r="F139" t="inlineStr">
        <is>
          <t>SIN PRODUCTO</t>
        </is>
      </c>
      <c r="G139" t="inlineStr">
        <is>
          <t>00</t>
        </is>
      </c>
      <c r="H139" t="inlineStr">
        <is>
          <t>SIN CODIGO BPIN</t>
        </is>
      </c>
      <c r="I139" t="inlineStr">
        <is>
          <t>00</t>
        </is>
      </c>
      <c r="J139" t="inlineStr">
        <is>
          <t>SIN PRODUCTO DANE</t>
        </is>
      </c>
      <c r="K139" t="inlineStr">
        <is>
          <t>00</t>
        </is>
      </c>
      <c r="L139" t="inlineStr">
        <is>
          <t>SIN ATRIBUTO</t>
        </is>
      </c>
      <c r="N139" t="inlineStr">
        <is>
          <t>2.1.3.07.02.010.01.02</t>
        </is>
      </c>
      <c r="O139" t="inlineStr">
        <is>
          <t>licencias de maternidad y paternidad (no de pensiones)</t>
        </is>
      </c>
      <c r="P139" t="inlineStr">
        <is>
          <t>1.2.1.0.00</t>
        </is>
      </c>
      <c r="Q139" t="inlineStr">
        <is>
          <t>INGRESOS CORRIENTES DE LIBRE DESTINACION</t>
        </is>
      </c>
      <c r="R139" t="n">
        <v>20000000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20000000</v>
      </c>
      <c r="Z139" t="n">
        <v>9577000</v>
      </c>
      <c r="AA139" t="n">
        <v>9577000</v>
      </c>
      <c r="AB139" t="n">
        <v>9577000</v>
      </c>
      <c r="AC139" t="n">
        <v>9577000</v>
      </c>
      <c r="AD139" t="n">
        <v>10423000</v>
      </c>
      <c r="AE139" t="n">
        <v>47.88</v>
      </c>
    </row>
    <row r="140">
      <c r="A140" t="inlineStr">
        <is>
          <t>1 - ADMINISTRACIÓN CENTRAL</t>
        </is>
      </c>
      <c r="B140" t="inlineStr">
        <is>
          <t>00 - SIN SECTOR</t>
        </is>
      </c>
      <c r="C140" t="inlineStr">
        <is>
          <t>00</t>
        </is>
      </c>
      <c r="D140" t="inlineStr">
        <is>
          <t>0000</t>
        </is>
      </c>
      <c r="E140" t="inlineStr">
        <is>
          <t>0000000</t>
        </is>
      </c>
      <c r="F140" t="inlineStr">
        <is>
          <t>SIN PRODUCTO</t>
        </is>
      </c>
      <c r="G140" t="inlineStr">
        <is>
          <t>00</t>
        </is>
      </c>
      <c r="H140" t="inlineStr">
        <is>
          <t>SIN CODIGO BPIN</t>
        </is>
      </c>
      <c r="I140" t="inlineStr">
        <is>
          <t>00</t>
        </is>
      </c>
      <c r="J140" t="inlineStr">
        <is>
          <t>SIN PRODUCTO DANE</t>
        </is>
      </c>
      <c r="K140" t="inlineStr">
        <is>
          <t>00</t>
        </is>
      </c>
      <c r="L140" t="inlineStr">
        <is>
          <t>SIN ATRIBUTO</t>
        </is>
      </c>
      <c r="N140" t="inlineStr">
        <is>
          <t>2.1.3.07.02.012</t>
        </is>
      </c>
      <c r="O140" t="inlineStr">
        <is>
          <t>Auxilios funerarios</t>
        </is>
      </c>
      <c r="P140" t="inlineStr">
        <is>
          <t>00</t>
        </is>
      </c>
      <c r="Q140" t="inlineStr">
        <is>
          <t>RECURSO PROPIOS</t>
        </is>
      </c>
      <c r="R140" t="n">
        <v>50000000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50000000</v>
      </c>
      <c r="Z140" t="n">
        <v>0</v>
      </c>
      <c r="AA140" t="n">
        <v>0</v>
      </c>
      <c r="AB140" t="n">
        <v>0</v>
      </c>
      <c r="AC140" t="n">
        <v>0</v>
      </c>
      <c r="AD140" t="n">
        <v>50000000</v>
      </c>
      <c r="AE140" t="n">
        <v>0</v>
      </c>
    </row>
    <row r="141">
      <c r="A141" t="inlineStr">
        <is>
          <t>1 - ADMINISTRACIÓN CENTRAL</t>
        </is>
      </c>
      <c r="B141" t="inlineStr">
        <is>
          <t>00 - SIN SECTOR</t>
        </is>
      </c>
      <c r="C141" t="inlineStr">
        <is>
          <t>00</t>
        </is>
      </c>
      <c r="D141" t="inlineStr">
        <is>
          <t>0000</t>
        </is>
      </c>
      <c r="E141" t="inlineStr">
        <is>
          <t>0000000</t>
        </is>
      </c>
      <c r="F141" t="inlineStr">
        <is>
          <t>SIN PRODUCTO</t>
        </is>
      </c>
      <c r="G141" t="inlineStr">
        <is>
          <t>00</t>
        </is>
      </c>
      <c r="H141" t="inlineStr">
        <is>
          <t>SIN CODIGO BPIN</t>
        </is>
      </c>
      <c r="I141" t="inlineStr">
        <is>
          <t>00</t>
        </is>
      </c>
      <c r="J141" t="inlineStr">
        <is>
          <t>SIN PRODUCTO DANE</t>
        </is>
      </c>
      <c r="K141" t="inlineStr">
        <is>
          <t>00</t>
        </is>
      </c>
      <c r="L141" t="inlineStr">
        <is>
          <t>SIN ATRIBUTO</t>
        </is>
      </c>
      <c r="N141" t="inlineStr">
        <is>
          <t>2.1.3.07.02.012.02</t>
        </is>
      </c>
      <c r="O141" t="inlineStr">
        <is>
          <t>Auxilios funerarios a cargo de la entidad</t>
        </is>
      </c>
      <c r="P141" t="inlineStr">
        <is>
          <t>1.2.1.0.00</t>
        </is>
      </c>
      <c r="Q141" t="inlineStr">
        <is>
          <t>INGRESOS CORRIENTES DE LIBRE DESTINACION</t>
        </is>
      </c>
      <c r="R141" t="n">
        <v>50000000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50000000</v>
      </c>
      <c r="Z141" t="n">
        <v>0</v>
      </c>
      <c r="AA141" t="n">
        <v>0</v>
      </c>
      <c r="AB141" t="n">
        <v>0</v>
      </c>
      <c r="AC141" t="n">
        <v>0</v>
      </c>
      <c r="AD141" t="n">
        <v>50000000</v>
      </c>
      <c r="AE141" t="n">
        <v>0</v>
      </c>
    </row>
    <row r="142">
      <c r="A142" t="inlineStr">
        <is>
          <t>1 - ADMINISTRACIÓN CENTRAL</t>
        </is>
      </c>
      <c r="B142" t="inlineStr">
        <is>
          <t>00 - SIN SECTOR</t>
        </is>
      </c>
      <c r="C142" t="inlineStr">
        <is>
          <t>00</t>
        </is>
      </c>
      <c r="D142" t="inlineStr">
        <is>
          <t>0000</t>
        </is>
      </c>
      <c r="E142" t="inlineStr">
        <is>
          <t>0000000</t>
        </is>
      </c>
      <c r="F142" t="inlineStr">
        <is>
          <t>SIN PRODUCTO</t>
        </is>
      </c>
      <c r="G142" t="inlineStr">
        <is>
          <t>00</t>
        </is>
      </c>
      <c r="H142" t="inlineStr">
        <is>
          <t>SIN CODIGO BPIN</t>
        </is>
      </c>
      <c r="I142" t="inlineStr">
        <is>
          <t>00</t>
        </is>
      </c>
      <c r="J142" t="inlineStr">
        <is>
          <t>SIN PRODUCTO DANE</t>
        </is>
      </c>
      <c r="K142" t="inlineStr">
        <is>
          <t>00</t>
        </is>
      </c>
      <c r="L142" t="inlineStr">
        <is>
          <t>SIN ATRIBUTO</t>
        </is>
      </c>
      <c r="N142" t="inlineStr">
        <is>
          <t>2.1.3.07.02.023</t>
        </is>
      </c>
      <c r="O142" t="inlineStr">
        <is>
          <t>Indemnizaciones no de pensiones</t>
        </is>
      </c>
      <c r="P142" t="inlineStr">
        <is>
          <t>00</t>
        </is>
      </c>
      <c r="Q142" t="inlineStr">
        <is>
          <t>RECURSO PROPIOS</t>
        </is>
      </c>
      <c r="R142" t="n">
        <v>30000000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30000000</v>
      </c>
      <c r="Z142" t="n">
        <v>0</v>
      </c>
      <c r="AA142" t="n">
        <v>0</v>
      </c>
      <c r="AB142" t="n">
        <v>0</v>
      </c>
      <c r="AC142" t="n">
        <v>0</v>
      </c>
      <c r="AD142" t="n">
        <v>30000000</v>
      </c>
      <c r="AE142" t="n">
        <v>0</v>
      </c>
    </row>
    <row r="143">
      <c r="A143" t="inlineStr">
        <is>
          <t>1 - ADMINISTRACIÓN CENTRAL</t>
        </is>
      </c>
      <c r="B143" t="inlineStr">
        <is>
          <t>00 - SIN SECTOR</t>
        </is>
      </c>
      <c r="C143" t="inlineStr">
        <is>
          <t>00</t>
        </is>
      </c>
      <c r="D143" t="inlineStr">
        <is>
          <t>0000</t>
        </is>
      </c>
      <c r="E143" t="inlineStr">
        <is>
          <t>0000000</t>
        </is>
      </c>
      <c r="F143" t="inlineStr">
        <is>
          <t>SIN PRODUCTO</t>
        </is>
      </c>
      <c r="G143" t="inlineStr">
        <is>
          <t>00</t>
        </is>
      </c>
      <c r="H143" t="inlineStr">
        <is>
          <t>SIN CODIGO BPIN</t>
        </is>
      </c>
      <c r="I143" t="inlineStr">
        <is>
          <t>00</t>
        </is>
      </c>
      <c r="J143" t="inlineStr">
        <is>
          <t>SIN PRODUCTO DANE</t>
        </is>
      </c>
      <c r="K143" t="inlineStr">
        <is>
          <t>00</t>
        </is>
      </c>
      <c r="L143" t="inlineStr">
        <is>
          <t>SIN ATRIBUTO</t>
        </is>
      </c>
      <c r="N143" t="inlineStr">
        <is>
          <t>2.1.3.07.02.023.01</t>
        </is>
      </c>
      <c r="O143" t="inlineStr">
        <is>
          <t>Indemnización sustitutiva de pensiones</t>
        </is>
      </c>
      <c r="P143" t="inlineStr">
        <is>
          <t>1.2.1.0.00</t>
        </is>
      </c>
      <c r="Q143" t="inlineStr">
        <is>
          <t>INGRESOS CORRIENTES DE LIBRE DESTINACION</t>
        </is>
      </c>
      <c r="R143" t="n">
        <v>30000000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30000000</v>
      </c>
      <c r="Z143" t="n">
        <v>0</v>
      </c>
      <c r="AA143" t="n">
        <v>0</v>
      </c>
      <c r="AB143" t="n">
        <v>0</v>
      </c>
      <c r="AC143" t="n">
        <v>0</v>
      </c>
      <c r="AD143" t="n">
        <v>30000000</v>
      </c>
      <c r="AE143" t="n">
        <v>0</v>
      </c>
    </row>
    <row r="144">
      <c r="A144" t="inlineStr">
        <is>
          <t>1 - ADMINISTRACIÓN CENTRAL</t>
        </is>
      </c>
      <c r="B144" t="inlineStr">
        <is>
          <t>00 - SIN SECTOR</t>
        </is>
      </c>
      <c r="C144" t="inlineStr">
        <is>
          <t>00</t>
        </is>
      </c>
      <c r="D144" t="inlineStr">
        <is>
          <t>0000</t>
        </is>
      </c>
      <c r="E144" t="inlineStr">
        <is>
          <t>0000000</t>
        </is>
      </c>
      <c r="F144" t="inlineStr">
        <is>
          <t>SIN PRODUCTO</t>
        </is>
      </c>
      <c r="G144" t="inlineStr">
        <is>
          <t>00</t>
        </is>
      </c>
      <c r="H144" t="inlineStr">
        <is>
          <t>SIN CODIGO BPIN</t>
        </is>
      </c>
      <c r="I144" t="inlineStr">
        <is>
          <t>00</t>
        </is>
      </c>
      <c r="J144" t="inlineStr">
        <is>
          <t>SIN PRODUCTO DANE</t>
        </is>
      </c>
      <c r="K144" t="inlineStr">
        <is>
          <t>00</t>
        </is>
      </c>
      <c r="L144" t="inlineStr">
        <is>
          <t>SIN ATRIBUTO</t>
        </is>
      </c>
      <c r="N144" t="inlineStr">
        <is>
          <t>2.1.3.09</t>
        </is>
      </c>
      <c r="O144" t="inlineStr">
        <is>
          <t>A instituciones sin animo de lucro que sirven a los hogares</t>
        </is>
      </c>
      <c r="P144" t="inlineStr">
        <is>
          <t>00</t>
        </is>
      </c>
      <c r="Q144" t="inlineStr">
        <is>
          <t>RECURSO PROPIOS</t>
        </is>
      </c>
      <c r="R144" t="n">
        <v>901000000</v>
      </c>
      <c r="S144" t="n">
        <v>242588261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1143588261</v>
      </c>
      <c r="Z144" t="n">
        <v>920388261</v>
      </c>
      <c r="AA144" t="n">
        <v>920388261</v>
      </c>
      <c r="AB144" t="n">
        <v>356388261</v>
      </c>
      <c r="AC144" t="n">
        <v>356388261</v>
      </c>
      <c r="AD144" t="n">
        <v>223200000</v>
      </c>
      <c r="AE144" t="n">
        <v>80.48</v>
      </c>
    </row>
    <row r="145">
      <c r="A145" t="inlineStr">
        <is>
          <t>1 - ADMINISTRACIÓN CENTRAL</t>
        </is>
      </c>
      <c r="B145" t="inlineStr">
        <is>
          <t>00 - SIN SECTOR</t>
        </is>
      </c>
      <c r="C145" t="inlineStr">
        <is>
          <t>00</t>
        </is>
      </c>
      <c r="D145" t="inlineStr">
        <is>
          <t>0000</t>
        </is>
      </c>
      <c r="E145" t="inlineStr">
        <is>
          <t>0000000</t>
        </is>
      </c>
      <c r="F145" t="inlineStr">
        <is>
          <t>SIN PRODUCTO</t>
        </is>
      </c>
      <c r="G145" t="inlineStr">
        <is>
          <t>00</t>
        </is>
      </c>
      <c r="H145" t="inlineStr">
        <is>
          <t>SIN CODIGO BPIN</t>
        </is>
      </c>
      <c r="I145" t="inlineStr">
        <is>
          <t>00</t>
        </is>
      </c>
      <c r="J145" t="inlineStr">
        <is>
          <t>SIN PRODUCTO DANE</t>
        </is>
      </c>
      <c r="K145" t="inlineStr">
        <is>
          <t>00</t>
        </is>
      </c>
      <c r="L145" t="inlineStr">
        <is>
          <t>SIN ATRIBUTO</t>
        </is>
      </c>
      <c r="N145" t="inlineStr">
        <is>
          <t>2.1.3.09.16</t>
        </is>
      </c>
      <c r="O145" t="inlineStr">
        <is>
          <t>Sobretasa bomberilcuerpos de bomberos voluntarios</t>
        </is>
      </c>
      <c r="P145" t="inlineStr">
        <is>
          <t>00</t>
        </is>
      </c>
      <c r="Q145" t="inlineStr">
        <is>
          <t>RECURSO PROPIOS</t>
        </is>
      </c>
      <c r="R145" t="n">
        <v>901000000</v>
      </c>
      <c r="S145" t="n">
        <v>242588261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1143588261</v>
      </c>
      <c r="Z145" t="n">
        <v>920388261</v>
      </c>
      <c r="AA145" t="n">
        <v>920388261</v>
      </c>
      <c r="AB145" t="n">
        <v>356388261</v>
      </c>
      <c r="AC145" t="n">
        <v>356388261</v>
      </c>
      <c r="AD145" t="n">
        <v>223200000</v>
      </c>
      <c r="AE145" t="n">
        <v>80.48</v>
      </c>
    </row>
    <row r="146">
      <c r="A146" t="inlineStr">
        <is>
          <t>1 - ADMINISTRACIÓN CENTRAL</t>
        </is>
      </c>
      <c r="B146" t="inlineStr">
        <is>
          <t>00 - SIN SECTOR</t>
        </is>
      </c>
      <c r="C146" t="inlineStr">
        <is>
          <t>00</t>
        </is>
      </c>
      <c r="D146" t="inlineStr">
        <is>
          <t>0000</t>
        </is>
      </c>
      <c r="E146" t="inlineStr">
        <is>
          <t>0000000</t>
        </is>
      </c>
      <c r="F146" t="inlineStr">
        <is>
          <t>SIN PRODUCTO</t>
        </is>
      </c>
      <c r="G146" t="inlineStr">
        <is>
          <t>00</t>
        </is>
      </c>
      <c r="H146" t="inlineStr">
        <is>
          <t>SIN CODIGO BPIN</t>
        </is>
      </c>
      <c r="I146" t="inlineStr">
        <is>
          <t>00</t>
        </is>
      </c>
      <c r="J146" t="inlineStr">
        <is>
          <t>SIN PRODUCTO DANE</t>
        </is>
      </c>
      <c r="K146" t="inlineStr">
        <is>
          <t>00</t>
        </is>
      </c>
      <c r="L146" t="inlineStr">
        <is>
          <t>SIN ATRIBUTO</t>
        </is>
      </c>
      <c r="N146" t="inlineStr">
        <is>
          <t>2.1.3.09.16.01</t>
        </is>
      </c>
      <c r="O146" t="inlineStr">
        <is>
          <t>Sobretasa bomberilcuerpos de bomberos voluntarios - VIGENCIA</t>
        </is>
      </c>
      <c r="P146" t="inlineStr">
        <is>
          <t>1.2.3.1.14</t>
        </is>
      </c>
      <c r="Q146" t="inlineStr">
        <is>
          <t>SOBRETASA BOMBERIL</t>
        </is>
      </c>
      <c r="R146" t="n">
        <v>900000000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900000000</v>
      </c>
      <c r="Z146" t="n">
        <v>676800000</v>
      </c>
      <c r="AA146" t="n">
        <v>676800000</v>
      </c>
      <c r="AB146" t="n">
        <v>112800000</v>
      </c>
      <c r="AC146" t="n">
        <v>112800000</v>
      </c>
      <c r="AD146" t="n">
        <v>223200000</v>
      </c>
      <c r="AE146" t="n">
        <v>75.2</v>
      </c>
    </row>
    <row r="147">
      <c r="A147" t="inlineStr">
        <is>
          <t>1 - ADMINISTRACIÓN CENTRAL</t>
        </is>
      </c>
      <c r="B147" t="inlineStr">
        <is>
          <t>00 - SIN SECTOR</t>
        </is>
      </c>
      <c r="C147" t="inlineStr">
        <is>
          <t>00</t>
        </is>
      </c>
      <c r="D147" t="inlineStr">
        <is>
          <t>0000</t>
        </is>
      </c>
      <c r="E147" t="inlineStr">
        <is>
          <t>0000000</t>
        </is>
      </c>
      <c r="F147" t="inlineStr">
        <is>
          <t>SIN PRODUCTO</t>
        </is>
      </c>
      <c r="G147" t="inlineStr">
        <is>
          <t>00</t>
        </is>
      </c>
      <c r="H147" t="inlineStr">
        <is>
          <t>SIN CODIGO BPIN</t>
        </is>
      </c>
      <c r="I147" t="inlineStr">
        <is>
          <t>00</t>
        </is>
      </c>
      <c r="J147" t="inlineStr">
        <is>
          <t>SIN PRODUCTO DANE</t>
        </is>
      </c>
      <c r="K147" t="inlineStr">
        <is>
          <t>00</t>
        </is>
      </c>
      <c r="L147" t="inlineStr">
        <is>
          <t>SIN ATRIBUTO</t>
        </is>
      </c>
      <c r="N147" t="inlineStr">
        <is>
          <t>2.1.3.09.16.02</t>
        </is>
      </c>
      <c r="O147" t="inlineStr">
        <is>
          <t>Sobretasa bomberilcuerpos de bomberos voluntarios - RB</t>
        </is>
      </c>
      <c r="P147" t="inlineStr">
        <is>
          <t>1.3.3.3.15</t>
        </is>
      </c>
      <c r="Q147" t="inlineStr">
        <is>
          <t>R.B. SOBRETASA BOMBERIL</t>
        </is>
      </c>
      <c r="R147" t="n">
        <v>1000000</v>
      </c>
      <c r="S147" t="n">
        <v>242588261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243588261</v>
      </c>
      <c r="Z147" t="n">
        <v>243588261</v>
      </c>
      <c r="AA147" t="n">
        <v>243588261</v>
      </c>
      <c r="AB147" t="n">
        <v>243588261</v>
      </c>
      <c r="AC147" t="n">
        <v>243588261</v>
      </c>
      <c r="AD147" t="n">
        <v>0</v>
      </c>
      <c r="AE147" t="n">
        <v>100</v>
      </c>
    </row>
    <row r="148">
      <c r="A148" t="inlineStr">
        <is>
          <t>1 - ADMINISTRACIÓN CENTRAL</t>
        </is>
      </c>
      <c r="B148" t="inlineStr">
        <is>
          <t>00 - SIN SECTOR</t>
        </is>
      </c>
      <c r="C148" t="inlineStr">
        <is>
          <t>00</t>
        </is>
      </c>
      <c r="D148" t="inlineStr">
        <is>
          <t>0000</t>
        </is>
      </c>
      <c r="E148" t="inlineStr">
        <is>
          <t>0000000</t>
        </is>
      </c>
      <c r="F148" t="inlineStr">
        <is>
          <t>SIN PRODUCTO</t>
        </is>
      </c>
      <c r="G148" t="inlineStr">
        <is>
          <t>00</t>
        </is>
      </c>
      <c r="H148" t="inlineStr">
        <is>
          <t>SIN CODIGO BPIN</t>
        </is>
      </c>
      <c r="I148" t="inlineStr">
        <is>
          <t>00</t>
        </is>
      </c>
      <c r="J148" t="inlineStr">
        <is>
          <t>SIN PRODUCTO DANE</t>
        </is>
      </c>
      <c r="K148" t="inlineStr">
        <is>
          <t>00</t>
        </is>
      </c>
      <c r="L148" t="inlineStr">
        <is>
          <t>SIN ATRIBUTO</t>
        </is>
      </c>
      <c r="N148" t="inlineStr">
        <is>
          <t>2.1.3.11</t>
        </is>
      </c>
      <c r="O148" t="inlineStr">
        <is>
          <t>Recursos del sistema de seguridad social integral</t>
        </is>
      </c>
      <c r="P148" t="inlineStr">
        <is>
          <t>00</t>
        </is>
      </c>
      <c r="Q148" t="inlineStr">
        <is>
          <t>RECURSO PROPIOS</t>
        </is>
      </c>
      <c r="R148" t="n">
        <v>150000000</v>
      </c>
      <c r="S148" t="n">
        <v>54259504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204259504</v>
      </c>
      <c r="Z148" t="n">
        <v>0</v>
      </c>
      <c r="AA148" t="n">
        <v>0</v>
      </c>
      <c r="AB148" t="n">
        <v>0</v>
      </c>
      <c r="AC148" t="n">
        <v>0</v>
      </c>
      <c r="AD148" t="n">
        <v>204259504</v>
      </c>
      <c r="AE148" t="n">
        <v>0</v>
      </c>
    </row>
    <row r="149">
      <c r="A149" t="inlineStr">
        <is>
          <t>1 - ADMINISTRACIÓN CENTRAL</t>
        </is>
      </c>
      <c r="B149" t="inlineStr">
        <is>
          <t>00 - SIN SECTOR</t>
        </is>
      </c>
      <c r="C149" t="inlineStr">
        <is>
          <t>00</t>
        </is>
      </c>
      <c r="D149" t="inlineStr">
        <is>
          <t>0000</t>
        </is>
      </c>
      <c r="E149" t="inlineStr">
        <is>
          <t>0000000</t>
        </is>
      </c>
      <c r="F149" t="inlineStr">
        <is>
          <t>SIN PRODUCTO</t>
        </is>
      </c>
      <c r="G149" t="inlineStr">
        <is>
          <t>00</t>
        </is>
      </c>
      <c r="H149" t="inlineStr">
        <is>
          <t>SIN CODIGO BPIN</t>
        </is>
      </c>
      <c r="I149" t="inlineStr">
        <is>
          <t>00</t>
        </is>
      </c>
      <c r="J149" t="inlineStr">
        <is>
          <t>SIN PRODUCTO DANE</t>
        </is>
      </c>
      <c r="K149" t="inlineStr">
        <is>
          <t>00</t>
        </is>
      </c>
      <c r="L149" t="inlineStr">
        <is>
          <t>SIN ATRIBUTO</t>
        </is>
      </c>
      <c r="N149" t="inlineStr">
        <is>
          <t>2.1.3.11.02</t>
        </is>
      </c>
      <c r="O149" t="inlineStr">
        <is>
          <t xml:space="preserve">Sistema general de pensiones </t>
        </is>
      </c>
      <c r="P149" t="inlineStr">
        <is>
          <t>00</t>
        </is>
      </c>
      <c r="Q149" t="inlineStr">
        <is>
          <t>RECURSO PROPIOS</t>
        </is>
      </c>
      <c r="R149" t="n">
        <v>150000000</v>
      </c>
      <c r="S149" t="n">
        <v>54259504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204259504</v>
      </c>
      <c r="Z149" t="n">
        <v>0</v>
      </c>
      <c r="AA149" t="n">
        <v>0</v>
      </c>
      <c r="AB149" t="n">
        <v>0</v>
      </c>
      <c r="AC149" t="n">
        <v>0</v>
      </c>
      <c r="AD149" t="n">
        <v>204259504</v>
      </c>
      <c r="AE149" t="n">
        <v>0</v>
      </c>
    </row>
    <row r="150">
      <c r="A150" t="inlineStr">
        <is>
          <t>1 - ADMINISTRACIÓN CENTRAL</t>
        </is>
      </c>
      <c r="B150" t="inlineStr">
        <is>
          <t>00 - SIN SECTOR</t>
        </is>
      </c>
      <c r="C150" t="inlineStr">
        <is>
          <t>00</t>
        </is>
      </c>
      <c r="D150" t="inlineStr">
        <is>
          <t>0000</t>
        </is>
      </c>
      <c r="E150" t="inlineStr">
        <is>
          <t>0000000</t>
        </is>
      </c>
      <c r="F150" t="inlineStr">
        <is>
          <t>SIN PRODUCTO</t>
        </is>
      </c>
      <c r="G150" t="inlineStr">
        <is>
          <t>00</t>
        </is>
      </c>
      <c r="H150" t="inlineStr">
        <is>
          <t>SIN CODIGO BPIN</t>
        </is>
      </c>
      <c r="I150" t="inlineStr">
        <is>
          <t>00</t>
        </is>
      </c>
      <c r="J150" t="inlineStr">
        <is>
          <t>SIN PRODUCTO DANE</t>
        </is>
      </c>
      <c r="K150" t="inlineStr">
        <is>
          <t>00</t>
        </is>
      </c>
      <c r="L150" t="inlineStr">
        <is>
          <t>SIN ATRIBUTO</t>
        </is>
      </c>
      <c r="N150" t="inlineStr">
        <is>
          <t>2.1.3.11.02.001</t>
        </is>
      </c>
      <c r="O150" t="inlineStr">
        <is>
          <t xml:space="preserve">Capitalizacion de patrimonios autonomos pensionales </t>
        </is>
      </c>
      <c r="P150" t="inlineStr">
        <is>
          <t>00</t>
        </is>
      </c>
      <c r="Q150" t="inlineStr">
        <is>
          <t>RECURSO PROPIOS</t>
        </is>
      </c>
      <c r="R150" t="n">
        <v>150000000</v>
      </c>
      <c r="S150" t="n">
        <v>54259504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204259504</v>
      </c>
      <c r="Z150" t="n">
        <v>0</v>
      </c>
      <c r="AA150" t="n">
        <v>0</v>
      </c>
      <c r="AB150" t="n">
        <v>0</v>
      </c>
      <c r="AC150" t="n">
        <v>0</v>
      </c>
      <c r="AD150" t="n">
        <v>204259504</v>
      </c>
      <c r="AE150" t="n">
        <v>0</v>
      </c>
    </row>
    <row r="151">
      <c r="A151" t="inlineStr">
        <is>
          <t>1 - ADMINISTRACIÓN CENTRAL</t>
        </is>
      </c>
      <c r="B151" t="inlineStr">
        <is>
          <t>00 - SIN SECTOR</t>
        </is>
      </c>
      <c r="C151" t="inlineStr">
        <is>
          <t>00</t>
        </is>
      </c>
      <c r="D151" t="inlineStr">
        <is>
          <t>0000</t>
        </is>
      </c>
      <c r="E151" t="inlineStr">
        <is>
          <t>0000000</t>
        </is>
      </c>
      <c r="F151" t="inlineStr">
        <is>
          <t>SIN PRODUCTO</t>
        </is>
      </c>
      <c r="G151" t="inlineStr">
        <is>
          <t>00</t>
        </is>
      </c>
      <c r="H151" t="inlineStr">
        <is>
          <t>SIN CODIGO BPIN</t>
        </is>
      </c>
      <c r="I151" t="inlineStr">
        <is>
          <t>00</t>
        </is>
      </c>
      <c r="J151" t="inlineStr">
        <is>
          <t>SIN PRODUCTO DANE</t>
        </is>
      </c>
      <c r="K151" t="inlineStr">
        <is>
          <t>00</t>
        </is>
      </c>
      <c r="L151" t="inlineStr">
        <is>
          <t>SIN ATRIBUTO</t>
        </is>
      </c>
      <c r="N151" t="inlineStr">
        <is>
          <t>2.1.3.11.02.001.02</t>
        </is>
      </c>
      <c r="O151" t="inlineStr">
        <is>
          <t>Capitalizacion de otros patrimonios autonomos pensionales</t>
        </is>
      </c>
      <c r="P151" t="inlineStr">
        <is>
          <t>00</t>
        </is>
      </c>
      <c r="Q151" t="inlineStr">
        <is>
          <t>RECURSO PROPIOS</t>
        </is>
      </c>
      <c r="R151" t="n">
        <v>150000000</v>
      </c>
      <c r="S151" t="n">
        <v>54259504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204259504</v>
      </c>
      <c r="Z151" t="n">
        <v>0</v>
      </c>
      <c r="AA151" t="n">
        <v>0</v>
      </c>
      <c r="AB151" t="n">
        <v>0</v>
      </c>
      <c r="AC151" t="n">
        <v>0</v>
      </c>
      <c r="AD151" t="n">
        <v>204259504</v>
      </c>
      <c r="AE151" t="n">
        <v>0</v>
      </c>
    </row>
    <row r="152">
      <c r="A152" t="inlineStr">
        <is>
          <t>1 - ADMINISTRACIÓN CENTRAL</t>
        </is>
      </c>
      <c r="B152" t="inlineStr">
        <is>
          <t>00 - SIN SECTOR</t>
        </is>
      </c>
      <c r="C152" t="inlineStr">
        <is>
          <t>00</t>
        </is>
      </c>
      <c r="D152" t="inlineStr">
        <is>
          <t>0000</t>
        </is>
      </c>
      <c r="E152" t="inlineStr">
        <is>
          <t>0000000</t>
        </is>
      </c>
      <c r="F152" t="inlineStr">
        <is>
          <t>SIN PRODUCTO</t>
        </is>
      </c>
      <c r="G152" t="inlineStr">
        <is>
          <t>00</t>
        </is>
      </c>
      <c r="H152" t="inlineStr">
        <is>
          <t>SIN CODIGO BPIN</t>
        </is>
      </c>
      <c r="I152" t="inlineStr">
        <is>
          <t>00</t>
        </is>
      </c>
      <c r="J152" t="inlineStr">
        <is>
          <t>SIN PRODUCTO DANE</t>
        </is>
      </c>
      <c r="K152" t="inlineStr">
        <is>
          <t>00</t>
        </is>
      </c>
      <c r="L152" t="inlineStr">
        <is>
          <t>SIN ATRIBUTO</t>
        </is>
      </c>
      <c r="N152" t="inlineStr">
        <is>
          <t>2.1.3.11.02.001.02.01</t>
        </is>
      </c>
      <c r="O152" t="inlineStr">
        <is>
          <t>Seguridad social del Gestor Cultural 10% ley 666 de 2001</t>
        </is>
      </c>
      <c r="P152" t="inlineStr">
        <is>
          <t>1.2.3.1.19.02</t>
        </is>
      </c>
      <c r="Q152" t="inlineStr">
        <is>
          <t>ESTAMPILLA PRO CULTURA</t>
        </is>
      </c>
      <c r="R152" t="n">
        <v>150000000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150000000</v>
      </c>
      <c r="Z152" t="n">
        <v>0</v>
      </c>
      <c r="AA152" t="n">
        <v>0</v>
      </c>
      <c r="AB152" t="n">
        <v>0</v>
      </c>
      <c r="AC152" t="n">
        <v>0</v>
      </c>
      <c r="AD152" t="n">
        <v>150000000</v>
      </c>
      <c r="AE152" t="n">
        <v>0</v>
      </c>
    </row>
    <row r="153">
      <c r="A153" t="inlineStr">
        <is>
          <t>1 - ADMINISTRACIÓN CENTRAL</t>
        </is>
      </c>
      <c r="B153" t="inlineStr">
        <is>
          <t>00 - SIN SECTOR</t>
        </is>
      </c>
      <c r="C153" t="inlineStr">
        <is>
          <t>00</t>
        </is>
      </c>
      <c r="D153" t="inlineStr">
        <is>
          <t>0000</t>
        </is>
      </c>
      <c r="E153" t="inlineStr">
        <is>
          <t>0000000</t>
        </is>
      </c>
      <c r="F153" t="inlineStr">
        <is>
          <t>SIN PRODUCTO</t>
        </is>
      </c>
      <c r="G153" t="inlineStr">
        <is>
          <t>00</t>
        </is>
      </c>
      <c r="H153" t="inlineStr">
        <is>
          <t>SIN CODIGO BPIN</t>
        </is>
      </c>
      <c r="I153" t="inlineStr">
        <is>
          <t>00</t>
        </is>
      </c>
      <c r="J153" t="inlineStr">
        <is>
          <t>SIN PRODUCTO DANE</t>
        </is>
      </c>
      <c r="K153" t="inlineStr">
        <is>
          <t>00</t>
        </is>
      </c>
      <c r="L153" t="inlineStr">
        <is>
          <t>SIN ATRIBUTO</t>
        </is>
      </c>
      <c r="N153" t="inlineStr">
        <is>
          <t>2.1.3.11.02.001.02.02</t>
        </is>
      </c>
      <c r="O153" t="inlineStr">
        <is>
          <t>Seguridad social del Gestor Cultural 10% ley 666 de 2001</t>
        </is>
      </c>
      <c r="P153" t="inlineStr">
        <is>
          <t>1.3.3.3.20.04</t>
        </is>
      </c>
      <c r="Q153" t="inlineStr">
        <is>
          <t>R.B. ESTAMPILLA PRO CULTURA 10% GESTOR CULTURAL</t>
        </is>
      </c>
      <c r="R153" t="n">
        <v>0</v>
      </c>
      <c r="S153" t="n">
        <v>53956396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53956396</v>
      </c>
      <c r="Z153" t="n">
        <v>0</v>
      </c>
      <c r="AA153" t="n">
        <v>0</v>
      </c>
      <c r="AB153" t="n">
        <v>0</v>
      </c>
      <c r="AC153" t="n">
        <v>0</v>
      </c>
      <c r="AD153" t="n">
        <v>53956396</v>
      </c>
      <c r="AE153" t="n">
        <v>0</v>
      </c>
    </row>
    <row r="154">
      <c r="A154" t="inlineStr">
        <is>
          <t>1 - ADMINISTRACIÓN CENTRAL</t>
        </is>
      </c>
      <c r="B154" t="inlineStr">
        <is>
          <t>00 - SIN SECTOR</t>
        </is>
      </c>
      <c r="C154" t="inlineStr">
        <is>
          <t>00</t>
        </is>
      </c>
      <c r="D154" t="inlineStr">
        <is>
          <t>0000</t>
        </is>
      </c>
      <c r="E154" t="inlineStr">
        <is>
          <t>0000000</t>
        </is>
      </c>
      <c r="F154" t="inlineStr">
        <is>
          <t>SIN PRODUCTO</t>
        </is>
      </c>
      <c r="G154" t="inlineStr">
        <is>
          <t>00</t>
        </is>
      </c>
      <c r="H154" t="inlineStr">
        <is>
          <t>SIN CODIGO BPIN</t>
        </is>
      </c>
      <c r="I154" t="inlineStr">
        <is>
          <t>00</t>
        </is>
      </c>
      <c r="J154" t="inlineStr">
        <is>
          <t>SIN PRODUCTO DANE</t>
        </is>
      </c>
      <c r="K154" t="inlineStr">
        <is>
          <t>00</t>
        </is>
      </c>
      <c r="L154" t="inlineStr">
        <is>
          <t>SIN ATRIBUTO</t>
        </is>
      </c>
      <c r="N154" t="inlineStr">
        <is>
          <t>2.1.3.11.02.001.02.03</t>
        </is>
      </c>
      <c r="O154" t="inlineStr">
        <is>
          <t>Seguridad social del Gestor Cultural 10% ley 666 de 2001</t>
        </is>
      </c>
      <c r="P154" t="inlineStr">
        <is>
          <t>1.3.2.3.11.01</t>
        </is>
      </c>
      <c r="Q154" t="inlineStr">
        <is>
          <t>OTROS RENDIMIENTOS FINANCIEROS SEG.SOCIAL GESTOR CULTURAL ESTAMP.PROCULTURA</t>
        </is>
      </c>
      <c r="R154" t="n">
        <v>0</v>
      </c>
      <c r="S154" t="n">
        <v>303108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303108</v>
      </c>
      <c r="Z154" t="n">
        <v>0</v>
      </c>
      <c r="AA154" t="n">
        <v>0</v>
      </c>
      <c r="AB154" t="n">
        <v>0</v>
      </c>
      <c r="AC154" t="n">
        <v>0</v>
      </c>
      <c r="AD154" t="n">
        <v>303108</v>
      </c>
      <c r="AE154" t="n">
        <v>0</v>
      </c>
    </row>
    <row r="155">
      <c r="A155" t="inlineStr">
        <is>
          <t>1 - ADMINISTRACIÓN CENTRAL</t>
        </is>
      </c>
      <c r="B155" t="inlineStr">
        <is>
          <t>00 - SIN SECTOR</t>
        </is>
      </c>
      <c r="C155" t="inlineStr">
        <is>
          <t>00</t>
        </is>
      </c>
      <c r="D155" t="inlineStr">
        <is>
          <t>0000</t>
        </is>
      </c>
      <c r="E155" t="inlineStr">
        <is>
          <t>0000000</t>
        </is>
      </c>
      <c r="F155" t="inlineStr">
        <is>
          <t>SIN PRODUCTO</t>
        </is>
      </c>
      <c r="G155" t="inlineStr">
        <is>
          <t>00</t>
        </is>
      </c>
      <c r="H155" t="inlineStr">
        <is>
          <t>SIN CODIGO BPIN</t>
        </is>
      </c>
      <c r="I155" t="inlineStr">
        <is>
          <t>00</t>
        </is>
      </c>
      <c r="J155" t="inlineStr">
        <is>
          <t>SIN PRODUCTO DANE</t>
        </is>
      </c>
      <c r="K155" t="inlineStr">
        <is>
          <t>00</t>
        </is>
      </c>
      <c r="L155" t="inlineStr">
        <is>
          <t>SIN ATRIBUTO</t>
        </is>
      </c>
      <c r="N155" t="inlineStr">
        <is>
          <t>2.1.3.13</t>
        </is>
      </c>
      <c r="O155" t="inlineStr">
        <is>
          <t>Sentencias y conciliaciones</t>
        </is>
      </c>
      <c r="P155" t="inlineStr">
        <is>
          <t>00</t>
        </is>
      </c>
      <c r="Q155" t="inlineStr">
        <is>
          <t>RECURSO PROPIOS</t>
        </is>
      </c>
      <c r="R155" t="n">
        <v>200000000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200000000</v>
      </c>
      <c r="Z155" t="n">
        <v>0</v>
      </c>
      <c r="AA155" t="n">
        <v>0</v>
      </c>
      <c r="AB155" t="n">
        <v>0</v>
      </c>
      <c r="AC155" t="n">
        <v>0</v>
      </c>
      <c r="AD155" t="n">
        <v>200000000</v>
      </c>
      <c r="AE155" t="n">
        <v>0</v>
      </c>
    </row>
    <row r="156">
      <c r="A156" t="inlineStr">
        <is>
          <t>1 - ADMINISTRACIÓN CENTRAL</t>
        </is>
      </c>
      <c r="B156" t="inlineStr">
        <is>
          <t>00 - SIN SECTOR</t>
        </is>
      </c>
      <c r="C156" t="inlineStr">
        <is>
          <t>00</t>
        </is>
      </c>
      <c r="D156" t="inlineStr">
        <is>
          <t>0000</t>
        </is>
      </c>
      <c r="E156" t="inlineStr">
        <is>
          <t>0000000</t>
        </is>
      </c>
      <c r="F156" t="inlineStr">
        <is>
          <t>SIN PRODUCTO</t>
        </is>
      </c>
      <c r="G156" t="inlineStr">
        <is>
          <t>00</t>
        </is>
      </c>
      <c r="H156" t="inlineStr">
        <is>
          <t>SIN CODIGO BPIN</t>
        </is>
      </c>
      <c r="I156" t="inlineStr">
        <is>
          <t>00</t>
        </is>
      </c>
      <c r="J156" t="inlineStr">
        <is>
          <t>SIN PRODUCTO DANE</t>
        </is>
      </c>
      <c r="K156" t="inlineStr">
        <is>
          <t>00</t>
        </is>
      </c>
      <c r="L156" t="inlineStr">
        <is>
          <t>SIN ATRIBUTO</t>
        </is>
      </c>
      <c r="N156" t="inlineStr">
        <is>
          <t>2.1.3.13.01</t>
        </is>
      </c>
      <c r="O156" t="inlineStr">
        <is>
          <t>Fallos nacionales</t>
        </is>
      </c>
      <c r="P156" t="inlineStr">
        <is>
          <t>00</t>
        </is>
      </c>
      <c r="Q156" t="inlineStr">
        <is>
          <t>RECURSO PROPIOS</t>
        </is>
      </c>
      <c r="R156" t="n">
        <v>200000000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200000000</v>
      </c>
      <c r="Z156" t="n">
        <v>0</v>
      </c>
      <c r="AA156" t="n">
        <v>0</v>
      </c>
      <c r="AB156" t="n">
        <v>0</v>
      </c>
      <c r="AC156" t="n">
        <v>0</v>
      </c>
      <c r="AD156" t="n">
        <v>200000000</v>
      </c>
      <c r="AE156" t="n">
        <v>0</v>
      </c>
    </row>
    <row r="157">
      <c r="A157" t="inlineStr">
        <is>
          <t>1 - ADMINISTRACIÓN CENTRAL</t>
        </is>
      </c>
      <c r="B157" t="inlineStr">
        <is>
          <t>00 - SIN SECTOR</t>
        </is>
      </c>
      <c r="C157" t="inlineStr">
        <is>
          <t>00</t>
        </is>
      </c>
      <c r="D157" t="inlineStr">
        <is>
          <t>0000</t>
        </is>
      </c>
      <c r="E157" t="inlineStr">
        <is>
          <t>0000000</t>
        </is>
      </c>
      <c r="F157" t="inlineStr">
        <is>
          <t>SIN PRODUCTO</t>
        </is>
      </c>
      <c r="G157" t="inlineStr">
        <is>
          <t>00</t>
        </is>
      </c>
      <c r="H157" t="inlineStr">
        <is>
          <t>SIN CODIGO BPIN</t>
        </is>
      </c>
      <c r="I157" t="inlineStr">
        <is>
          <t>00</t>
        </is>
      </c>
      <c r="J157" t="inlineStr">
        <is>
          <t>SIN PRODUCTO DANE</t>
        </is>
      </c>
      <c r="K157" t="inlineStr">
        <is>
          <t>00</t>
        </is>
      </c>
      <c r="L157" t="inlineStr">
        <is>
          <t>SIN ATRIBUTO</t>
        </is>
      </c>
      <c r="N157" t="inlineStr">
        <is>
          <t>2.1.3.13.01.001</t>
        </is>
      </c>
      <c r="O157" t="inlineStr">
        <is>
          <t>Sentencias</t>
        </is>
      </c>
      <c r="P157" t="inlineStr">
        <is>
          <t>1.2.1.0.00</t>
        </is>
      </c>
      <c r="Q157" t="inlineStr">
        <is>
          <t>INGRESOS CORRIENTES DE LIBRE DESTINACION</t>
        </is>
      </c>
      <c r="R157" t="n">
        <v>100000000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100000000</v>
      </c>
      <c r="Z157" t="n">
        <v>0</v>
      </c>
      <c r="AA157" t="n">
        <v>0</v>
      </c>
      <c r="AB157" t="n">
        <v>0</v>
      </c>
      <c r="AC157" t="n">
        <v>0</v>
      </c>
      <c r="AD157" t="n">
        <v>100000000</v>
      </c>
      <c r="AE157" t="n">
        <v>0</v>
      </c>
    </row>
    <row r="158">
      <c r="A158" t="inlineStr">
        <is>
          <t>1 - ADMINISTRACIÓN CENTRAL</t>
        </is>
      </c>
      <c r="B158" t="inlineStr">
        <is>
          <t>00 - SIN SECTOR</t>
        </is>
      </c>
      <c r="C158" t="inlineStr">
        <is>
          <t>00</t>
        </is>
      </c>
      <c r="D158" t="inlineStr">
        <is>
          <t>0000</t>
        </is>
      </c>
      <c r="E158" t="inlineStr">
        <is>
          <t>0000000</t>
        </is>
      </c>
      <c r="F158" t="inlineStr">
        <is>
          <t>SIN PRODUCTO</t>
        </is>
      </c>
      <c r="G158" t="inlineStr">
        <is>
          <t>00</t>
        </is>
      </c>
      <c r="H158" t="inlineStr">
        <is>
          <t>SIN CODIGO BPIN</t>
        </is>
      </c>
      <c r="I158" t="inlineStr">
        <is>
          <t>00</t>
        </is>
      </c>
      <c r="J158" t="inlineStr">
        <is>
          <t>SIN PRODUCTO DANE</t>
        </is>
      </c>
      <c r="K158" t="inlineStr">
        <is>
          <t>00</t>
        </is>
      </c>
      <c r="L158" t="inlineStr">
        <is>
          <t>SIN ATRIBUTO</t>
        </is>
      </c>
      <c r="N158" t="inlineStr">
        <is>
          <t>2.1.3.13.01.002</t>
        </is>
      </c>
      <c r="O158" t="inlineStr">
        <is>
          <t>Conciliaciones</t>
        </is>
      </c>
      <c r="P158" t="inlineStr">
        <is>
          <t>1.2.1.0.00</t>
        </is>
      </c>
      <c r="Q158" t="inlineStr">
        <is>
          <t>INGRESOS CORRIENTES DE LIBRE DESTINACION</t>
        </is>
      </c>
      <c r="R158" t="n">
        <v>100000000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100000000</v>
      </c>
      <c r="Z158" t="n">
        <v>0</v>
      </c>
      <c r="AA158" t="n">
        <v>0</v>
      </c>
      <c r="AB158" t="n">
        <v>0</v>
      </c>
      <c r="AC158" t="n">
        <v>0</v>
      </c>
      <c r="AD158" t="n">
        <v>100000000</v>
      </c>
      <c r="AE158" t="n">
        <v>0</v>
      </c>
    </row>
    <row r="159">
      <c r="A159" t="inlineStr">
        <is>
          <t>1 - ADMINISTRACIÓN CENTRAL</t>
        </is>
      </c>
      <c r="B159" t="inlineStr">
        <is>
          <t>00 - SIN SECTOR</t>
        </is>
      </c>
      <c r="C159" t="inlineStr">
        <is>
          <t>00</t>
        </is>
      </c>
      <c r="D159" t="inlineStr">
        <is>
          <t>0000</t>
        </is>
      </c>
      <c r="E159" t="inlineStr">
        <is>
          <t>0000000</t>
        </is>
      </c>
      <c r="F159" t="inlineStr">
        <is>
          <t>SIN PRODUCTO</t>
        </is>
      </c>
      <c r="G159" t="inlineStr">
        <is>
          <t>00</t>
        </is>
      </c>
      <c r="H159" t="inlineStr">
        <is>
          <t>SIN CODIGO BPIN</t>
        </is>
      </c>
      <c r="I159" t="inlineStr">
        <is>
          <t>00</t>
        </is>
      </c>
      <c r="J159" t="inlineStr">
        <is>
          <t>SIN PRODUCTO DANE</t>
        </is>
      </c>
      <c r="K159" t="inlineStr">
        <is>
          <t>00</t>
        </is>
      </c>
      <c r="L159" t="inlineStr">
        <is>
          <t>SIN ATRIBUTO</t>
        </is>
      </c>
      <c r="N159" t="inlineStr">
        <is>
          <t>2.1.4</t>
        </is>
      </c>
      <c r="O159" t="inlineStr">
        <is>
          <t>Transferencias de capital</t>
        </is>
      </c>
      <c r="P159" t="inlineStr">
        <is>
          <t>00</t>
        </is>
      </c>
      <c r="Q159" t="inlineStr">
        <is>
          <t>RECURSO PROPIOS</t>
        </is>
      </c>
      <c r="R159" t="n">
        <v>354000000</v>
      </c>
      <c r="S159" t="n">
        <v>181820899.24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535820899.24</v>
      </c>
      <c r="Z159" t="n">
        <v>258881925</v>
      </c>
      <c r="AA159" t="n">
        <v>258881925</v>
      </c>
      <c r="AB159" t="n">
        <v>258881925</v>
      </c>
      <c r="AC159" t="n">
        <v>258881925</v>
      </c>
      <c r="AD159" t="n">
        <v>276938974.24</v>
      </c>
      <c r="AE159" t="n">
        <v>48.32</v>
      </c>
    </row>
    <row r="160">
      <c r="A160" t="inlineStr">
        <is>
          <t>1 - ADMINISTRACIÓN CENTRAL</t>
        </is>
      </c>
      <c r="B160" t="inlineStr">
        <is>
          <t>00 - SIN SECTOR</t>
        </is>
      </c>
      <c r="C160" t="inlineStr">
        <is>
          <t>00</t>
        </is>
      </c>
      <c r="D160" t="inlineStr">
        <is>
          <t>0000</t>
        </is>
      </c>
      <c r="E160" t="inlineStr">
        <is>
          <t>0000000</t>
        </is>
      </c>
      <c r="F160" t="inlineStr">
        <is>
          <t>SIN PRODUCTO</t>
        </is>
      </c>
      <c r="G160" t="inlineStr">
        <is>
          <t>00</t>
        </is>
      </c>
      <c r="H160" t="inlineStr">
        <is>
          <t>SIN CODIGO BPIN</t>
        </is>
      </c>
      <c r="I160" t="inlineStr">
        <is>
          <t>00</t>
        </is>
      </c>
      <c r="J160" t="inlineStr">
        <is>
          <t>SIN PRODUCTO DANE</t>
        </is>
      </c>
      <c r="K160" t="inlineStr">
        <is>
          <t>00</t>
        </is>
      </c>
      <c r="L160" t="inlineStr">
        <is>
          <t>SIN ATRIBUTO</t>
        </is>
      </c>
      <c r="N160" t="inlineStr">
        <is>
          <t>2.1.4.02</t>
        </is>
      </c>
      <c r="O160" t="inlineStr">
        <is>
          <t>Entidades del gobierno general</t>
        </is>
      </c>
      <c r="P160" t="inlineStr">
        <is>
          <t>00</t>
        </is>
      </c>
      <c r="Q160" t="inlineStr">
        <is>
          <t>RECURSO PROPIOS</t>
        </is>
      </c>
      <c r="R160" t="n">
        <v>354000000</v>
      </c>
      <c r="S160" t="n">
        <v>181820899.24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535820899.24</v>
      </c>
      <c r="Z160" t="n">
        <v>258881925</v>
      </c>
      <c r="AA160" t="n">
        <v>258881925</v>
      </c>
      <c r="AB160" t="n">
        <v>258881925</v>
      </c>
      <c r="AC160" t="n">
        <v>258881925</v>
      </c>
      <c r="AD160" t="n">
        <v>276938974.24</v>
      </c>
      <c r="AE160" t="n">
        <v>48.32</v>
      </c>
    </row>
    <row r="161">
      <c r="A161" t="inlineStr">
        <is>
          <t>1 - ADMINISTRACIÓN CENTRAL</t>
        </is>
      </c>
      <c r="B161" t="inlineStr">
        <is>
          <t>00 - SIN SECTOR</t>
        </is>
      </c>
      <c r="C161" t="inlineStr">
        <is>
          <t>00</t>
        </is>
      </c>
      <c r="D161" t="inlineStr">
        <is>
          <t>0000</t>
        </is>
      </c>
      <c r="E161" t="inlineStr">
        <is>
          <t>0000000</t>
        </is>
      </c>
      <c r="F161" t="inlineStr">
        <is>
          <t>SIN PRODUCTO</t>
        </is>
      </c>
      <c r="G161" t="inlineStr">
        <is>
          <t>00</t>
        </is>
      </c>
      <c r="H161" t="inlineStr">
        <is>
          <t>SIN CODIGO BPIN</t>
        </is>
      </c>
      <c r="I161" t="inlineStr">
        <is>
          <t>00</t>
        </is>
      </c>
      <c r="J161" t="inlineStr">
        <is>
          <t>SIN PRODUCTO DANE</t>
        </is>
      </c>
      <c r="K161" t="inlineStr">
        <is>
          <t>00</t>
        </is>
      </c>
      <c r="L161" t="inlineStr">
        <is>
          <t>SIN ATRIBUTO</t>
        </is>
      </c>
      <c r="N161" t="inlineStr">
        <is>
          <t>2.1.4.02.03</t>
        </is>
      </c>
      <c r="O161" t="inlineStr">
        <is>
          <t>Esquemas asociativos</t>
        </is>
      </c>
      <c r="P161" t="inlineStr">
        <is>
          <t>1.2.1.0.00</t>
        </is>
      </c>
      <c r="Q161" t="inlineStr">
        <is>
          <t>INGRESOS CORRIENTES DE LIBRE DESTINACION</t>
        </is>
      </c>
      <c r="R161" t="n">
        <v>354000000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354000000</v>
      </c>
      <c r="Z161" t="n">
        <v>258881925</v>
      </c>
      <c r="AA161" t="n">
        <v>258881925</v>
      </c>
      <c r="AB161" t="n">
        <v>258881925</v>
      </c>
      <c r="AC161" t="n">
        <v>258881925</v>
      </c>
      <c r="AD161" t="n">
        <v>95118075</v>
      </c>
      <c r="AE161" t="n">
        <v>73.13</v>
      </c>
    </row>
    <row r="162">
      <c r="A162" t="inlineStr">
        <is>
          <t>1 - ADMINISTRACIÓN CENTRAL</t>
        </is>
      </c>
      <c r="B162" t="inlineStr">
        <is>
          <t>00 - SIN SECTOR</t>
        </is>
      </c>
      <c r="C162" t="inlineStr">
        <is>
          <t>00</t>
        </is>
      </c>
      <c r="D162" t="inlineStr">
        <is>
          <t>0000</t>
        </is>
      </c>
      <c r="E162" t="inlineStr">
        <is>
          <t>000000</t>
        </is>
      </c>
      <c r="F162" t="inlineStr">
        <is>
          <t>SIN PRODUCTO</t>
        </is>
      </c>
      <c r="G162" t="inlineStr">
        <is>
          <t>00</t>
        </is>
      </c>
      <c r="H162" t="inlineStr">
        <is>
          <t>SIN CODIGO BPIN</t>
        </is>
      </c>
      <c r="I162" t="inlineStr">
        <is>
          <t>00</t>
        </is>
      </c>
      <c r="J162" t="inlineStr">
        <is>
          <t>SIN PRODUCTO DANE</t>
        </is>
      </c>
      <c r="K162" t="inlineStr">
        <is>
          <t>00</t>
        </is>
      </c>
      <c r="L162" t="inlineStr">
        <is>
          <t>SIN ATRIBUTO</t>
        </is>
      </c>
      <c r="N162" t="inlineStr">
        <is>
          <t>2.1.4.02.04</t>
        </is>
      </c>
      <c r="O162" t="inlineStr">
        <is>
          <t>Entidades del gobierno general</t>
        </is>
      </c>
      <c r="P162" t="inlineStr">
        <is>
          <t>00</t>
        </is>
      </c>
      <c r="Q162" t="inlineStr">
        <is>
          <t>RECURSO PROPIOS</t>
        </is>
      </c>
      <c r="R162" t="n">
        <v>0</v>
      </c>
      <c r="S162" t="n">
        <v>181820899.24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181820899.24</v>
      </c>
      <c r="Z162" t="n">
        <v>0</v>
      </c>
      <c r="AA162" t="n">
        <v>0</v>
      </c>
      <c r="AB162" t="n">
        <v>0</v>
      </c>
      <c r="AC162" t="n">
        <v>0</v>
      </c>
      <c r="AD162" t="n">
        <v>181820899.24</v>
      </c>
      <c r="AE162" t="n">
        <v>0</v>
      </c>
    </row>
    <row r="163">
      <c r="A163" t="inlineStr">
        <is>
          <t>1 - ADMINISTRACIÓN CENTRAL</t>
        </is>
      </c>
      <c r="B163" t="inlineStr">
        <is>
          <t>00 - SIN SECTOR</t>
        </is>
      </c>
      <c r="C163" t="inlineStr">
        <is>
          <t>00</t>
        </is>
      </c>
      <c r="D163" t="inlineStr">
        <is>
          <t>0000</t>
        </is>
      </c>
      <c r="E163" t="inlineStr">
        <is>
          <t>000000</t>
        </is>
      </c>
      <c r="F163" t="inlineStr">
        <is>
          <t>SIN PRODUCTO</t>
        </is>
      </c>
      <c r="G163" t="inlineStr">
        <is>
          <t>00</t>
        </is>
      </c>
      <c r="H163" t="inlineStr">
        <is>
          <t>SIN CODIGO BPIN</t>
        </is>
      </c>
      <c r="I163" t="inlineStr">
        <is>
          <t>00</t>
        </is>
      </c>
      <c r="J163" t="inlineStr">
        <is>
          <t>SIN PRODUCTO DANE</t>
        </is>
      </c>
      <c r="K163" t="inlineStr">
        <is>
          <t>00</t>
        </is>
      </c>
      <c r="L163" t="inlineStr">
        <is>
          <t>SIN ATRIBUTO</t>
        </is>
      </c>
      <c r="N163" t="inlineStr">
        <is>
          <t>2.1.4.02.04.01</t>
        </is>
      </c>
      <c r="O163" t="inlineStr">
        <is>
          <t>Entidades del gobierno general R.B. convenio 017 de 2025 fondo rotatorio del ministerio de relaciones exteriores</t>
        </is>
      </c>
      <c r="P163" t="inlineStr">
        <is>
          <t>1.3.3.11.08</t>
        </is>
      </c>
      <c r="Q163" t="inlineStr">
        <is>
          <t>R.B. OTRAS TRANSFERENCIAS DE CAPITAL</t>
        </is>
      </c>
      <c r="R163" t="n">
        <v>0</v>
      </c>
      <c r="S163" t="n">
        <v>181820899.24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181820899.24</v>
      </c>
      <c r="Z163" t="n">
        <v>0</v>
      </c>
      <c r="AA163" t="n">
        <v>0</v>
      </c>
      <c r="AB163" t="n">
        <v>0</v>
      </c>
      <c r="AC163" t="n">
        <v>0</v>
      </c>
      <c r="AD163" t="n">
        <v>181820899.24</v>
      </c>
      <c r="AE163" t="n">
        <v>0</v>
      </c>
    </row>
    <row r="164">
      <c r="A164" t="inlineStr">
        <is>
          <t>1 - ADMINISTRACIÓN CENTRAL</t>
        </is>
      </c>
      <c r="B164" t="inlineStr">
        <is>
          <t>00 - SIN SECTOR</t>
        </is>
      </c>
      <c r="C164" t="inlineStr">
        <is>
          <t>00</t>
        </is>
      </c>
      <c r="D164" t="inlineStr">
        <is>
          <t>0000</t>
        </is>
      </c>
      <c r="E164" t="inlineStr">
        <is>
          <t>000000</t>
        </is>
      </c>
      <c r="F164" t="inlineStr">
        <is>
          <t>SIN PRODUCTO</t>
        </is>
      </c>
      <c r="G164" t="inlineStr">
        <is>
          <t>00</t>
        </is>
      </c>
      <c r="H164" t="inlineStr">
        <is>
          <t>SIN CODIGO BPIN</t>
        </is>
      </c>
      <c r="I164" t="inlineStr">
        <is>
          <t>00</t>
        </is>
      </c>
      <c r="J164" t="inlineStr">
        <is>
          <t>SIN PRODUCTO DANE</t>
        </is>
      </c>
      <c r="K164" t="inlineStr">
        <is>
          <t>00</t>
        </is>
      </c>
      <c r="L164" t="inlineStr">
        <is>
          <t>SIN ATRIBUTO</t>
        </is>
      </c>
      <c r="N164" t="inlineStr">
        <is>
          <t>2.1.6</t>
        </is>
      </c>
      <c r="O164" t="inlineStr">
        <is>
          <t>Adquisición de activos financieros</t>
        </is>
      </c>
      <c r="P164" t="inlineStr">
        <is>
          <t>00</t>
        </is>
      </c>
      <c r="Q164" t="inlineStr">
        <is>
          <t>RECURSO PROPIOS</t>
        </is>
      </c>
      <c r="R164" t="n">
        <v>0</v>
      </c>
      <c r="S164" t="n">
        <v>0</v>
      </c>
      <c r="T164" t="n">
        <v>0</v>
      </c>
      <c r="U164" t="n">
        <v>82000000</v>
      </c>
      <c r="V164" t="n">
        <v>0</v>
      </c>
      <c r="W164" t="n">
        <v>0</v>
      </c>
      <c r="X164" t="n">
        <v>0</v>
      </c>
      <c r="Y164" t="n">
        <v>82000000</v>
      </c>
      <c r="Z164" t="n">
        <v>82000000</v>
      </c>
      <c r="AA164" t="n">
        <v>82000000</v>
      </c>
      <c r="AB164" t="n">
        <v>82000000</v>
      </c>
      <c r="AC164" t="n">
        <v>82000000</v>
      </c>
      <c r="AD164" t="n">
        <v>0</v>
      </c>
      <c r="AE164" t="n">
        <v>100</v>
      </c>
    </row>
    <row r="165">
      <c r="A165" t="inlineStr">
        <is>
          <t>1 - ADMINISTRACIÓN CENTRAL</t>
        </is>
      </c>
      <c r="B165" t="inlineStr">
        <is>
          <t>00 - SIN SECTOR</t>
        </is>
      </c>
      <c r="C165" t="inlineStr">
        <is>
          <t>00</t>
        </is>
      </c>
      <c r="D165" t="inlineStr">
        <is>
          <t>0000</t>
        </is>
      </c>
      <c r="E165" t="inlineStr">
        <is>
          <t>000000</t>
        </is>
      </c>
      <c r="F165" t="inlineStr">
        <is>
          <t>SIN PRODUCTO</t>
        </is>
      </c>
      <c r="G165" t="inlineStr">
        <is>
          <t>00</t>
        </is>
      </c>
      <c r="H165" t="inlineStr">
        <is>
          <t>SIN CODIGO BPIN</t>
        </is>
      </c>
      <c r="I165" t="inlineStr">
        <is>
          <t>00</t>
        </is>
      </c>
      <c r="J165" t="inlineStr">
        <is>
          <t>SIN PRODUCTO DANE</t>
        </is>
      </c>
      <c r="K165" t="inlineStr">
        <is>
          <t>00</t>
        </is>
      </c>
      <c r="L165" t="inlineStr">
        <is>
          <t>SIN ATRIBUTO</t>
        </is>
      </c>
      <c r="N165" t="inlineStr">
        <is>
          <t>2.1.6.02</t>
        </is>
      </c>
      <c r="O165" t="inlineStr">
        <is>
          <t>Adquisición de acciones</t>
        </is>
      </c>
      <c r="P165" t="inlineStr">
        <is>
          <t>00</t>
        </is>
      </c>
      <c r="Q165" t="inlineStr">
        <is>
          <t>RECURSO PROPIOS</t>
        </is>
      </c>
      <c r="R165" t="n">
        <v>0</v>
      </c>
      <c r="S165" t="n">
        <v>0</v>
      </c>
      <c r="T165" t="n">
        <v>0</v>
      </c>
      <c r="U165" t="n">
        <v>82000000</v>
      </c>
      <c r="V165" t="n">
        <v>0</v>
      </c>
      <c r="W165" t="n">
        <v>0</v>
      </c>
      <c r="X165" t="n">
        <v>0</v>
      </c>
      <c r="Y165" t="n">
        <v>82000000</v>
      </c>
      <c r="Z165" t="n">
        <v>82000000</v>
      </c>
      <c r="AA165" t="n">
        <v>82000000</v>
      </c>
      <c r="AB165" t="n">
        <v>82000000</v>
      </c>
      <c r="AC165" t="n">
        <v>82000000</v>
      </c>
      <c r="AD165" t="n">
        <v>0</v>
      </c>
      <c r="AE165" t="n">
        <v>100</v>
      </c>
    </row>
    <row r="166">
      <c r="A166" t="inlineStr">
        <is>
          <t>1 - ADMINISTRACIÓN CENTRAL</t>
        </is>
      </c>
      <c r="B166" t="inlineStr">
        <is>
          <t>00 - SIN SECTOR</t>
        </is>
      </c>
      <c r="C166" t="inlineStr">
        <is>
          <t>00</t>
        </is>
      </c>
      <c r="D166" t="inlineStr">
        <is>
          <t>0000</t>
        </is>
      </c>
      <c r="E166" t="inlineStr">
        <is>
          <t>000000</t>
        </is>
      </c>
      <c r="F166" t="inlineStr">
        <is>
          <t>SIN PRODUCTO</t>
        </is>
      </c>
      <c r="G166" t="inlineStr">
        <is>
          <t>00</t>
        </is>
      </c>
      <c r="H166" t="inlineStr">
        <is>
          <t>SIN CODIGO BPIN</t>
        </is>
      </c>
      <c r="I166" t="inlineStr">
        <is>
          <t>00</t>
        </is>
      </c>
      <c r="J166" t="inlineStr">
        <is>
          <t>SIN PRODUCTO DANE</t>
        </is>
      </c>
      <c r="K166" t="inlineStr">
        <is>
          <t>00</t>
        </is>
      </c>
      <c r="L166" t="inlineStr">
        <is>
          <t>SIN ATRIBUTO</t>
        </is>
      </c>
      <c r="N166" t="inlineStr">
        <is>
          <t>2.1.6.02.03</t>
        </is>
      </c>
      <c r="O166" t="inlineStr">
        <is>
          <t>De empresas públicas no financieras</t>
        </is>
      </c>
      <c r="P166" t="inlineStr">
        <is>
          <t>1.2.1.0.00</t>
        </is>
      </c>
      <c r="Q166" t="inlineStr">
        <is>
          <t>INGRESOS CORRIENTES DE LIBRE DESTINACION</t>
        </is>
      </c>
      <c r="R166" t="n">
        <v>0</v>
      </c>
      <c r="S166" t="n">
        <v>0</v>
      </c>
      <c r="T166" t="n">
        <v>0</v>
      </c>
      <c r="U166" t="n">
        <v>82000000</v>
      </c>
      <c r="V166" t="n">
        <v>0</v>
      </c>
      <c r="W166" t="n">
        <v>0</v>
      </c>
      <c r="X166" t="n">
        <v>0</v>
      </c>
      <c r="Y166" t="n">
        <v>82000000</v>
      </c>
      <c r="Z166" t="n">
        <v>82000000</v>
      </c>
      <c r="AA166" t="n">
        <v>82000000</v>
      </c>
      <c r="AB166" t="n">
        <v>82000000</v>
      </c>
      <c r="AC166" t="n">
        <v>82000000</v>
      </c>
      <c r="AD166" t="n">
        <v>0</v>
      </c>
      <c r="AE166" t="n">
        <v>100</v>
      </c>
    </row>
    <row r="167">
      <c r="A167" t="inlineStr">
        <is>
          <t>1 - ADMINISTRACIÓN CENTRAL</t>
        </is>
      </c>
      <c r="B167" t="inlineStr">
        <is>
          <t>00 - SIN SECTOR</t>
        </is>
      </c>
      <c r="C167" t="inlineStr">
        <is>
          <t>00</t>
        </is>
      </c>
      <c r="D167" t="inlineStr">
        <is>
          <t>0000</t>
        </is>
      </c>
      <c r="E167" t="inlineStr">
        <is>
          <t>0000000</t>
        </is>
      </c>
      <c r="F167" t="inlineStr">
        <is>
          <t>SIN PRODUCTO</t>
        </is>
      </c>
      <c r="G167" t="inlineStr">
        <is>
          <t>00</t>
        </is>
      </c>
      <c r="H167" t="inlineStr">
        <is>
          <t>SIN CODIGO BPIN</t>
        </is>
      </c>
      <c r="I167" t="inlineStr">
        <is>
          <t>00</t>
        </is>
      </c>
      <c r="J167" t="inlineStr">
        <is>
          <t>SIN PRODUCTO DANE</t>
        </is>
      </c>
      <c r="K167" t="inlineStr">
        <is>
          <t>00</t>
        </is>
      </c>
      <c r="L167" t="inlineStr">
        <is>
          <t>SIN ATRIBUTO</t>
        </is>
      </c>
      <c r="N167" t="inlineStr">
        <is>
          <t>2.1.7</t>
        </is>
      </c>
      <c r="O167" t="inlineStr">
        <is>
          <t>Disminucion de pasivos</t>
        </is>
      </c>
      <c r="P167" t="inlineStr">
        <is>
          <t>00</t>
        </is>
      </c>
      <c r="Q167" t="inlineStr">
        <is>
          <t>RECURSO PROPIOS</t>
        </is>
      </c>
      <c r="R167" t="n">
        <v>600000000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600000000</v>
      </c>
      <c r="Z167" t="n">
        <v>24961350</v>
      </c>
      <c r="AA167" t="n">
        <v>24961350</v>
      </c>
      <c r="AB167" t="n">
        <v>24961350</v>
      </c>
      <c r="AC167" t="n">
        <v>24961350</v>
      </c>
      <c r="AD167" t="n">
        <v>575038650</v>
      </c>
      <c r="AE167" t="n">
        <v>4.16</v>
      </c>
    </row>
    <row r="168">
      <c r="A168" t="inlineStr">
        <is>
          <t>1 - ADMINISTRACIÓN CENTRAL</t>
        </is>
      </c>
      <c r="B168" t="inlineStr">
        <is>
          <t>00 - SIN SECTOR</t>
        </is>
      </c>
      <c r="C168" t="inlineStr">
        <is>
          <t>00</t>
        </is>
      </c>
      <c r="D168" t="inlineStr">
        <is>
          <t>0000</t>
        </is>
      </c>
      <c r="E168" t="inlineStr">
        <is>
          <t>0000000</t>
        </is>
      </c>
      <c r="F168" t="inlineStr">
        <is>
          <t>SIN PRODUCTO</t>
        </is>
      </c>
      <c r="G168" t="inlineStr">
        <is>
          <t>00</t>
        </is>
      </c>
      <c r="H168" t="inlineStr">
        <is>
          <t>SIN CODIGO BPIN</t>
        </is>
      </c>
      <c r="I168" t="inlineStr">
        <is>
          <t>00</t>
        </is>
      </c>
      <c r="J168" t="inlineStr">
        <is>
          <t>SIN PRODUCTO DANE</t>
        </is>
      </c>
      <c r="K168" t="inlineStr">
        <is>
          <t>00</t>
        </is>
      </c>
      <c r="L168" t="inlineStr">
        <is>
          <t>SIN ATRIBUTO</t>
        </is>
      </c>
      <c r="N168" t="inlineStr">
        <is>
          <t>2.1.7.06</t>
        </is>
      </c>
      <c r="O168" t="inlineStr">
        <is>
          <t>Financiacion de deficit fiscal</t>
        </is>
      </c>
      <c r="P168" t="inlineStr">
        <is>
          <t>00</t>
        </is>
      </c>
      <c r="Q168" t="inlineStr">
        <is>
          <t>RECURSO PROPIOS</t>
        </is>
      </c>
      <c r="R168" t="n">
        <v>600000000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600000000</v>
      </c>
      <c r="Z168" t="n">
        <v>24961350</v>
      </c>
      <c r="AA168" t="n">
        <v>24961350</v>
      </c>
      <c r="AB168" t="n">
        <v>24961350</v>
      </c>
      <c r="AC168" t="n">
        <v>24961350</v>
      </c>
      <c r="AD168" t="n">
        <v>575038650</v>
      </c>
      <c r="AE168" t="n">
        <v>4.16</v>
      </c>
    </row>
    <row r="169">
      <c r="A169" t="inlineStr">
        <is>
          <t>1 - ADMINISTRACIÓN CENTRAL</t>
        </is>
      </c>
      <c r="B169" t="inlineStr">
        <is>
          <t>00 - SIN SECTOR</t>
        </is>
      </c>
      <c r="C169" t="inlineStr">
        <is>
          <t>00</t>
        </is>
      </c>
      <c r="D169" t="inlineStr">
        <is>
          <t>0000</t>
        </is>
      </c>
      <c r="E169" t="inlineStr">
        <is>
          <t>0000000</t>
        </is>
      </c>
      <c r="F169" t="inlineStr">
        <is>
          <t>SIN PRODUCTO</t>
        </is>
      </c>
      <c r="G169" t="inlineStr">
        <is>
          <t>00</t>
        </is>
      </c>
      <c r="H169" t="inlineStr">
        <is>
          <t>SIN CODIGO BPIN</t>
        </is>
      </c>
      <c r="I169" t="inlineStr">
        <is>
          <t>00</t>
        </is>
      </c>
      <c r="J169" t="inlineStr">
        <is>
          <t>SIN PRODUCTO DANE</t>
        </is>
      </c>
      <c r="K169" t="inlineStr">
        <is>
          <t>00</t>
        </is>
      </c>
      <c r="L169" t="inlineStr">
        <is>
          <t>SIN ATRIBUTO</t>
        </is>
      </c>
      <c r="N169" t="inlineStr">
        <is>
          <t>2.1.7.06.01</t>
        </is>
      </c>
      <c r="O169" t="inlineStr">
        <is>
          <t>Gastos de personal</t>
        </is>
      </c>
      <c r="P169" t="inlineStr">
        <is>
          <t>1.2.1.0.00</t>
        </is>
      </c>
      <c r="Q169" t="inlineStr">
        <is>
          <t>INGRESOS CORRIENTES DE LIBRE DESTINACION</t>
        </is>
      </c>
      <c r="R169" t="n">
        <v>200000000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200000000</v>
      </c>
      <c r="Z169" t="n">
        <v>24961350</v>
      </c>
      <c r="AA169" t="n">
        <v>24961350</v>
      </c>
      <c r="AB169" t="n">
        <v>24961350</v>
      </c>
      <c r="AC169" t="n">
        <v>24961350</v>
      </c>
      <c r="AD169" t="n">
        <v>175038650</v>
      </c>
      <c r="AE169" t="n">
        <v>12.48</v>
      </c>
    </row>
    <row r="170">
      <c r="A170" t="inlineStr">
        <is>
          <t>1 - ADMINISTRACIÓN CENTRAL</t>
        </is>
      </c>
      <c r="B170" t="inlineStr">
        <is>
          <t>00 - SIN SECTOR</t>
        </is>
      </c>
      <c r="C170" t="inlineStr">
        <is>
          <t>00</t>
        </is>
      </c>
      <c r="D170" t="inlineStr">
        <is>
          <t>0000</t>
        </is>
      </c>
      <c r="E170" t="inlineStr">
        <is>
          <t>0000000</t>
        </is>
      </c>
      <c r="F170" t="inlineStr">
        <is>
          <t>SIN PRODUCTO</t>
        </is>
      </c>
      <c r="G170" t="inlineStr">
        <is>
          <t>00</t>
        </is>
      </c>
      <c r="H170" t="inlineStr">
        <is>
          <t>SIN CODIGO BPIN</t>
        </is>
      </c>
      <c r="I170" t="inlineStr">
        <is>
          <t>00</t>
        </is>
      </c>
      <c r="J170" t="inlineStr">
        <is>
          <t>SIN PRODUCTO DANE</t>
        </is>
      </c>
      <c r="K170" t="inlineStr">
        <is>
          <t>00</t>
        </is>
      </c>
      <c r="L170" t="inlineStr">
        <is>
          <t>SIN ATRIBUTO</t>
        </is>
      </c>
      <c r="N170" t="inlineStr">
        <is>
          <t>2.1.7.06.02</t>
        </is>
      </c>
      <c r="O170" t="inlineStr">
        <is>
          <t>Adquisicion de bienes y servicios</t>
        </is>
      </c>
      <c r="P170" t="inlineStr">
        <is>
          <t>1.2.1.0.00</t>
        </is>
      </c>
      <c r="Q170" t="inlineStr">
        <is>
          <t>INGRESOS CORRIENTES DE LIBRE DESTINACION</t>
        </is>
      </c>
      <c r="R170" t="n">
        <v>300000000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300000000</v>
      </c>
      <c r="Z170" t="n">
        <v>0</v>
      </c>
      <c r="AA170" t="n">
        <v>0</v>
      </c>
      <c r="AB170" t="n">
        <v>0</v>
      </c>
      <c r="AC170" t="n">
        <v>0</v>
      </c>
      <c r="AD170" t="n">
        <v>300000000</v>
      </c>
      <c r="AE170" t="n">
        <v>0</v>
      </c>
    </row>
    <row r="171">
      <c r="A171" t="inlineStr">
        <is>
          <t>1 - ADMINISTRACIÓN CENTRAL</t>
        </is>
      </c>
      <c r="B171" t="inlineStr">
        <is>
          <t>00 - SIN SECTOR</t>
        </is>
      </c>
      <c r="C171" t="inlineStr">
        <is>
          <t>00</t>
        </is>
      </c>
      <c r="D171" t="inlineStr">
        <is>
          <t>0000</t>
        </is>
      </c>
      <c r="E171" t="inlineStr">
        <is>
          <t>0000000</t>
        </is>
      </c>
      <c r="F171" t="inlineStr">
        <is>
          <t>SIN PRODUCTO</t>
        </is>
      </c>
      <c r="G171" t="inlineStr">
        <is>
          <t>00</t>
        </is>
      </c>
      <c r="H171" t="inlineStr">
        <is>
          <t>SIN CODIGO BPIN</t>
        </is>
      </c>
      <c r="I171" t="inlineStr">
        <is>
          <t>00</t>
        </is>
      </c>
      <c r="J171" t="inlineStr">
        <is>
          <t>SIN PRODUCTO DANE</t>
        </is>
      </c>
      <c r="K171" t="inlineStr">
        <is>
          <t>00</t>
        </is>
      </c>
      <c r="L171" t="inlineStr">
        <is>
          <t>SIN ATRIBUTO</t>
        </is>
      </c>
      <c r="N171" t="inlineStr">
        <is>
          <t>2.1.7.06.03</t>
        </is>
      </c>
      <c r="O171" t="inlineStr">
        <is>
          <t>Transferencias corrientes</t>
        </is>
      </c>
      <c r="P171" t="inlineStr">
        <is>
          <t>1.2.1.0.00</t>
        </is>
      </c>
      <c r="Q171" t="inlineStr">
        <is>
          <t>INGRESOS CORRIENTES DE LIBRE DESTINACION</t>
        </is>
      </c>
      <c r="R171" t="n">
        <v>50000000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50000000</v>
      </c>
      <c r="Z171" t="n">
        <v>0</v>
      </c>
      <c r="AA171" t="n">
        <v>0</v>
      </c>
      <c r="AB171" t="n">
        <v>0</v>
      </c>
      <c r="AC171" t="n">
        <v>0</v>
      </c>
      <c r="AD171" t="n">
        <v>50000000</v>
      </c>
      <c r="AE171" t="n">
        <v>0</v>
      </c>
    </row>
    <row r="172">
      <c r="A172" t="inlineStr">
        <is>
          <t>1 - ADMINISTRACIÓN CENTRAL</t>
        </is>
      </c>
      <c r="B172" t="inlineStr">
        <is>
          <t>00 - SIN SECTOR</t>
        </is>
      </c>
      <c r="C172" t="inlineStr">
        <is>
          <t>00</t>
        </is>
      </c>
      <c r="D172" t="inlineStr">
        <is>
          <t>0000</t>
        </is>
      </c>
      <c r="E172" t="inlineStr">
        <is>
          <t>0000000</t>
        </is>
      </c>
      <c r="F172" t="inlineStr">
        <is>
          <t>SIN PRODUCTO</t>
        </is>
      </c>
      <c r="G172" t="inlineStr">
        <is>
          <t>00</t>
        </is>
      </c>
      <c r="H172" t="inlineStr">
        <is>
          <t>SIN CODIGO BPIN</t>
        </is>
      </c>
      <c r="I172" t="inlineStr">
        <is>
          <t>00</t>
        </is>
      </c>
      <c r="J172" t="inlineStr">
        <is>
          <t>SIN PRODUCTO DANE</t>
        </is>
      </c>
      <c r="K172" t="inlineStr">
        <is>
          <t>00</t>
        </is>
      </c>
      <c r="L172" t="inlineStr">
        <is>
          <t>SIN ATRIBUTO</t>
        </is>
      </c>
      <c r="N172" t="inlineStr">
        <is>
          <t>2.1.7.06.04</t>
        </is>
      </c>
      <c r="O172" t="inlineStr">
        <is>
          <t>Transferencias de capital</t>
        </is>
      </c>
      <c r="P172" t="inlineStr">
        <is>
          <t>1.2.1.0.00</t>
        </is>
      </c>
      <c r="Q172" t="inlineStr">
        <is>
          <t>INGRESOS CORRIENTES DE LIBRE DESTINACION</t>
        </is>
      </c>
      <c r="R172" t="n">
        <v>50000000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50000000</v>
      </c>
      <c r="Z172" t="n">
        <v>0</v>
      </c>
      <c r="AA172" t="n">
        <v>0</v>
      </c>
      <c r="AB172" t="n">
        <v>0</v>
      </c>
      <c r="AC172" t="n">
        <v>0</v>
      </c>
      <c r="AD172" t="n">
        <v>50000000</v>
      </c>
      <c r="AE172" t="n">
        <v>0</v>
      </c>
    </row>
    <row r="173">
      <c r="A173" t="inlineStr">
        <is>
          <t>1 - ADMINISTRACIÓN CENTRAL</t>
        </is>
      </c>
      <c r="B173" t="inlineStr">
        <is>
          <t>00 - SIN SECTOR</t>
        </is>
      </c>
      <c r="C173" t="inlineStr">
        <is>
          <t>00</t>
        </is>
      </c>
      <c r="D173" t="inlineStr">
        <is>
          <t>0000</t>
        </is>
      </c>
      <c r="E173" t="inlineStr">
        <is>
          <t>0000000</t>
        </is>
      </c>
      <c r="F173" t="inlineStr">
        <is>
          <t>SIN PRODUCTO</t>
        </is>
      </c>
      <c r="G173" t="inlineStr">
        <is>
          <t>00</t>
        </is>
      </c>
      <c r="H173" t="inlineStr">
        <is>
          <t>SIN CODIGO BPIN</t>
        </is>
      </c>
      <c r="I173" t="inlineStr">
        <is>
          <t>00</t>
        </is>
      </c>
      <c r="J173" t="inlineStr">
        <is>
          <t>SIN PRODUCTO DANE</t>
        </is>
      </c>
      <c r="K173" t="inlineStr">
        <is>
          <t>00</t>
        </is>
      </c>
      <c r="L173" t="inlineStr">
        <is>
          <t>SIN ATRIBUTO</t>
        </is>
      </c>
      <c r="N173" t="inlineStr">
        <is>
          <t>2.1.8</t>
        </is>
      </c>
      <c r="O173" t="inlineStr">
        <is>
          <t>Gastos por tributos, tasas, contribuciones, multas, sanciones e intereses de mora</t>
        </is>
      </c>
      <c r="P173" t="inlineStr">
        <is>
          <t>00</t>
        </is>
      </c>
      <c r="Q173" t="inlineStr">
        <is>
          <t>RECURSO PROPIOS</t>
        </is>
      </c>
      <c r="R173" t="n">
        <v>40000000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40000000</v>
      </c>
      <c r="Z173" t="n">
        <v>0</v>
      </c>
      <c r="AA173" t="n">
        <v>0</v>
      </c>
      <c r="AB173" t="n">
        <v>0</v>
      </c>
      <c r="AC173" t="n">
        <v>0</v>
      </c>
      <c r="AD173" t="n">
        <v>40000000</v>
      </c>
      <c r="AE173" t="n">
        <v>0</v>
      </c>
    </row>
    <row r="174">
      <c r="A174" t="inlineStr">
        <is>
          <t>1 - ADMINISTRACIÓN CENTRAL</t>
        </is>
      </c>
      <c r="B174" t="inlineStr">
        <is>
          <t>00 - SIN SECTOR</t>
        </is>
      </c>
      <c r="C174" t="inlineStr">
        <is>
          <t>00</t>
        </is>
      </c>
      <c r="D174" t="inlineStr">
        <is>
          <t>0000</t>
        </is>
      </c>
      <c r="E174" t="inlineStr">
        <is>
          <t>0000000</t>
        </is>
      </c>
      <c r="F174" t="inlineStr">
        <is>
          <t>SIN PRODUCTO</t>
        </is>
      </c>
      <c r="G174" t="inlineStr">
        <is>
          <t>00</t>
        </is>
      </c>
      <c r="H174" t="inlineStr">
        <is>
          <t>SIN CODIGO BPIN</t>
        </is>
      </c>
      <c r="I174" t="inlineStr">
        <is>
          <t>00</t>
        </is>
      </c>
      <c r="J174" t="inlineStr">
        <is>
          <t>SIN PRODUCTO DANE</t>
        </is>
      </c>
      <c r="K174" t="inlineStr">
        <is>
          <t>00</t>
        </is>
      </c>
      <c r="L174" t="inlineStr">
        <is>
          <t>SIN ATRIBUTO</t>
        </is>
      </c>
      <c r="N174" t="inlineStr">
        <is>
          <t>2.1.8.05</t>
        </is>
      </c>
      <c r="O174" t="inlineStr">
        <is>
          <t>Multas, sanciones e intereses de mora</t>
        </is>
      </c>
      <c r="P174" t="inlineStr">
        <is>
          <t>00</t>
        </is>
      </c>
      <c r="Q174" t="inlineStr">
        <is>
          <t>RECURSO PROPIOS</t>
        </is>
      </c>
      <c r="R174" t="n">
        <v>40000000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40000000</v>
      </c>
      <c r="Z174" t="n">
        <v>0</v>
      </c>
      <c r="AA174" t="n">
        <v>0</v>
      </c>
      <c r="AB174" t="n">
        <v>0</v>
      </c>
      <c r="AC174" t="n">
        <v>0</v>
      </c>
      <c r="AD174" t="n">
        <v>40000000</v>
      </c>
      <c r="AE174" t="n">
        <v>0</v>
      </c>
    </row>
    <row r="175">
      <c r="A175" t="inlineStr">
        <is>
          <t>1 - ADMINISTRACIÓN CENTRAL</t>
        </is>
      </c>
      <c r="B175" t="inlineStr">
        <is>
          <t>00 - SIN SECTOR</t>
        </is>
      </c>
      <c r="C175" t="inlineStr">
        <is>
          <t>00</t>
        </is>
      </c>
      <c r="D175" t="inlineStr">
        <is>
          <t>0000</t>
        </is>
      </c>
      <c r="E175" t="inlineStr">
        <is>
          <t>0000000</t>
        </is>
      </c>
      <c r="F175" t="inlineStr">
        <is>
          <t>SIN PRODUCTO</t>
        </is>
      </c>
      <c r="G175" t="inlineStr">
        <is>
          <t>00</t>
        </is>
      </c>
      <c r="H175" t="inlineStr">
        <is>
          <t>SIN CODIGO BPIN</t>
        </is>
      </c>
      <c r="I175" t="inlineStr">
        <is>
          <t>00</t>
        </is>
      </c>
      <c r="J175" t="inlineStr">
        <is>
          <t>SIN PRODUCTO DANE</t>
        </is>
      </c>
      <c r="K175" t="inlineStr">
        <is>
          <t>00</t>
        </is>
      </c>
      <c r="L175" t="inlineStr">
        <is>
          <t>SIN ATRIBUTO</t>
        </is>
      </c>
      <c r="N175" t="inlineStr">
        <is>
          <t>2.1.8.05.01</t>
        </is>
      </c>
      <c r="O175" t="inlineStr">
        <is>
          <t>Multas y sanciones</t>
        </is>
      </c>
      <c r="P175" t="inlineStr">
        <is>
          <t>00</t>
        </is>
      </c>
      <c r="Q175" t="inlineStr">
        <is>
          <t>RECURSO PROPIOS</t>
        </is>
      </c>
      <c r="R175" t="n">
        <v>20000000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20000000</v>
      </c>
      <c r="Z175" t="n">
        <v>0</v>
      </c>
      <c r="AA175" t="n">
        <v>0</v>
      </c>
      <c r="AB175" t="n">
        <v>0</v>
      </c>
      <c r="AC175" t="n">
        <v>0</v>
      </c>
      <c r="AD175" t="n">
        <v>20000000</v>
      </c>
      <c r="AE175" t="n">
        <v>0</v>
      </c>
    </row>
    <row r="176">
      <c r="A176" t="inlineStr">
        <is>
          <t>1 - ADMINISTRACIÓN CENTRAL</t>
        </is>
      </c>
      <c r="B176" t="inlineStr">
        <is>
          <t>00 - SIN SECTOR</t>
        </is>
      </c>
      <c r="C176" t="inlineStr">
        <is>
          <t>00</t>
        </is>
      </c>
      <c r="D176" t="inlineStr">
        <is>
          <t>0000</t>
        </is>
      </c>
      <c r="E176" t="inlineStr">
        <is>
          <t>0000000</t>
        </is>
      </c>
      <c r="F176" t="inlineStr">
        <is>
          <t>SIN PRODUCTO</t>
        </is>
      </c>
      <c r="G176" t="inlineStr">
        <is>
          <t>00</t>
        </is>
      </c>
      <c r="H176" t="inlineStr">
        <is>
          <t>SIN CODIGO BPIN</t>
        </is>
      </c>
      <c r="I176" t="inlineStr">
        <is>
          <t>00</t>
        </is>
      </c>
      <c r="J176" t="inlineStr">
        <is>
          <t>SIN PRODUCTO DANE</t>
        </is>
      </c>
      <c r="K176" t="inlineStr">
        <is>
          <t>00</t>
        </is>
      </c>
      <c r="L176" t="inlineStr">
        <is>
          <t>SIN ATRIBUTO</t>
        </is>
      </c>
      <c r="N176" t="inlineStr">
        <is>
          <t>2.1.8.05.01.004</t>
        </is>
      </c>
      <c r="O176" t="inlineStr">
        <is>
          <t>Sanciones administrativas</t>
        </is>
      </c>
      <c r="P176" t="inlineStr">
        <is>
          <t>1.2.1.0.00</t>
        </is>
      </c>
      <c r="Q176" t="inlineStr">
        <is>
          <t>INGRESOS CORRIENTES DE LIBRE DESTINACION</t>
        </is>
      </c>
      <c r="R176" t="n">
        <v>20000000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20000000</v>
      </c>
      <c r="Z176" t="n">
        <v>0</v>
      </c>
      <c r="AA176" t="n">
        <v>0</v>
      </c>
      <c r="AB176" t="n">
        <v>0</v>
      </c>
      <c r="AC176" t="n">
        <v>0</v>
      </c>
      <c r="AD176" t="n">
        <v>20000000</v>
      </c>
      <c r="AE176" t="n">
        <v>0</v>
      </c>
    </row>
    <row r="177">
      <c r="A177" t="inlineStr">
        <is>
          <t>1 - ADMINISTRACIÓN CENTRAL</t>
        </is>
      </c>
      <c r="B177" t="inlineStr">
        <is>
          <t>00 - SIN SECTOR</t>
        </is>
      </c>
      <c r="C177" t="inlineStr">
        <is>
          <t>00</t>
        </is>
      </c>
      <c r="D177" t="inlineStr">
        <is>
          <t>0000</t>
        </is>
      </c>
      <c r="E177" t="inlineStr">
        <is>
          <t>0000000</t>
        </is>
      </c>
      <c r="F177" t="inlineStr">
        <is>
          <t>SIN PRODUCTO</t>
        </is>
      </c>
      <c r="G177" t="inlineStr">
        <is>
          <t>00</t>
        </is>
      </c>
      <c r="H177" t="inlineStr">
        <is>
          <t>SIN CODIGO BPIN</t>
        </is>
      </c>
      <c r="I177" t="inlineStr">
        <is>
          <t>00</t>
        </is>
      </c>
      <c r="J177" t="inlineStr">
        <is>
          <t>SIN PRODUCTO DANE</t>
        </is>
      </c>
      <c r="K177" t="inlineStr">
        <is>
          <t>00</t>
        </is>
      </c>
      <c r="L177" t="inlineStr">
        <is>
          <t>SIN ATRIBUTO</t>
        </is>
      </c>
      <c r="N177" t="inlineStr">
        <is>
          <t>2.1.8.05.02</t>
        </is>
      </c>
      <c r="O177" t="inlineStr">
        <is>
          <t>Intereses de mora</t>
        </is>
      </c>
      <c r="P177" t="inlineStr">
        <is>
          <t>1.2.1.0.00</t>
        </is>
      </c>
      <c r="Q177" t="inlineStr">
        <is>
          <t>INGRESOS CORRIENTES DE LIBRE DESTINACION</t>
        </is>
      </c>
      <c r="R177" t="n">
        <v>20000000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20000000</v>
      </c>
      <c r="Z177" t="n">
        <v>0</v>
      </c>
      <c r="AA177" t="n">
        <v>0</v>
      </c>
      <c r="AB177" t="n">
        <v>0</v>
      </c>
      <c r="AC177" t="n">
        <v>0</v>
      </c>
      <c r="AD177" t="n">
        <v>20000000</v>
      </c>
      <c r="AE177" t="n">
        <v>0</v>
      </c>
    </row>
    <row r="178">
      <c r="A178" t="inlineStr">
        <is>
          <t>1 - ADMINISTRACIÓN CENTRAL</t>
        </is>
      </c>
      <c r="B178" t="inlineStr">
        <is>
          <t>00 - SIN SECTOR</t>
        </is>
      </c>
      <c r="C178" t="inlineStr">
        <is>
          <t>00</t>
        </is>
      </c>
      <c r="D178" t="inlineStr">
        <is>
          <t>0000</t>
        </is>
      </c>
      <c r="E178" t="inlineStr">
        <is>
          <t>0000000</t>
        </is>
      </c>
      <c r="F178" t="inlineStr">
        <is>
          <t>SIN PRODUCTO</t>
        </is>
      </c>
      <c r="G178" t="inlineStr">
        <is>
          <t>00</t>
        </is>
      </c>
      <c r="H178" t="inlineStr">
        <is>
          <t>SIN CODIGO BPIN</t>
        </is>
      </c>
      <c r="I178" t="inlineStr">
        <is>
          <t>00</t>
        </is>
      </c>
      <c r="J178" t="inlineStr">
        <is>
          <t>SIN PRODUCTO DANE</t>
        </is>
      </c>
      <c r="K178" t="inlineStr">
        <is>
          <t>00</t>
        </is>
      </c>
      <c r="L178" t="inlineStr">
        <is>
          <t>SIN ATRIBUTO</t>
        </is>
      </c>
      <c r="N178" t="inlineStr">
        <is>
          <t>2.2</t>
        </is>
      </c>
      <c r="O178" t="inlineStr">
        <is>
          <t>Servicio de la deuda publica</t>
        </is>
      </c>
      <c r="P178" t="inlineStr">
        <is>
          <t>00</t>
        </is>
      </c>
      <c r="Q178" t="inlineStr">
        <is>
          <t>RECURSO PROPIOS</t>
        </is>
      </c>
      <c r="R178" t="n">
        <v>9723119934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9723119934</v>
      </c>
      <c r="Z178" t="n">
        <v>1921003651.11</v>
      </c>
      <c r="AA178" t="n">
        <v>1916294426.11</v>
      </c>
      <c r="AB178" t="n">
        <v>1916294426.11</v>
      </c>
      <c r="AC178" t="n">
        <v>1916294426.11</v>
      </c>
      <c r="AD178" t="n">
        <v>7806825507.89</v>
      </c>
      <c r="AE178" t="n">
        <v>19.71</v>
      </c>
    </row>
    <row r="179">
      <c r="A179" t="inlineStr">
        <is>
          <t>1 - ADMINISTRACIÓN CENTRAL</t>
        </is>
      </c>
      <c r="B179" t="inlineStr">
        <is>
          <t>00 - SIN SECTOR</t>
        </is>
      </c>
      <c r="C179" t="inlineStr">
        <is>
          <t>00</t>
        </is>
      </c>
      <c r="D179" t="inlineStr">
        <is>
          <t>0000</t>
        </is>
      </c>
      <c r="E179" t="inlineStr">
        <is>
          <t>0000000</t>
        </is>
      </c>
      <c r="F179" t="inlineStr">
        <is>
          <t>SIN PRODUCTO</t>
        </is>
      </c>
      <c r="G179" t="inlineStr">
        <is>
          <t>00</t>
        </is>
      </c>
      <c r="H179" t="inlineStr">
        <is>
          <t>SIN CODIGO BPIN</t>
        </is>
      </c>
      <c r="I179" t="inlineStr">
        <is>
          <t>00</t>
        </is>
      </c>
      <c r="J179" t="inlineStr">
        <is>
          <t>SIN PRODUCTO DANE</t>
        </is>
      </c>
      <c r="K179" t="inlineStr">
        <is>
          <t>00</t>
        </is>
      </c>
      <c r="L179" t="inlineStr">
        <is>
          <t>SIN ATRIBUTO</t>
        </is>
      </c>
      <c r="N179" t="inlineStr">
        <is>
          <t>2.2.2</t>
        </is>
      </c>
      <c r="O179" t="inlineStr">
        <is>
          <t>Servicio de la deuda publica interna</t>
        </is>
      </c>
      <c r="P179" t="inlineStr">
        <is>
          <t>00</t>
        </is>
      </c>
      <c r="Q179" t="inlineStr">
        <is>
          <t>RECURSO PROPIOS</t>
        </is>
      </c>
      <c r="R179" t="n">
        <v>9723119934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9723119934</v>
      </c>
      <c r="Z179" t="n">
        <v>1921003651.11</v>
      </c>
      <c r="AA179" t="n">
        <v>1916294426.11</v>
      </c>
      <c r="AB179" t="n">
        <v>1916294426.11</v>
      </c>
      <c r="AC179" t="n">
        <v>1916294426.11</v>
      </c>
      <c r="AD179" t="n">
        <v>7806825507.89</v>
      </c>
      <c r="AE179" t="n">
        <v>19.71</v>
      </c>
    </row>
    <row r="180">
      <c r="A180" t="inlineStr">
        <is>
          <t>1 - ADMINISTRACIÓN CENTRAL</t>
        </is>
      </c>
      <c r="B180" t="inlineStr">
        <is>
          <t>00 - SIN SECTOR</t>
        </is>
      </c>
      <c r="C180" t="inlineStr">
        <is>
          <t>00</t>
        </is>
      </c>
      <c r="D180" t="inlineStr">
        <is>
          <t>0000</t>
        </is>
      </c>
      <c r="E180" t="inlineStr">
        <is>
          <t>0000000</t>
        </is>
      </c>
      <c r="F180" t="inlineStr">
        <is>
          <t>SIN PRODUCTO</t>
        </is>
      </c>
      <c r="G180" t="inlineStr">
        <is>
          <t>00</t>
        </is>
      </c>
      <c r="H180" t="inlineStr">
        <is>
          <t>SIN CODIGO BPIN</t>
        </is>
      </c>
      <c r="I180" t="inlineStr">
        <is>
          <t>00</t>
        </is>
      </c>
      <c r="J180" t="inlineStr">
        <is>
          <t>SIN PRODUCTO DANE</t>
        </is>
      </c>
      <c r="K180" t="inlineStr">
        <is>
          <t>00</t>
        </is>
      </c>
      <c r="L180" t="inlineStr">
        <is>
          <t>SIN ATRIBUTO</t>
        </is>
      </c>
      <c r="N180" t="inlineStr">
        <is>
          <t>2.2.2.01</t>
        </is>
      </c>
      <c r="O180" t="inlineStr">
        <is>
          <t>Principal</t>
        </is>
      </c>
      <c r="P180" t="inlineStr">
        <is>
          <t>00</t>
        </is>
      </c>
      <c r="Q180" t="inlineStr">
        <is>
          <t>RECURSO PROPIOS</t>
        </is>
      </c>
      <c r="R180" t="n">
        <v>3486622018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3486622018</v>
      </c>
      <c r="Z180" t="n">
        <v>1094275382.68</v>
      </c>
      <c r="AA180" t="n">
        <v>1094275382.68</v>
      </c>
      <c r="AB180" t="n">
        <v>1094275382.68</v>
      </c>
      <c r="AC180" t="n">
        <v>1094275382.68</v>
      </c>
      <c r="AD180" t="n">
        <v>2392346635.32</v>
      </c>
      <c r="AE180" t="n">
        <v>31.38</v>
      </c>
    </row>
    <row r="181">
      <c r="A181" t="inlineStr">
        <is>
          <t>1 - ADMINISTRACIÓN CENTRAL</t>
        </is>
      </c>
      <c r="B181" t="inlineStr">
        <is>
          <t>00 - SIN SECTOR</t>
        </is>
      </c>
      <c r="C181" t="inlineStr">
        <is>
          <t>00</t>
        </is>
      </c>
      <c r="D181" t="inlineStr">
        <is>
          <t>0000</t>
        </is>
      </c>
      <c r="E181" t="inlineStr">
        <is>
          <t>0000000</t>
        </is>
      </c>
      <c r="F181" t="inlineStr">
        <is>
          <t>SIN PRODUCTO</t>
        </is>
      </c>
      <c r="G181" t="inlineStr">
        <is>
          <t>00</t>
        </is>
      </c>
      <c r="H181" t="inlineStr">
        <is>
          <t>SIN CODIGO BPIN</t>
        </is>
      </c>
      <c r="I181" t="inlineStr">
        <is>
          <t>00</t>
        </is>
      </c>
      <c r="J181" t="inlineStr">
        <is>
          <t>SIN PRODUCTO DANE</t>
        </is>
      </c>
      <c r="K181" t="inlineStr">
        <is>
          <t>00</t>
        </is>
      </c>
      <c r="L181" t="inlineStr">
        <is>
          <t>SIN ATRIBUTO</t>
        </is>
      </c>
      <c r="N181" t="inlineStr">
        <is>
          <t>2.2.2.01.02</t>
        </is>
      </c>
      <c r="O181" t="inlineStr">
        <is>
          <t>Prestamos</t>
        </is>
      </c>
      <c r="P181" t="inlineStr">
        <is>
          <t>00</t>
        </is>
      </c>
      <c r="Q181" t="inlineStr">
        <is>
          <t>RECURSO PROPIOS</t>
        </is>
      </c>
      <c r="R181" t="n">
        <v>3486622018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3486622018</v>
      </c>
      <c r="Z181" t="n">
        <v>1094275382.68</v>
      </c>
      <c r="AA181" t="n">
        <v>1094275382.68</v>
      </c>
      <c r="AB181" t="n">
        <v>1094275382.68</v>
      </c>
      <c r="AC181" t="n">
        <v>1094275382.68</v>
      </c>
      <c r="AD181" t="n">
        <v>2392346635.32</v>
      </c>
      <c r="AE181" t="n">
        <v>31.38</v>
      </c>
    </row>
    <row r="182">
      <c r="A182" t="inlineStr">
        <is>
          <t>1 - ADMINISTRACIÓN CENTRAL</t>
        </is>
      </c>
      <c r="B182" t="inlineStr">
        <is>
          <t>00 - SIN SECTOR</t>
        </is>
      </c>
      <c r="C182" t="inlineStr">
        <is>
          <t>00</t>
        </is>
      </c>
      <c r="D182" t="inlineStr">
        <is>
          <t>0000</t>
        </is>
      </c>
      <c r="E182" t="inlineStr">
        <is>
          <t>0000000</t>
        </is>
      </c>
      <c r="F182" t="inlineStr">
        <is>
          <t>SIN PRODUCTO</t>
        </is>
      </c>
      <c r="G182" t="inlineStr">
        <is>
          <t>00</t>
        </is>
      </c>
      <c r="H182" t="inlineStr">
        <is>
          <t>SIN CODIGO BPIN</t>
        </is>
      </c>
      <c r="I182" t="inlineStr">
        <is>
          <t>00</t>
        </is>
      </c>
      <c r="J182" t="inlineStr">
        <is>
          <t>SIN PRODUCTO DANE</t>
        </is>
      </c>
      <c r="K182" t="inlineStr">
        <is>
          <t>00</t>
        </is>
      </c>
      <c r="L182" t="inlineStr">
        <is>
          <t>SIN ATRIBUTO</t>
        </is>
      </c>
      <c r="N182" t="inlineStr">
        <is>
          <t>2.2.2.01.02.002.02</t>
        </is>
      </c>
      <c r="O182" t="inlineStr">
        <is>
          <t>Banca comercial</t>
        </is>
      </c>
      <c r="P182" t="inlineStr">
        <is>
          <t>00</t>
        </is>
      </c>
      <c r="Q182" t="inlineStr">
        <is>
          <t>RECURSO PROPIOS</t>
        </is>
      </c>
      <c r="R182" t="n">
        <v>3486622018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3486622018</v>
      </c>
      <c r="Z182" t="n">
        <v>1094275382.68</v>
      </c>
      <c r="AA182" t="n">
        <v>1094275382.68</v>
      </c>
      <c r="AB182" t="n">
        <v>1094275382.68</v>
      </c>
      <c r="AC182" t="n">
        <v>1094275382.68</v>
      </c>
      <c r="AD182" t="n">
        <v>2392346635.32</v>
      </c>
      <c r="AE182" t="n">
        <v>31.38</v>
      </c>
    </row>
    <row r="183">
      <c r="A183" t="inlineStr">
        <is>
          <t>1 - ADMINISTRACIÓN CENTRAL</t>
        </is>
      </c>
      <c r="B183" t="inlineStr">
        <is>
          <t>00 - SIN SECTOR</t>
        </is>
      </c>
      <c r="C183" t="inlineStr">
        <is>
          <t>00</t>
        </is>
      </c>
      <c r="D183" t="inlineStr">
        <is>
          <t>0000</t>
        </is>
      </c>
      <c r="E183" t="inlineStr">
        <is>
          <t>0000000</t>
        </is>
      </c>
      <c r="F183" t="inlineStr">
        <is>
          <t>SIN PRODUCTO</t>
        </is>
      </c>
      <c r="G183" t="inlineStr">
        <is>
          <t>00</t>
        </is>
      </c>
      <c r="H183" t="inlineStr">
        <is>
          <t>SIN CODIGO BPIN</t>
        </is>
      </c>
      <c r="I183" t="inlineStr">
        <is>
          <t>00</t>
        </is>
      </c>
      <c r="J183" t="inlineStr">
        <is>
          <t>SIN PRODUCTO DANE</t>
        </is>
      </c>
      <c r="K183" t="inlineStr">
        <is>
          <t>00</t>
        </is>
      </c>
      <c r="L183" t="inlineStr">
        <is>
          <t>SIN ATRIBUTO</t>
        </is>
      </c>
      <c r="N183" t="inlineStr">
        <is>
          <t>2.2.2.01.02.002.02.03</t>
        </is>
      </c>
      <c r="O183" t="inlineStr">
        <is>
          <t>Banca comercial</t>
        </is>
      </c>
      <c r="P183" t="inlineStr">
        <is>
          <t>00</t>
        </is>
      </c>
      <c r="Q183" t="inlineStr">
        <is>
          <t>RECURSO PROPIOS</t>
        </is>
      </c>
      <c r="R183" t="n">
        <v>3486622018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3486622018</v>
      </c>
      <c r="Z183" t="n">
        <v>1094275382.68</v>
      </c>
      <c r="AA183" t="n">
        <v>1094275382.68</v>
      </c>
      <c r="AB183" t="n">
        <v>1094275382.68</v>
      </c>
      <c r="AC183" t="n">
        <v>1094275382.68</v>
      </c>
      <c r="AD183" t="n">
        <v>2392346635.32</v>
      </c>
      <c r="AE183" t="n">
        <v>31.38</v>
      </c>
    </row>
    <row r="184">
      <c r="A184" t="inlineStr">
        <is>
          <t>1 - ADMINISTRACIÓN CENTRAL</t>
        </is>
      </c>
      <c r="B184" t="inlineStr">
        <is>
          <t>00 - SIN SECTOR</t>
        </is>
      </c>
      <c r="C184" t="inlineStr">
        <is>
          <t>00</t>
        </is>
      </c>
      <c r="D184" t="inlineStr">
        <is>
          <t>0000</t>
        </is>
      </c>
      <c r="E184" t="inlineStr">
        <is>
          <t>0000000</t>
        </is>
      </c>
      <c r="F184" t="inlineStr">
        <is>
          <t>SIN PRODUCTO</t>
        </is>
      </c>
      <c r="G184" t="inlineStr">
        <is>
          <t>00</t>
        </is>
      </c>
      <c r="H184" t="inlineStr">
        <is>
          <t>SIN CODIGO BPIN</t>
        </is>
      </c>
      <c r="I184" t="inlineStr">
        <is>
          <t>00</t>
        </is>
      </c>
      <c r="J184" t="inlineStr">
        <is>
          <t>SIN PRODUCTO DANE</t>
        </is>
      </c>
      <c r="K184" t="inlineStr">
        <is>
          <t>00</t>
        </is>
      </c>
      <c r="L184" t="inlineStr">
        <is>
          <t>SIN ATRIBUTO</t>
        </is>
      </c>
      <c r="N184" t="inlineStr">
        <is>
          <t>2.2.2.01.02.002.02.03.1</t>
        </is>
      </c>
      <c r="O184" t="inlineStr">
        <is>
          <t>Recursos SGP Proposito General Libre Inversión</t>
        </is>
      </c>
      <c r="P184" t="inlineStr">
        <is>
          <t>00</t>
        </is>
      </c>
      <c r="Q184" t="inlineStr">
        <is>
          <t>RECURSO PROPIOS</t>
        </is>
      </c>
      <c r="R184" t="n">
        <v>502385924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502385924</v>
      </c>
      <c r="Z184" t="n">
        <v>209327465</v>
      </c>
      <c r="AA184" t="n">
        <v>209327465</v>
      </c>
      <c r="AB184" t="n">
        <v>209327465</v>
      </c>
      <c r="AC184" t="n">
        <v>209327465</v>
      </c>
      <c r="AD184" t="n">
        <v>293058459</v>
      </c>
      <c r="AE184" t="n">
        <v>41.67</v>
      </c>
    </row>
    <row r="185">
      <c r="A185" t="inlineStr">
        <is>
          <t>1 - ADMINISTRACIÓN CENTRAL</t>
        </is>
      </c>
      <c r="B185" t="inlineStr">
        <is>
          <t>00 - SIN SECTOR</t>
        </is>
      </c>
      <c r="C185" t="inlineStr">
        <is>
          <t>00</t>
        </is>
      </c>
      <c r="D185" t="inlineStr">
        <is>
          <t>0000</t>
        </is>
      </c>
      <c r="E185" t="inlineStr">
        <is>
          <t>0000000</t>
        </is>
      </c>
      <c r="F185" t="inlineStr">
        <is>
          <t>SIN PRODUCTO</t>
        </is>
      </c>
      <c r="G185" t="inlineStr">
        <is>
          <t>00</t>
        </is>
      </c>
      <c r="H185" t="inlineStr">
        <is>
          <t>SIN CODIGO BPIN</t>
        </is>
      </c>
      <c r="I185" t="inlineStr">
        <is>
          <t>00</t>
        </is>
      </c>
      <c r="J185" t="inlineStr">
        <is>
          <t>SIN PRODUCTO DANE</t>
        </is>
      </c>
      <c r="K185" t="inlineStr">
        <is>
          <t>00</t>
        </is>
      </c>
      <c r="L185" t="inlineStr">
        <is>
          <t>SIN ATRIBUTO</t>
        </is>
      </c>
      <c r="N185" t="inlineStr">
        <is>
          <t>2.2.2.01.02.002.02.03.1.01</t>
        </is>
      </c>
      <c r="O185" t="inlineStr">
        <is>
          <t>Banco Bbva</t>
        </is>
      </c>
      <c r="P185" t="inlineStr">
        <is>
          <t>1.2.4.3.03</t>
        </is>
      </c>
      <c r="Q185" t="inlineStr">
        <is>
          <t>SGP-PROPOSITO GENERAL-PROPOSITO GENERAL LIBRE INVERSION</t>
        </is>
      </c>
      <c r="R185" t="n">
        <v>502385924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502385924</v>
      </c>
      <c r="Z185" t="n">
        <v>209327465</v>
      </c>
      <c r="AA185" t="n">
        <v>209327465</v>
      </c>
      <c r="AB185" t="n">
        <v>209327465</v>
      </c>
      <c r="AC185" t="n">
        <v>209327465</v>
      </c>
      <c r="AD185" t="n">
        <v>293058459</v>
      </c>
      <c r="AE185" t="n">
        <v>41.67</v>
      </c>
    </row>
    <row r="186">
      <c r="A186" t="inlineStr">
        <is>
          <t>1 - ADMINISTRACIÓN CENTRAL</t>
        </is>
      </c>
      <c r="B186" t="inlineStr">
        <is>
          <t>00 - SIN SECTOR</t>
        </is>
      </c>
      <c r="C186" t="inlineStr">
        <is>
          <t>00</t>
        </is>
      </c>
      <c r="D186" t="inlineStr">
        <is>
          <t>0000</t>
        </is>
      </c>
      <c r="E186" t="inlineStr">
        <is>
          <t>0000000</t>
        </is>
      </c>
      <c r="F186" t="inlineStr">
        <is>
          <t>SIN PRODUCTO</t>
        </is>
      </c>
      <c r="G186" t="inlineStr">
        <is>
          <t>00</t>
        </is>
      </c>
      <c r="H186" t="inlineStr">
        <is>
          <t>SIN CODIGO BPIN</t>
        </is>
      </c>
      <c r="I186" t="inlineStr">
        <is>
          <t>00</t>
        </is>
      </c>
      <c r="J186" t="inlineStr">
        <is>
          <t>SIN PRODUCTO DANE</t>
        </is>
      </c>
      <c r="K186" t="inlineStr">
        <is>
          <t>00</t>
        </is>
      </c>
      <c r="L186" t="inlineStr">
        <is>
          <t>SIN ATRIBUTO</t>
        </is>
      </c>
      <c r="N186" t="inlineStr">
        <is>
          <t>2.2.2.01.02.002.02.03.2</t>
        </is>
      </c>
      <c r="O186" t="inlineStr">
        <is>
          <t>Recursos SGP Proposito General Libre Destinación</t>
        </is>
      </c>
      <c r="P186" t="inlineStr">
        <is>
          <t>00</t>
        </is>
      </c>
      <c r="Q186" t="inlineStr">
        <is>
          <t>RECURSO PROPIOS</t>
        </is>
      </c>
      <c r="R186" t="n">
        <v>555555556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555555556</v>
      </c>
      <c r="Z186" t="n">
        <v>208333338.84</v>
      </c>
      <c r="AA186" t="n">
        <v>208333338.84</v>
      </c>
      <c r="AB186" t="n">
        <v>208333338.84</v>
      </c>
      <c r="AC186" t="n">
        <v>208333338.84</v>
      </c>
      <c r="AD186" t="n">
        <v>347222217.16</v>
      </c>
      <c r="AE186" t="n">
        <v>37.5</v>
      </c>
    </row>
    <row r="187">
      <c r="A187" t="inlineStr">
        <is>
          <t>1 - ADMINISTRACIÓN CENTRAL</t>
        </is>
      </c>
      <c r="B187" t="inlineStr">
        <is>
          <t>00 - SIN SECTOR</t>
        </is>
      </c>
      <c r="C187" t="inlineStr">
        <is>
          <t>00</t>
        </is>
      </c>
      <c r="D187" t="inlineStr">
        <is>
          <t>0000</t>
        </is>
      </c>
      <c r="E187" t="inlineStr">
        <is>
          <t>0000000</t>
        </is>
      </c>
      <c r="F187" t="inlineStr">
        <is>
          <t>SIN PRODUCTO</t>
        </is>
      </c>
      <c r="G187" t="inlineStr">
        <is>
          <t>00</t>
        </is>
      </c>
      <c r="H187" t="inlineStr">
        <is>
          <t>SIN CODIGO BPIN</t>
        </is>
      </c>
      <c r="I187" t="inlineStr">
        <is>
          <t>00</t>
        </is>
      </c>
      <c r="J187" t="inlineStr">
        <is>
          <t>SIN PRODUCTO DANE</t>
        </is>
      </c>
      <c r="K187" t="inlineStr">
        <is>
          <t>00</t>
        </is>
      </c>
      <c r="L187" t="inlineStr">
        <is>
          <t>SIN ATRIBUTO</t>
        </is>
      </c>
      <c r="N187" t="inlineStr">
        <is>
          <t>2.2.2.01.02.002.02.03.2.01</t>
        </is>
      </c>
      <c r="O187" t="inlineStr">
        <is>
          <t>Banco Agrario de Colombia</t>
        </is>
      </c>
      <c r="P187" t="inlineStr">
        <is>
          <t>1.2.4.3.04</t>
        </is>
      </c>
      <c r="Q187" t="inlineStr">
        <is>
          <t>SGP-PROPOSITO GENERAL-LIBRE DESTINACION MUNICIPIOS CATEGORIAS 4, 5 Y 6</t>
        </is>
      </c>
      <c r="R187" t="n">
        <v>277777778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277777778</v>
      </c>
      <c r="Z187" t="n">
        <v>69444450</v>
      </c>
      <c r="AA187" t="n">
        <v>69444450</v>
      </c>
      <c r="AB187" t="n">
        <v>69444450</v>
      </c>
      <c r="AC187" t="n">
        <v>69444450</v>
      </c>
      <c r="AD187" t="n">
        <v>208333328</v>
      </c>
      <c r="AE187" t="n">
        <v>25</v>
      </c>
    </row>
    <row r="188">
      <c r="A188" t="inlineStr">
        <is>
          <t>1 - ADMINISTRACIÓN CENTRAL</t>
        </is>
      </c>
      <c r="B188" t="inlineStr">
        <is>
          <t>00 - SIN SECTOR</t>
        </is>
      </c>
      <c r="C188" t="inlineStr">
        <is>
          <t>00</t>
        </is>
      </c>
      <c r="D188" t="inlineStr">
        <is>
          <t>0000</t>
        </is>
      </c>
      <c r="E188" t="inlineStr">
        <is>
          <t>0000000</t>
        </is>
      </c>
      <c r="F188" t="inlineStr">
        <is>
          <t>SIN PRODUCTO</t>
        </is>
      </c>
      <c r="G188" t="inlineStr">
        <is>
          <t>00</t>
        </is>
      </c>
      <c r="H188" t="inlineStr">
        <is>
          <t>SIN CODIGO BPIN</t>
        </is>
      </c>
      <c r="I188" t="inlineStr">
        <is>
          <t>00</t>
        </is>
      </c>
      <c r="J188" t="inlineStr">
        <is>
          <t>SIN PRODUCTO DANE</t>
        </is>
      </c>
      <c r="K188" t="inlineStr">
        <is>
          <t>00</t>
        </is>
      </c>
      <c r="L188" t="inlineStr">
        <is>
          <t>SIN ATRIBUTO</t>
        </is>
      </c>
      <c r="N188" t="inlineStr">
        <is>
          <t>2.2.2.01.02.002.02.03.2.02</t>
        </is>
      </c>
      <c r="O188" t="inlineStr">
        <is>
          <t>Banco Bbva</t>
        </is>
      </c>
      <c r="P188" t="inlineStr">
        <is>
          <t>1.2.4.3.04</t>
        </is>
      </c>
      <c r="Q188" t="inlineStr">
        <is>
          <t>SGP-PROPOSITO GENERAL-LIBRE DESTINACION MUNICIPIOS CATEGORIAS 4, 5 Y 6</t>
        </is>
      </c>
      <c r="R188" t="n">
        <v>277777778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277777778</v>
      </c>
      <c r="Z188" t="n">
        <v>138888888.84</v>
      </c>
      <c r="AA188" t="n">
        <v>138888888.84</v>
      </c>
      <c r="AB188" t="n">
        <v>138888888.84</v>
      </c>
      <c r="AC188" t="n">
        <v>138888888.84</v>
      </c>
      <c r="AD188" t="n">
        <v>138888889.16</v>
      </c>
      <c r="AE188" t="n">
        <v>50</v>
      </c>
    </row>
    <row r="189">
      <c r="A189" t="inlineStr">
        <is>
          <t>1 - ADMINISTRACIÓN CENTRAL</t>
        </is>
      </c>
      <c r="B189" t="inlineStr">
        <is>
          <t>00 - SIN SECTOR</t>
        </is>
      </c>
      <c r="C189" t="inlineStr">
        <is>
          <t>00</t>
        </is>
      </c>
      <c r="D189" t="inlineStr">
        <is>
          <t>0000</t>
        </is>
      </c>
      <c r="E189" t="inlineStr">
        <is>
          <t>0000000</t>
        </is>
      </c>
      <c r="F189" t="inlineStr">
        <is>
          <t>SIN PRODUCTO</t>
        </is>
      </c>
      <c r="G189" t="inlineStr">
        <is>
          <t>00</t>
        </is>
      </c>
      <c r="H189" t="inlineStr">
        <is>
          <t>SIN CODIGO BPIN</t>
        </is>
      </c>
      <c r="I189" t="inlineStr">
        <is>
          <t>00</t>
        </is>
      </c>
      <c r="J189" t="inlineStr">
        <is>
          <t>SIN PRODUCTO DANE</t>
        </is>
      </c>
      <c r="K189" t="inlineStr">
        <is>
          <t>00</t>
        </is>
      </c>
      <c r="L189" t="inlineStr">
        <is>
          <t>SIN ATRIBUTO</t>
        </is>
      </c>
      <c r="N189" t="inlineStr">
        <is>
          <t>2.2.2.01.02.002.02.03.3</t>
        </is>
      </c>
      <c r="O189" t="inlineStr">
        <is>
          <t>Recursos Propios</t>
        </is>
      </c>
      <c r="P189" t="inlineStr">
        <is>
          <t>00</t>
        </is>
      </c>
      <c r="Q189" t="inlineStr">
        <is>
          <t>RECURSO PROPIOS</t>
        </is>
      </c>
      <c r="R189" t="n">
        <v>2428680538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2428680538</v>
      </c>
      <c r="Z189" t="n">
        <v>676614578.84</v>
      </c>
      <c r="AA189" t="n">
        <v>676614578.84</v>
      </c>
      <c r="AB189" t="n">
        <v>676614578.84</v>
      </c>
      <c r="AC189" t="n">
        <v>676614578.84</v>
      </c>
      <c r="AD189" t="n">
        <v>1752065959.16</v>
      </c>
      <c r="AE189" t="n">
        <v>27.86</v>
      </c>
    </row>
    <row r="190">
      <c r="A190" t="inlineStr">
        <is>
          <t>1 - ADMINISTRACIÓN CENTRAL</t>
        </is>
      </c>
      <c r="B190" t="inlineStr">
        <is>
          <t>00 - SIN SECTOR</t>
        </is>
      </c>
      <c r="C190" t="inlineStr">
        <is>
          <t>00</t>
        </is>
      </c>
      <c r="D190" t="inlineStr">
        <is>
          <t>0000</t>
        </is>
      </c>
      <c r="E190" t="inlineStr">
        <is>
          <t>0000000</t>
        </is>
      </c>
      <c r="F190" t="inlineStr">
        <is>
          <t>SIN PRODUCTO</t>
        </is>
      </c>
      <c r="G190" t="inlineStr">
        <is>
          <t>00</t>
        </is>
      </c>
      <c r="H190" t="inlineStr">
        <is>
          <t>SIN CODIGO BPIN</t>
        </is>
      </c>
      <c r="I190" t="inlineStr">
        <is>
          <t>00</t>
        </is>
      </c>
      <c r="J190" t="inlineStr">
        <is>
          <t>SIN PRODUCTO DANE</t>
        </is>
      </c>
      <c r="K190" t="inlineStr">
        <is>
          <t>00</t>
        </is>
      </c>
      <c r="L190" t="inlineStr">
        <is>
          <t>SIN ATRIBUTO</t>
        </is>
      </c>
      <c r="N190" t="inlineStr">
        <is>
          <t>2.2.2.01.02.002.02.03.3.01</t>
        </is>
      </c>
      <c r="O190" t="inlineStr">
        <is>
          <t>Banco Agrario de Colombia</t>
        </is>
      </c>
      <c r="P190" t="inlineStr">
        <is>
          <t>1.2.1.0.00</t>
        </is>
      </c>
      <c r="Q190" t="inlineStr">
        <is>
          <t>INGRESOS CORRIENTES DE LIBRE DESTINACION</t>
        </is>
      </c>
      <c r="R190" t="n">
        <v>277777760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277777760</v>
      </c>
      <c r="Z190" t="n">
        <v>69444440</v>
      </c>
      <c r="AA190" t="n">
        <v>69444440</v>
      </c>
      <c r="AB190" t="n">
        <v>69444440</v>
      </c>
      <c r="AC190" t="n">
        <v>69444440</v>
      </c>
      <c r="AD190" t="n">
        <v>208333320</v>
      </c>
      <c r="AE190" t="n">
        <v>25</v>
      </c>
    </row>
    <row r="191">
      <c r="A191" t="inlineStr">
        <is>
          <t>1 - ADMINISTRACIÓN CENTRAL</t>
        </is>
      </c>
      <c r="B191" t="inlineStr">
        <is>
          <t>00 - SIN SECTOR</t>
        </is>
      </c>
      <c r="C191" t="inlineStr">
        <is>
          <t>00</t>
        </is>
      </c>
      <c r="D191" t="inlineStr">
        <is>
          <t>0000</t>
        </is>
      </c>
      <c r="E191" t="inlineStr">
        <is>
          <t>0000000</t>
        </is>
      </c>
      <c r="F191" t="inlineStr">
        <is>
          <t>SIN PRODUCTO</t>
        </is>
      </c>
      <c r="G191" t="inlineStr">
        <is>
          <t>00</t>
        </is>
      </c>
      <c r="H191" t="inlineStr">
        <is>
          <t>SIN CODIGO BPIN</t>
        </is>
      </c>
      <c r="I191" t="inlineStr">
        <is>
          <t>00</t>
        </is>
      </c>
      <c r="J191" t="inlineStr">
        <is>
          <t>SIN PRODUCTO DANE</t>
        </is>
      </c>
      <c r="K191" t="inlineStr">
        <is>
          <t>00</t>
        </is>
      </c>
      <c r="L191" t="inlineStr">
        <is>
          <t>SIN ATRIBUTO</t>
        </is>
      </c>
      <c r="N191" t="inlineStr">
        <is>
          <t>2.2.2.01.02.002.02.03.3.02</t>
        </is>
      </c>
      <c r="O191" t="inlineStr">
        <is>
          <t>Banco Bbva</t>
        </is>
      </c>
      <c r="P191" t="inlineStr">
        <is>
          <t>1.2.1.0.00</t>
        </is>
      </c>
      <c r="Q191" t="inlineStr">
        <is>
          <t>INGRESOS CORRIENTES DE LIBRE DESTINACION</t>
        </is>
      </c>
      <c r="R191" t="n">
        <v>277777778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277777778</v>
      </c>
      <c r="Z191" t="n">
        <v>138888888.84</v>
      </c>
      <c r="AA191" t="n">
        <v>138888888.84</v>
      </c>
      <c r="AB191" t="n">
        <v>138888888.84</v>
      </c>
      <c r="AC191" t="n">
        <v>138888888.84</v>
      </c>
      <c r="AD191" t="n">
        <v>138888889.16</v>
      </c>
      <c r="AE191" t="n">
        <v>50</v>
      </c>
    </row>
    <row r="192">
      <c r="A192" t="inlineStr">
        <is>
          <t>1 - ADMINISTRACIÓN CENTRAL</t>
        </is>
      </c>
      <c r="B192" t="inlineStr">
        <is>
          <t>00 - SIN SECTOR</t>
        </is>
      </c>
      <c r="C192" t="inlineStr">
        <is>
          <t>00</t>
        </is>
      </c>
      <c r="D192" t="inlineStr">
        <is>
          <t>0000</t>
        </is>
      </c>
      <c r="E192" t="inlineStr">
        <is>
          <t>0000000</t>
        </is>
      </c>
      <c r="F192" t="inlineStr">
        <is>
          <t>SIN PRODUCTO</t>
        </is>
      </c>
      <c r="G192" t="inlineStr">
        <is>
          <t>00</t>
        </is>
      </c>
      <c r="H192" t="inlineStr">
        <is>
          <t>SIN CODIGO BPIN</t>
        </is>
      </c>
      <c r="I192" t="inlineStr">
        <is>
          <t>00</t>
        </is>
      </c>
      <c r="J192" t="inlineStr">
        <is>
          <t>SIN PRODUCTO DANE</t>
        </is>
      </c>
      <c r="K192" t="inlineStr">
        <is>
          <t>00</t>
        </is>
      </c>
      <c r="L192" t="inlineStr">
        <is>
          <t>SIN ATRIBUTO</t>
        </is>
      </c>
      <c r="N192" t="inlineStr">
        <is>
          <t>2.2.2.01.02.002.02.03.3.03</t>
        </is>
      </c>
      <c r="O192" t="inlineStr">
        <is>
          <t>Bancolombia</t>
        </is>
      </c>
      <c r="P192" t="inlineStr">
        <is>
          <t>1.2.1.0.00</t>
        </is>
      </c>
      <c r="Q192" t="inlineStr">
        <is>
          <t>INGRESOS CORRIENTES DE LIBRE DESTINACION</t>
        </is>
      </c>
      <c r="R192" t="n">
        <v>1873125000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1873125000</v>
      </c>
      <c r="Z192" t="n">
        <v>468281250</v>
      </c>
      <c r="AA192" t="n">
        <v>468281250</v>
      </c>
      <c r="AB192" t="n">
        <v>468281250</v>
      </c>
      <c r="AC192" t="n">
        <v>468281250</v>
      </c>
      <c r="AD192" t="n">
        <v>1404843750</v>
      </c>
      <c r="AE192" t="n">
        <v>25</v>
      </c>
    </row>
    <row r="193">
      <c r="A193" t="inlineStr">
        <is>
          <t>1 - ADMINISTRACIÓN CENTRAL</t>
        </is>
      </c>
      <c r="B193" t="inlineStr">
        <is>
          <t>00 - SIN SECTOR</t>
        </is>
      </c>
      <c r="C193" t="inlineStr">
        <is>
          <t>00</t>
        </is>
      </c>
      <c r="D193" t="inlineStr">
        <is>
          <t>0000</t>
        </is>
      </c>
      <c r="E193" t="inlineStr">
        <is>
          <t>0000000</t>
        </is>
      </c>
      <c r="F193" t="inlineStr">
        <is>
          <t>SIN PRODUCTO</t>
        </is>
      </c>
      <c r="G193" t="inlineStr">
        <is>
          <t>00</t>
        </is>
      </c>
      <c r="H193" t="inlineStr">
        <is>
          <t>SIN CODIGO BPIN</t>
        </is>
      </c>
      <c r="I193" t="inlineStr">
        <is>
          <t>00</t>
        </is>
      </c>
      <c r="J193" t="inlineStr">
        <is>
          <t>SIN PRODUCTO DANE</t>
        </is>
      </c>
      <c r="K193" t="inlineStr">
        <is>
          <t>00</t>
        </is>
      </c>
      <c r="L193" t="inlineStr">
        <is>
          <t>SIN ATRIBUTO</t>
        </is>
      </c>
      <c r="N193" t="inlineStr">
        <is>
          <t>2.2.2.02</t>
        </is>
      </c>
      <c r="O193" t="inlineStr">
        <is>
          <t>Intereses</t>
        </is>
      </c>
      <c r="P193" t="inlineStr">
        <is>
          <t>00</t>
        </is>
      </c>
      <c r="Q193" t="inlineStr">
        <is>
          <t>RECURSO PROPIOS</t>
        </is>
      </c>
      <c r="R193" t="n">
        <v>5495097916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5495097916</v>
      </c>
      <c r="Z193" t="n">
        <v>819939992.4299999</v>
      </c>
      <c r="AA193" t="n">
        <v>819939992.4299999</v>
      </c>
      <c r="AB193" t="n">
        <v>819939992.4299999</v>
      </c>
      <c r="AC193" t="n">
        <v>819939992.4299999</v>
      </c>
      <c r="AD193" t="n">
        <v>4675157923.57</v>
      </c>
      <c r="AE193" t="n">
        <v>14.92</v>
      </c>
    </row>
    <row r="194">
      <c r="A194" t="inlineStr">
        <is>
          <t>1 - ADMINISTRACIÓN CENTRAL</t>
        </is>
      </c>
      <c r="B194" t="inlineStr">
        <is>
          <t>00 - SIN SECTOR</t>
        </is>
      </c>
      <c r="C194" t="inlineStr">
        <is>
          <t>00</t>
        </is>
      </c>
      <c r="D194" t="inlineStr">
        <is>
          <t>0000</t>
        </is>
      </c>
      <c r="E194" t="inlineStr">
        <is>
          <t>0000000</t>
        </is>
      </c>
      <c r="F194" t="inlineStr">
        <is>
          <t>SIN PRODUCTO</t>
        </is>
      </c>
      <c r="G194" t="inlineStr">
        <is>
          <t>00</t>
        </is>
      </c>
      <c r="H194" t="inlineStr">
        <is>
          <t>SIN CODIGO BPIN</t>
        </is>
      </c>
      <c r="I194" t="inlineStr">
        <is>
          <t>00</t>
        </is>
      </c>
      <c r="J194" t="inlineStr">
        <is>
          <t>SIN PRODUCTO DANE</t>
        </is>
      </c>
      <c r="K194" t="inlineStr">
        <is>
          <t>00</t>
        </is>
      </c>
      <c r="L194" t="inlineStr">
        <is>
          <t>SIN ATRIBUTO</t>
        </is>
      </c>
      <c r="N194" t="inlineStr">
        <is>
          <t>2.2.2.02.02</t>
        </is>
      </c>
      <c r="O194" t="inlineStr">
        <is>
          <t>Prestamos</t>
        </is>
      </c>
      <c r="P194" t="inlineStr">
        <is>
          <t>00</t>
        </is>
      </c>
      <c r="Q194" t="inlineStr">
        <is>
          <t>RECURSO PROPIOS</t>
        </is>
      </c>
      <c r="R194" t="n">
        <v>5495097916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5495097916</v>
      </c>
      <c r="Z194" t="n">
        <v>819939992.4299999</v>
      </c>
      <c r="AA194" t="n">
        <v>819939992.4299999</v>
      </c>
      <c r="AB194" t="n">
        <v>819939992.4299999</v>
      </c>
      <c r="AC194" t="n">
        <v>819939992.4299999</v>
      </c>
      <c r="AD194" t="n">
        <v>4675157923.57</v>
      </c>
      <c r="AE194" t="n">
        <v>14.92</v>
      </c>
    </row>
    <row r="195">
      <c r="A195" t="inlineStr">
        <is>
          <t>1 - ADMINISTRACIÓN CENTRAL</t>
        </is>
      </c>
      <c r="B195" t="inlineStr">
        <is>
          <t>00 - SIN SECTOR</t>
        </is>
      </c>
      <c r="C195" t="inlineStr">
        <is>
          <t>00</t>
        </is>
      </c>
      <c r="D195" t="inlineStr">
        <is>
          <t>0000</t>
        </is>
      </c>
      <c r="E195" t="inlineStr">
        <is>
          <t>0000000</t>
        </is>
      </c>
      <c r="F195" t="inlineStr">
        <is>
          <t>SIN PRODUCTO</t>
        </is>
      </c>
      <c r="G195" t="inlineStr">
        <is>
          <t>00</t>
        </is>
      </c>
      <c r="H195" t="inlineStr">
        <is>
          <t>SIN CODIGO BPIN</t>
        </is>
      </c>
      <c r="I195" t="inlineStr">
        <is>
          <t>00</t>
        </is>
      </c>
      <c r="J195" t="inlineStr">
        <is>
          <t>SIN PRODUCTO DANE</t>
        </is>
      </c>
      <c r="K195" t="inlineStr">
        <is>
          <t>00</t>
        </is>
      </c>
      <c r="L195" t="inlineStr">
        <is>
          <t>SIN ATRIBUTO</t>
        </is>
      </c>
      <c r="N195" t="inlineStr">
        <is>
          <t>2.2.2.02.02.002</t>
        </is>
      </c>
      <c r="O195" t="inlineStr">
        <is>
          <t>Entidades financieras</t>
        </is>
      </c>
      <c r="P195" t="inlineStr">
        <is>
          <t>00</t>
        </is>
      </c>
      <c r="Q195" t="inlineStr">
        <is>
          <t>RECURSO PROPIOS</t>
        </is>
      </c>
      <c r="R195" t="n">
        <v>5495097916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5495097916</v>
      </c>
      <c r="Z195" t="n">
        <v>819939992.4299999</v>
      </c>
      <c r="AA195" t="n">
        <v>819939992.4299999</v>
      </c>
      <c r="AB195" t="n">
        <v>819939992.4299999</v>
      </c>
      <c r="AC195" t="n">
        <v>819939992.4299999</v>
      </c>
      <c r="AD195" t="n">
        <v>4675157923.57</v>
      </c>
      <c r="AE195" t="n">
        <v>14.92</v>
      </c>
    </row>
    <row r="196">
      <c r="A196" t="inlineStr">
        <is>
          <t>1 - ADMINISTRACIÓN CENTRAL</t>
        </is>
      </c>
      <c r="B196" t="inlineStr">
        <is>
          <t>00 - SIN SECTOR</t>
        </is>
      </c>
      <c r="C196" t="inlineStr">
        <is>
          <t>00</t>
        </is>
      </c>
      <c r="D196" t="inlineStr">
        <is>
          <t>0000</t>
        </is>
      </c>
      <c r="E196" t="inlineStr">
        <is>
          <t>0000000</t>
        </is>
      </c>
      <c r="F196" t="inlineStr">
        <is>
          <t>SIN PRODUCTO</t>
        </is>
      </c>
      <c r="G196" t="inlineStr">
        <is>
          <t>00</t>
        </is>
      </c>
      <c r="H196" t="inlineStr">
        <is>
          <t>SIN CODIGO BPIN</t>
        </is>
      </c>
      <c r="I196" t="inlineStr">
        <is>
          <t>00</t>
        </is>
      </c>
      <c r="J196" t="inlineStr">
        <is>
          <t>SIN PRODUCTO DANE</t>
        </is>
      </c>
      <c r="K196" t="inlineStr">
        <is>
          <t>00</t>
        </is>
      </c>
      <c r="L196" t="inlineStr">
        <is>
          <t>SIN ATRIBUTO</t>
        </is>
      </c>
      <c r="N196" t="inlineStr">
        <is>
          <t>2.2.2.02.02.002.02</t>
        </is>
      </c>
      <c r="O196" t="inlineStr">
        <is>
          <t>Banca comercial</t>
        </is>
      </c>
      <c r="P196" t="inlineStr">
        <is>
          <t>00</t>
        </is>
      </c>
      <c r="Q196" t="inlineStr">
        <is>
          <t>RECURSO PROPIOS</t>
        </is>
      </c>
      <c r="R196" t="n">
        <v>2474681249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2474681249</v>
      </c>
      <c r="Z196" t="n">
        <v>625989992.4299999</v>
      </c>
      <c r="AA196" t="n">
        <v>625989992.4299999</v>
      </c>
      <c r="AB196" t="n">
        <v>625989992.4299999</v>
      </c>
      <c r="AC196" t="n">
        <v>625989992.4299999</v>
      </c>
      <c r="AD196" t="n">
        <v>1848691256.57</v>
      </c>
      <c r="AE196" t="n">
        <v>25.3</v>
      </c>
    </row>
    <row r="197">
      <c r="A197" t="inlineStr">
        <is>
          <t>1 - ADMINISTRACIÓN CENTRAL</t>
        </is>
      </c>
      <c r="B197" t="inlineStr">
        <is>
          <t>00 - SIN SECTOR</t>
        </is>
      </c>
      <c r="C197" t="inlineStr">
        <is>
          <t>00</t>
        </is>
      </c>
      <c r="D197" t="inlineStr">
        <is>
          <t>0000</t>
        </is>
      </c>
      <c r="E197" t="inlineStr">
        <is>
          <t>0000000</t>
        </is>
      </c>
      <c r="F197" t="inlineStr">
        <is>
          <t>SIN PRODUCTO</t>
        </is>
      </c>
      <c r="G197" t="inlineStr">
        <is>
          <t>00</t>
        </is>
      </c>
      <c r="H197" t="inlineStr">
        <is>
          <t>SIN CODIGO BPIN</t>
        </is>
      </c>
      <c r="I197" t="inlineStr">
        <is>
          <t>00</t>
        </is>
      </c>
      <c r="J197" t="inlineStr">
        <is>
          <t>SIN PRODUCTO DANE</t>
        </is>
      </c>
      <c r="K197" t="inlineStr">
        <is>
          <t>00</t>
        </is>
      </c>
      <c r="L197" t="inlineStr">
        <is>
          <t>SIN ATRIBUTO</t>
        </is>
      </c>
      <c r="N197" t="inlineStr">
        <is>
          <t>2.2.2.02.02.002.02.03</t>
        </is>
      </c>
      <c r="O197" t="inlineStr">
        <is>
          <t>Banca comercial</t>
        </is>
      </c>
      <c r="P197" t="inlineStr">
        <is>
          <t>00</t>
        </is>
      </c>
      <c r="Q197" t="inlineStr">
        <is>
          <t>RECURSO PROPIOS</t>
        </is>
      </c>
      <c r="R197" t="n">
        <v>2474681249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2474681249</v>
      </c>
      <c r="Z197" t="n">
        <v>625989992.4299999</v>
      </c>
      <c r="AA197" t="n">
        <v>625989992.4299999</v>
      </c>
      <c r="AB197" t="n">
        <v>625989992.4299999</v>
      </c>
      <c r="AC197" t="n">
        <v>625989992.4299999</v>
      </c>
      <c r="AD197" t="n">
        <v>1848691256.57</v>
      </c>
      <c r="AE197" t="n">
        <v>25.3</v>
      </c>
    </row>
    <row r="198">
      <c r="A198" t="inlineStr">
        <is>
          <t>1 - ADMINISTRACIÓN CENTRAL</t>
        </is>
      </c>
      <c r="B198" t="inlineStr">
        <is>
          <t>00 - SIN SECTOR</t>
        </is>
      </c>
      <c r="C198" t="inlineStr">
        <is>
          <t>00</t>
        </is>
      </c>
      <c r="D198" t="inlineStr">
        <is>
          <t>0000</t>
        </is>
      </c>
      <c r="E198" t="inlineStr">
        <is>
          <t>0000000</t>
        </is>
      </c>
      <c r="F198" t="inlineStr">
        <is>
          <t>SIN PRODUCTO</t>
        </is>
      </c>
      <c r="G198" t="inlineStr">
        <is>
          <t>00</t>
        </is>
      </c>
      <c r="H198" t="inlineStr">
        <is>
          <t>SIN CODIGO BPIN</t>
        </is>
      </c>
      <c r="I198" t="inlineStr">
        <is>
          <t>00</t>
        </is>
      </c>
      <c r="J198" t="inlineStr">
        <is>
          <t>SIN PRODUCTO DANE</t>
        </is>
      </c>
      <c r="K198" t="inlineStr">
        <is>
          <t>00</t>
        </is>
      </c>
      <c r="L198" t="inlineStr">
        <is>
          <t>SIN ATRIBUTO</t>
        </is>
      </c>
      <c r="N198" t="inlineStr">
        <is>
          <t>2.2.2.02.02.002.02.03.1</t>
        </is>
      </c>
      <c r="O198" t="inlineStr">
        <is>
          <t>Recursos SGP Proposito General Libre Inversión</t>
        </is>
      </c>
      <c r="P198" t="inlineStr">
        <is>
          <t>00</t>
        </is>
      </c>
      <c r="Q198" t="inlineStr">
        <is>
          <t>RECURSO PROPIOS</t>
        </is>
      </c>
      <c r="R198" t="n">
        <v>213727532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213727532</v>
      </c>
      <c r="Z198" t="n">
        <v>81547416.87</v>
      </c>
      <c r="AA198" t="n">
        <v>81547416.87</v>
      </c>
      <c r="AB198" t="n">
        <v>81547416.87</v>
      </c>
      <c r="AC198" t="n">
        <v>81547416.87</v>
      </c>
      <c r="AD198" t="n">
        <v>132180115.13</v>
      </c>
      <c r="AE198" t="n">
        <v>38.15</v>
      </c>
    </row>
    <row r="199">
      <c r="A199" t="inlineStr">
        <is>
          <t>1 - ADMINISTRACIÓN CENTRAL</t>
        </is>
      </c>
      <c r="B199" t="inlineStr">
        <is>
          <t>00 - SIN SECTOR</t>
        </is>
      </c>
      <c r="C199" t="inlineStr">
        <is>
          <t>00</t>
        </is>
      </c>
      <c r="D199" t="inlineStr">
        <is>
          <t>0000</t>
        </is>
      </c>
      <c r="E199" t="inlineStr">
        <is>
          <t>0000000</t>
        </is>
      </c>
      <c r="F199" t="inlineStr">
        <is>
          <t>SIN PRODUCTO</t>
        </is>
      </c>
      <c r="G199" t="inlineStr">
        <is>
          <t>00</t>
        </is>
      </c>
      <c r="H199" t="inlineStr">
        <is>
          <t>SIN CODIGO BPIN</t>
        </is>
      </c>
      <c r="I199" t="inlineStr">
        <is>
          <t>00</t>
        </is>
      </c>
      <c r="J199" t="inlineStr">
        <is>
          <t>SIN PRODUCTO DANE</t>
        </is>
      </c>
      <c r="K199" t="inlineStr">
        <is>
          <t>00</t>
        </is>
      </c>
      <c r="L199" t="inlineStr">
        <is>
          <t>SIN ATRIBUTO</t>
        </is>
      </c>
      <c r="N199" t="inlineStr">
        <is>
          <t>2.2.2.02.02.002.02.03.1.01</t>
        </is>
      </c>
      <c r="O199" t="inlineStr">
        <is>
          <t>Banco Bbva</t>
        </is>
      </c>
      <c r="P199" t="inlineStr">
        <is>
          <t>1.2.4.3.03</t>
        </is>
      </c>
      <c r="Q199" t="inlineStr">
        <is>
          <t>SGP-PROPOSITO GENERAL-PROPOSITO GENERAL LIBRE INVERSION</t>
        </is>
      </c>
      <c r="R199" t="n">
        <v>213727532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213727532</v>
      </c>
      <c r="Z199" t="n">
        <v>81547416.87</v>
      </c>
      <c r="AA199" t="n">
        <v>81547416.87</v>
      </c>
      <c r="AB199" t="n">
        <v>81547416.87</v>
      </c>
      <c r="AC199" t="n">
        <v>81547416.87</v>
      </c>
      <c r="AD199" t="n">
        <v>132180115.13</v>
      </c>
      <c r="AE199" t="n">
        <v>38.15</v>
      </c>
    </row>
    <row r="200">
      <c r="A200" t="inlineStr">
        <is>
          <t>1 - ADMINISTRACIÓN CENTRAL</t>
        </is>
      </c>
      <c r="B200" t="inlineStr">
        <is>
          <t>00 - SIN SECTOR</t>
        </is>
      </c>
      <c r="C200" t="inlineStr">
        <is>
          <t>00</t>
        </is>
      </c>
      <c r="D200" t="inlineStr">
        <is>
          <t>0000</t>
        </is>
      </c>
      <c r="E200" t="inlineStr">
        <is>
          <t>0000000</t>
        </is>
      </c>
      <c r="F200" t="inlineStr">
        <is>
          <t>SIN PRODUCTO</t>
        </is>
      </c>
      <c r="G200" t="inlineStr">
        <is>
          <t>00</t>
        </is>
      </c>
      <c r="H200" t="inlineStr">
        <is>
          <t>SIN CODIGO BPIN</t>
        </is>
      </c>
      <c r="I200" t="inlineStr">
        <is>
          <t>00</t>
        </is>
      </c>
      <c r="J200" t="inlineStr">
        <is>
          <t>SIN PRODUCTO DANE</t>
        </is>
      </c>
      <c r="K200" t="inlineStr">
        <is>
          <t>00</t>
        </is>
      </c>
      <c r="L200" t="inlineStr">
        <is>
          <t>SIN ATRIBUTO</t>
        </is>
      </c>
      <c r="N200" t="inlineStr">
        <is>
          <t>2.2.2.02.02.002.02.03.2</t>
        </is>
      </c>
      <c r="O200" t="inlineStr">
        <is>
          <t>Recursos SGP Proposito General Libre Destinación</t>
        </is>
      </c>
      <c r="P200" t="inlineStr">
        <is>
          <t>00</t>
        </is>
      </c>
      <c r="Q200" t="inlineStr">
        <is>
          <t>RECURSO PROPIOS</t>
        </is>
      </c>
      <c r="R200" t="n">
        <v>307409017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307409017</v>
      </c>
      <c r="Z200" t="n">
        <v>99935808.28</v>
      </c>
      <c r="AA200" t="n">
        <v>99935808.28</v>
      </c>
      <c r="AB200" t="n">
        <v>99935808.28</v>
      </c>
      <c r="AC200" t="n">
        <v>99935808.28</v>
      </c>
      <c r="AD200" t="n">
        <v>207473208.72</v>
      </c>
      <c r="AE200" t="n">
        <v>32.51</v>
      </c>
    </row>
    <row r="201">
      <c r="A201" t="inlineStr">
        <is>
          <t>1 - ADMINISTRACIÓN CENTRAL</t>
        </is>
      </c>
      <c r="B201" t="inlineStr">
        <is>
          <t>00 - SIN SECTOR</t>
        </is>
      </c>
      <c r="C201" t="inlineStr">
        <is>
          <t>00</t>
        </is>
      </c>
      <c r="D201" t="inlineStr">
        <is>
          <t>0000</t>
        </is>
      </c>
      <c r="E201" t="inlineStr">
        <is>
          <t>0000000</t>
        </is>
      </c>
      <c r="F201" t="inlineStr">
        <is>
          <t>SIN PRODUCTO</t>
        </is>
      </c>
      <c r="G201" t="inlineStr">
        <is>
          <t>00</t>
        </is>
      </c>
      <c r="H201" t="inlineStr">
        <is>
          <t>SIN CODIGO BPIN</t>
        </is>
      </c>
      <c r="I201" t="inlineStr">
        <is>
          <t>00</t>
        </is>
      </c>
      <c r="J201" t="inlineStr">
        <is>
          <t>SIN PRODUCTO DANE</t>
        </is>
      </c>
      <c r="K201" t="inlineStr">
        <is>
          <t>00</t>
        </is>
      </c>
      <c r="L201" t="inlineStr">
        <is>
          <t>SIN ATRIBUTO</t>
        </is>
      </c>
      <c r="N201" t="inlineStr">
        <is>
          <t>2.2.2.02.02.002.02.03.2.01</t>
        </is>
      </c>
      <c r="O201" t="inlineStr">
        <is>
          <t>Banco Agrario de Colombia</t>
        </is>
      </c>
      <c r="P201" t="inlineStr">
        <is>
          <t>1.2.4.3.04</t>
        </is>
      </c>
      <c r="Q201" t="inlineStr">
        <is>
          <t>SGP-PROPOSITO GENERAL-LIBRE DESTINACION MUNICIPIOS CATEGORIAS 4, 5 Y 6</t>
        </is>
      </c>
      <c r="R201" t="n">
        <v>153849989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153849989</v>
      </c>
      <c r="Z201" t="n">
        <v>31644485</v>
      </c>
      <c r="AA201" t="n">
        <v>31644485</v>
      </c>
      <c r="AB201" t="n">
        <v>31644485</v>
      </c>
      <c r="AC201" t="n">
        <v>31644485</v>
      </c>
      <c r="AD201" t="n">
        <v>122205504</v>
      </c>
      <c r="AE201" t="n">
        <v>20.57</v>
      </c>
    </row>
    <row r="202">
      <c r="A202" t="inlineStr">
        <is>
          <t>1 - ADMINISTRACIÓN CENTRAL</t>
        </is>
      </c>
      <c r="B202" t="inlineStr">
        <is>
          <t>00 - SIN SECTOR</t>
        </is>
      </c>
      <c r="C202" t="inlineStr">
        <is>
          <t>00</t>
        </is>
      </c>
      <c r="D202" t="inlineStr">
        <is>
          <t>0000</t>
        </is>
      </c>
      <c r="E202" t="inlineStr">
        <is>
          <t>0000000</t>
        </is>
      </c>
      <c r="F202" t="inlineStr">
        <is>
          <t>SIN PRODUCTO</t>
        </is>
      </c>
      <c r="G202" t="inlineStr">
        <is>
          <t>00</t>
        </is>
      </c>
      <c r="H202" t="inlineStr">
        <is>
          <t>SIN CODIGO BPIN</t>
        </is>
      </c>
      <c r="I202" t="inlineStr">
        <is>
          <t>00</t>
        </is>
      </c>
      <c r="J202" t="inlineStr">
        <is>
          <t>SIN PRODUCTO DANE</t>
        </is>
      </c>
      <c r="K202" t="inlineStr">
        <is>
          <t>00</t>
        </is>
      </c>
      <c r="L202" t="inlineStr">
        <is>
          <t>SIN ATRIBUTO</t>
        </is>
      </c>
      <c r="N202" t="inlineStr">
        <is>
          <t>2.2.2.02.02.002.02.03.2.02</t>
        </is>
      </c>
      <c r="O202" t="inlineStr">
        <is>
          <t>Banco Bbva</t>
        </is>
      </c>
      <c r="P202" t="inlineStr">
        <is>
          <t>1.2.4.3.04</t>
        </is>
      </c>
      <c r="Q202" t="inlineStr">
        <is>
          <t>SGP-PROPOSITO GENERAL-LIBRE DESTINACION MUNICIPIOS CATEGORIAS 4, 5 Y 6</t>
        </is>
      </c>
      <c r="R202" t="n">
        <v>153559028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153559028</v>
      </c>
      <c r="Z202" t="n">
        <v>68291323.28</v>
      </c>
      <c r="AA202" t="n">
        <v>68291323.28</v>
      </c>
      <c r="AB202" t="n">
        <v>68291323.28</v>
      </c>
      <c r="AC202" t="n">
        <v>68291323.28</v>
      </c>
      <c r="AD202" t="n">
        <v>85267704.72</v>
      </c>
      <c r="AE202" t="n">
        <v>44.47</v>
      </c>
    </row>
    <row r="203">
      <c r="A203" t="inlineStr">
        <is>
          <t>1 - ADMINISTRACIÓN CENTRAL</t>
        </is>
      </c>
      <c r="B203" t="inlineStr">
        <is>
          <t>00 - SIN SECTOR</t>
        </is>
      </c>
      <c r="C203" t="inlineStr">
        <is>
          <t>00</t>
        </is>
      </c>
      <c r="D203" t="inlineStr">
        <is>
          <t>0000</t>
        </is>
      </c>
      <c r="E203" t="inlineStr">
        <is>
          <t>0000000</t>
        </is>
      </c>
      <c r="F203" t="inlineStr">
        <is>
          <t>SIN PRODUCTO</t>
        </is>
      </c>
      <c r="G203" t="inlineStr">
        <is>
          <t>00</t>
        </is>
      </c>
      <c r="H203" t="inlineStr">
        <is>
          <t>SIN CODIGO BPIN</t>
        </is>
      </c>
      <c r="I203" t="inlineStr">
        <is>
          <t>00</t>
        </is>
      </c>
      <c r="J203" t="inlineStr">
        <is>
          <t>SIN PRODUCTO DANE</t>
        </is>
      </c>
      <c r="K203" t="inlineStr">
        <is>
          <t>00</t>
        </is>
      </c>
      <c r="L203" t="inlineStr">
        <is>
          <t>SIN ATRIBUTO</t>
        </is>
      </c>
      <c r="N203" t="inlineStr">
        <is>
          <t>2.2.2.02.02.002.02.03.3</t>
        </is>
      </c>
      <c r="O203" t="inlineStr">
        <is>
          <t>Recursos Propios</t>
        </is>
      </c>
      <c r="P203" t="inlineStr">
        <is>
          <t>00</t>
        </is>
      </c>
      <c r="Q203" t="inlineStr">
        <is>
          <t>RECURSO PROPIOS</t>
        </is>
      </c>
      <c r="R203" t="n">
        <v>1953544700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1953544700</v>
      </c>
      <c r="Z203" t="n">
        <v>444506767.28</v>
      </c>
      <c r="AA203" t="n">
        <v>444506767.28</v>
      </c>
      <c r="AB203" t="n">
        <v>444506767.28</v>
      </c>
      <c r="AC203" t="n">
        <v>444506767.28</v>
      </c>
      <c r="AD203" t="n">
        <v>1509037932.72</v>
      </c>
      <c r="AE203" t="n">
        <v>22.75</v>
      </c>
    </row>
    <row r="204">
      <c r="A204" t="inlineStr">
        <is>
          <t>1 - ADMINISTRACIÓN CENTRAL</t>
        </is>
      </c>
      <c r="B204" t="inlineStr">
        <is>
          <t>00 - SIN SECTOR</t>
        </is>
      </c>
      <c r="C204" t="inlineStr">
        <is>
          <t>00</t>
        </is>
      </c>
      <c r="D204" t="inlineStr">
        <is>
          <t>0000</t>
        </is>
      </c>
      <c r="E204" t="inlineStr">
        <is>
          <t>0000000</t>
        </is>
      </c>
      <c r="F204" t="inlineStr">
        <is>
          <t>SIN PRODUCTO</t>
        </is>
      </c>
      <c r="G204" t="inlineStr">
        <is>
          <t>00</t>
        </is>
      </c>
      <c r="H204" t="inlineStr">
        <is>
          <t>SIN CODIGO BPIN</t>
        </is>
      </c>
      <c r="I204" t="inlineStr">
        <is>
          <t>00</t>
        </is>
      </c>
      <c r="J204" t="inlineStr">
        <is>
          <t>SIN PRODUCTO DANE</t>
        </is>
      </c>
      <c r="K204" t="inlineStr">
        <is>
          <t>00</t>
        </is>
      </c>
      <c r="L204" t="inlineStr">
        <is>
          <t>SIN ATRIBUTO</t>
        </is>
      </c>
      <c r="N204" t="inlineStr">
        <is>
          <t>2.2.2.02.02.002.02.03.3.01</t>
        </is>
      </c>
      <c r="O204" t="inlineStr">
        <is>
          <t>Banco Agrario de Colombia</t>
        </is>
      </c>
      <c r="P204" t="inlineStr">
        <is>
          <t>1.2.1.0.00</t>
        </is>
      </c>
      <c r="Q204" t="inlineStr">
        <is>
          <t>INGRESOS CORRIENTES DE LIBRE DESTINACION</t>
        </is>
      </c>
      <c r="R204" t="n">
        <v>145805570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145805570</v>
      </c>
      <c r="Z204" t="n">
        <v>31930386</v>
      </c>
      <c r="AA204" t="n">
        <v>31930386</v>
      </c>
      <c r="AB204" t="n">
        <v>31930386</v>
      </c>
      <c r="AC204" t="n">
        <v>31930386</v>
      </c>
      <c r="AD204" t="n">
        <v>113875184</v>
      </c>
      <c r="AE204" t="n">
        <v>21.9</v>
      </c>
    </row>
    <row r="205">
      <c r="A205" t="inlineStr">
        <is>
          <t>1 - ADMINISTRACIÓN CENTRAL</t>
        </is>
      </c>
      <c r="B205" t="inlineStr">
        <is>
          <t>00 - SIN SECTOR</t>
        </is>
      </c>
      <c r="C205" t="inlineStr">
        <is>
          <t>00</t>
        </is>
      </c>
      <c r="D205" t="inlineStr">
        <is>
          <t>0000</t>
        </is>
      </c>
      <c r="E205" t="inlineStr">
        <is>
          <t>0000000</t>
        </is>
      </c>
      <c r="F205" t="inlineStr">
        <is>
          <t>SIN PRODUCTO</t>
        </is>
      </c>
      <c r="G205" t="inlineStr">
        <is>
          <t>00</t>
        </is>
      </c>
      <c r="H205" t="inlineStr">
        <is>
          <t>SIN CODIGO BPIN</t>
        </is>
      </c>
      <c r="I205" t="inlineStr">
        <is>
          <t>00</t>
        </is>
      </c>
      <c r="J205" t="inlineStr">
        <is>
          <t>SIN PRODUCTO DANE</t>
        </is>
      </c>
      <c r="K205" t="inlineStr">
        <is>
          <t>00</t>
        </is>
      </c>
      <c r="L205" t="inlineStr">
        <is>
          <t>SIN ATRIBUTO</t>
        </is>
      </c>
      <c r="N205" t="inlineStr">
        <is>
          <t>2.2.2.02.02.002.02.03.3.02</t>
        </is>
      </c>
      <c r="O205" t="inlineStr">
        <is>
          <t>Banco Bbva</t>
        </is>
      </c>
      <c r="P205" t="inlineStr">
        <is>
          <t>1.2.1.0.00</t>
        </is>
      </c>
      <c r="Q205" t="inlineStr">
        <is>
          <t>INGRESOS CORRIENTES DE LIBRE DESTINACION</t>
        </is>
      </c>
      <c r="R205" t="n">
        <v>153559028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153559028</v>
      </c>
      <c r="Z205" t="n">
        <v>68291323.28</v>
      </c>
      <c r="AA205" t="n">
        <v>68291323.28</v>
      </c>
      <c r="AB205" t="n">
        <v>68291323.28</v>
      </c>
      <c r="AC205" t="n">
        <v>68291323.28</v>
      </c>
      <c r="AD205" t="n">
        <v>85267704.72</v>
      </c>
      <c r="AE205" t="n">
        <v>44.47</v>
      </c>
    </row>
    <row r="206">
      <c r="A206" t="inlineStr">
        <is>
          <t>1 - ADMINISTRACIÓN CENTRAL</t>
        </is>
      </c>
      <c r="B206" t="inlineStr">
        <is>
          <t>00 - SIN SECTOR</t>
        </is>
      </c>
      <c r="C206" t="inlineStr">
        <is>
          <t>00</t>
        </is>
      </c>
      <c r="D206" t="inlineStr">
        <is>
          <t>0000</t>
        </is>
      </c>
      <c r="E206" t="inlineStr">
        <is>
          <t>0000000</t>
        </is>
      </c>
      <c r="F206" t="inlineStr">
        <is>
          <t>SIN PRODUCTO</t>
        </is>
      </c>
      <c r="G206" t="inlineStr">
        <is>
          <t>00</t>
        </is>
      </c>
      <c r="H206" t="inlineStr">
        <is>
          <t>SIN CODIGO BPIN</t>
        </is>
      </c>
      <c r="I206" t="inlineStr">
        <is>
          <t>00</t>
        </is>
      </c>
      <c r="J206" t="inlineStr">
        <is>
          <t>SIN PRODUCTO DANE</t>
        </is>
      </c>
      <c r="K206" t="inlineStr">
        <is>
          <t>00</t>
        </is>
      </c>
      <c r="L206" t="inlineStr">
        <is>
          <t>SIN ATRIBUTO</t>
        </is>
      </c>
      <c r="N206" t="inlineStr">
        <is>
          <t>2.2.2.02.02.002.02.03.3.04</t>
        </is>
      </c>
      <c r="O206" t="inlineStr">
        <is>
          <t>Banco de Colombia</t>
        </is>
      </c>
      <c r="P206" t="inlineStr">
        <is>
          <t>1.2.1.0.00</t>
        </is>
      </c>
      <c r="Q206" t="inlineStr">
        <is>
          <t>INGRESOS CORRIENTES DE LIBRE DESTINACION</t>
        </is>
      </c>
      <c r="R206" t="n">
        <v>1654180102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1654180102</v>
      </c>
      <c r="Z206" t="n">
        <v>344285058</v>
      </c>
      <c r="AA206" t="n">
        <v>344285058</v>
      </c>
      <c r="AB206" t="n">
        <v>344285058</v>
      </c>
      <c r="AC206" t="n">
        <v>344285058</v>
      </c>
      <c r="AD206" t="n">
        <v>1309895044</v>
      </c>
      <c r="AE206" t="n">
        <v>20.81</v>
      </c>
    </row>
    <row r="207">
      <c r="A207" t="inlineStr">
        <is>
          <t>1 - ADMINISTRACIÓN CENTRAL</t>
        </is>
      </c>
      <c r="B207" t="inlineStr">
        <is>
          <t>00 - SIN SECTOR</t>
        </is>
      </c>
      <c r="C207" t="inlineStr">
        <is>
          <t>00</t>
        </is>
      </c>
      <c r="D207" t="inlineStr">
        <is>
          <t>0000</t>
        </is>
      </c>
      <c r="E207" t="inlineStr">
        <is>
          <t>0000000</t>
        </is>
      </c>
      <c r="F207" t="inlineStr">
        <is>
          <t>SIN PRODUCTO</t>
        </is>
      </c>
      <c r="G207" t="inlineStr">
        <is>
          <t>00</t>
        </is>
      </c>
      <c r="H207" t="inlineStr">
        <is>
          <t>SIN CODIGO BPIN</t>
        </is>
      </c>
      <c r="I207" t="inlineStr">
        <is>
          <t>00</t>
        </is>
      </c>
      <c r="J207" t="inlineStr">
        <is>
          <t>SIN PRODUCTO DANE</t>
        </is>
      </c>
      <c r="K207" t="inlineStr">
        <is>
          <t>00</t>
        </is>
      </c>
      <c r="L207" t="inlineStr">
        <is>
          <t>SIN ATRIBUTO</t>
        </is>
      </c>
      <c r="N207" t="inlineStr">
        <is>
          <t>2.2.2.02.02.002.03</t>
        </is>
      </c>
      <c r="O207" t="inlineStr">
        <is>
          <t>Banca de fomento</t>
        </is>
      </c>
      <c r="P207" t="inlineStr">
        <is>
          <t>00</t>
        </is>
      </c>
      <c r="Q207" t="inlineStr">
        <is>
          <t>RECURSO PROPIOS</t>
        </is>
      </c>
      <c r="R207" t="n">
        <v>3020416667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3020416667</v>
      </c>
      <c r="Z207" t="n">
        <v>193950000</v>
      </c>
      <c r="AA207" t="n">
        <v>193950000</v>
      </c>
      <c r="AB207" t="n">
        <v>193950000</v>
      </c>
      <c r="AC207" t="n">
        <v>193950000</v>
      </c>
      <c r="AD207" t="n">
        <v>2826466667</v>
      </c>
      <c r="AE207" t="n">
        <v>6.42</v>
      </c>
    </row>
    <row r="208">
      <c r="A208" t="inlineStr">
        <is>
          <t>1 - ADMINISTRACIÓN CENTRAL</t>
        </is>
      </c>
      <c r="B208" t="inlineStr">
        <is>
          <t>00 - SIN SECTOR</t>
        </is>
      </c>
      <c r="C208" t="inlineStr">
        <is>
          <t>00</t>
        </is>
      </c>
      <c r="D208" t="inlineStr">
        <is>
          <t>0000</t>
        </is>
      </c>
      <c r="E208" t="inlineStr">
        <is>
          <t>0000000</t>
        </is>
      </c>
      <c r="F208" t="inlineStr">
        <is>
          <t>SIN PRODUCTO</t>
        </is>
      </c>
      <c r="G208" t="inlineStr">
        <is>
          <t>00</t>
        </is>
      </c>
      <c r="H208" t="inlineStr">
        <is>
          <t>SIN CODIGO BPIN</t>
        </is>
      </c>
      <c r="I208" t="inlineStr">
        <is>
          <t>00</t>
        </is>
      </c>
      <c r="J208" t="inlineStr">
        <is>
          <t>SIN PRODUCTO DANE</t>
        </is>
      </c>
      <c r="K208" t="inlineStr">
        <is>
          <t>00</t>
        </is>
      </c>
      <c r="L208" t="inlineStr">
        <is>
          <t>SIN ATRIBUTO</t>
        </is>
      </c>
      <c r="N208" t="inlineStr">
        <is>
          <t>2.2.2.02.02.002.03.1</t>
        </is>
      </c>
      <c r="O208" t="inlineStr">
        <is>
          <t xml:space="preserve">Recursos Ingresos con destinacion especifica legal e Ingresos corrientes de libre destinacion </t>
        </is>
      </c>
      <c r="P208" t="inlineStr">
        <is>
          <t>00</t>
        </is>
      </c>
      <c r="Q208" t="inlineStr">
        <is>
          <t>RECURSO PROPIOS</t>
        </is>
      </c>
      <c r="R208" t="n">
        <v>3020416667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3020416667</v>
      </c>
      <c r="Z208" t="n">
        <v>193950000</v>
      </c>
      <c r="AA208" t="n">
        <v>193950000</v>
      </c>
      <c r="AB208" t="n">
        <v>193950000</v>
      </c>
      <c r="AC208" t="n">
        <v>193950000</v>
      </c>
      <c r="AD208" t="n">
        <v>2826466667</v>
      </c>
      <c r="AE208" t="n">
        <v>6.42</v>
      </c>
    </row>
    <row r="209">
      <c r="A209" t="inlineStr">
        <is>
          <t>1 - ADMINISTRACIÓN CENTRAL</t>
        </is>
      </c>
      <c r="B209" t="inlineStr">
        <is>
          <t>00 - SIN SECTOR</t>
        </is>
      </c>
      <c r="C209" t="inlineStr">
        <is>
          <t>00</t>
        </is>
      </c>
      <c r="D209" t="inlineStr">
        <is>
          <t>0000</t>
        </is>
      </c>
      <c r="E209" t="inlineStr">
        <is>
          <t>0000000</t>
        </is>
      </c>
      <c r="F209" t="inlineStr">
        <is>
          <t>SIN PRODUCTO</t>
        </is>
      </c>
      <c r="G209" t="inlineStr">
        <is>
          <t>00</t>
        </is>
      </c>
      <c r="H209" t="inlineStr">
        <is>
          <t>SIN CODIGO BPIN</t>
        </is>
      </c>
      <c r="I209" t="inlineStr">
        <is>
          <t>00</t>
        </is>
      </c>
      <c r="J209" t="inlineStr">
        <is>
          <t>SIN PRODUCTO DANE</t>
        </is>
      </c>
      <c r="K209" t="inlineStr">
        <is>
          <t>00</t>
        </is>
      </c>
      <c r="L209" t="inlineStr">
        <is>
          <t>SIN ATRIBUTO</t>
        </is>
      </c>
      <c r="N209" t="inlineStr">
        <is>
          <t>2.2.2.02.02.002.03.1.01</t>
        </is>
      </c>
      <c r="O209" t="inlineStr">
        <is>
          <t>Ifinorte</t>
        </is>
      </c>
      <c r="P209" t="inlineStr">
        <is>
          <t>1.2.1.0.00</t>
        </is>
      </c>
      <c r="Q209" t="inlineStr">
        <is>
          <t>INGRESOS CORRIENTES DE LIBRE DESTINACION</t>
        </is>
      </c>
      <c r="R209" t="n">
        <v>2520416667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2520416667</v>
      </c>
      <c r="Z209" t="n">
        <v>193950000</v>
      </c>
      <c r="AA209" t="n">
        <v>193950000</v>
      </c>
      <c r="AB209" t="n">
        <v>193950000</v>
      </c>
      <c r="AC209" t="n">
        <v>193950000</v>
      </c>
      <c r="AD209" t="n">
        <v>2326466667</v>
      </c>
      <c r="AE209" t="n">
        <v>7.7</v>
      </c>
    </row>
    <row r="210">
      <c r="A210" t="inlineStr">
        <is>
          <t>1 - ADMINISTRACIÓN CENTRAL</t>
        </is>
      </c>
      <c r="B210" t="inlineStr">
        <is>
          <t>00 - SIN SECTOR</t>
        </is>
      </c>
      <c r="C210" t="inlineStr">
        <is>
          <t>00</t>
        </is>
      </c>
      <c r="D210" t="inlineStr">
        <is>
          <t>0000</t>
        </is>
      </c>
      <c r="E210" t="inlineStr">
        <is>
          <t>0000000</t>
        </is>
      </c>
      <c r="F210" t="inlineStr">
        <is>
          <t>SIN PRODUCTO</t>
        </is>
      </c>
      <c r="G210" t="inlineStr">
        <is>
          <t>00</t>
        </is>
      </c>
      <c r="H210" t="inlineStr">
        <is>
          <t>SIN CODIGO BPIN</t>
        </is>
      </c>
      <c r="I210" t="inlineStr">
        <is>
          <t>00</t>
        </is>
      </c>
      <c r="J210" t="inlineStr">
        <is>
          <t>SIN PRODUCTO DANE</t>
        </is>
      </c>
      <c r="K210" t="inlineStr">
        <is>
          <t>00</t>
        </is>
      </c>
      <c r="L210" t="inlineStr">
        <is>
          <t>SIN ATRIBUTO</t>
        </is>
      </c>
      <c r="N210" t="inlineStr">
        <is>
          <t>2.2.2.02.02.002.03.1.02</t>
        </is>
      </c>
      <c r="O210" t="inlineStr">
        <is>
          <t>Ifinorte</t>
        </is>
      </c>
      <c r="P210" t="inlineStr">
        <is>
          <t>1.2.3.2.09.01</t>
        </is>
      </c>
      <c r="Q210" t="inlineStr">
        <is>
          <t>CONTRIBUCIÓN POR VALORIZACIÓN</t>
        </is>
      </c>
      <c r="R210" t="n">
        <v>500000000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500000000</v>
      </c>
      <c r="Z210" t="n">
        <v>0</v>
      </c>
      <c r="AA210" t="n">
        <v>0</v>
      </c>
      <c r="AB210" t="n">
        <v>0</v>
      </c>
      <c r="AC210" t="n">
        <v>0</v>
      </c>
      <c r="AD210" t="n">
        <v>500000000</v>
      </c>
      <c r="AE210" t="n">
        <v>0</v>
      </c>
    </row>
    <row r="211">
      <c r="A211" t="inlineStr">
        <is>
          <t>1 - ADMINISTRACIÓN CENTRAL</t>
        </is>
      </c>
      <c r="B211" t="inlineStr">
        <is>
          <t>00 - SIN SECTOR</t>
        </is>
      </c>
      <c r="C211" t="inlineStr">
        <is>
          <t>00</t>
        </is>
      </c>
      <c r="D211" t="inlineStr">
        <is>
          <t>0000</t>
        </is>
      </c>
      <c r="E211" t="inlineStr">
        <is>
          <t>0000000</t>
        </is>
      </c>
      <c r="F211" t="inlineStr">
        <is>
          <t>SIN PRODUCTO</t>
        </is>
      </c>
      <c r="G211" t="inlineStr">
        <is>
          <t>00</t>
        </is>
      </c>
      <c r="H211" t="inlineStr">
        <is>
          <t>SIN CODIGO BPIN</t>
        </is>
      </c>
      <c r="I211" t="inlineStr">
        <is>
          <t>00</t>
        </is>
      </c>
      <c r="J211" t="inlineStr">
        <is>
          <t>SIN PRODUCTO DANE</t>
        </is>
      </c>
      <c r="K211" t="inlineStr">
        <is>
          <t>00</t>
        </is>
      </c>
      <c r="L211" t="inlineStr">
        <is>
          <t>SIN ATRIBUTO</t>
        </is>
      </c>
      <c r="N211" t="inlineStr">
        <is>
          <t>2.2.2.05</t>
        </is>
      </c>
      <c r="O211" t="inlineStr">
        <is>
          <t>Bonos pensionales</t>
        </is>
      </c>
      <c r="P211" t="inlineStr">
        <is>
          <t>00</t>
        </is>
      </c>
      <c r="Q211" t="inlineStr">
        <is>
          <t>RECURSO PROPIOS</t>
        </is>
      </c>
      <c r="R211" t="n">
        <v>741400000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741400000</v>
      </c>
      <c r="Z211" t="n">
        <v>6788276</v>
      </c>
      <c r="AA211" t="n">
        <v>2079051</v>
      </c>
      <c r="AB211" t="n">
        <v>2079051</v>
      </c>
      <c r="AC211" t="n">
        <v>2079051</v>
      </c>
      <c r="AD211" t="n">
        <v>739320949</v>
      </c>
      <c r="AE211" t="n">
        <v>0.28</v>
      </c>
    </row>
    <row r="212">
      <c r="A212" t="inlineStr">
        <is>
          <t>1 - ADMINISTRACIÓN CENTRAL</t>
        </is>
      </c>
      <c r="B212" t="inlineStr">
        <is>
          <t>00 - SIN SECTOR</t>
        </is>
      </c>
      <c r="C212" t="inlineStr">
        <is>
          <t>00</t>
        </is>
      </c>
      <c r="D212" t="inlineStr">
        <is>
          <t>0000</t>
        </is>
      </c>
      <c r="E212" t="inlineStr">
        <is>
          <t>0000000</t>
        </is>
      </c>
      <c r="F212" t="inlineStr">
        <is>
          <t>SIN PRODUCTO</t>
        </is>
      </c>
      <c r="G212" t="inlineStr">
        <is>
          <t>00</t>
        </is>
      </c>
      <c r="H212" t="inlineStr">
        <is>
          <t>SIN CODIGO BPIN</t>
        </is>
      </c>
      <c r="I212" t="inlineStr">
        <is>
          <t>00</t>
        </is>
      </c>
      <c r="J212" t="inlineStr">
        <is>
          <t>SIN PRODUCTO DANE</t>
        </is>
      </c>
      <c r="K212" t="inlineStr">
        <is>
          <t>00</t>
        </is>
      </c>
      <c r="L212" t="inlineStr">
        <is>
          <t>SIN ATRIBUTO</t>
        </is>
      </c>
      <c r="N212" t="inlineStr">
        <is>
          <t>2.2.2.05.01</t>
        </is>
      </c>
      <c r="O212" t="inlineStr">
        <is>
          <t>Tipo a</t>
        </is>
      </c>
      <c r="P212" t="inlineStr">
        <is>
          <t>00</t>
        </is>
      </c>
      <c r="Q212" t="inlineStr">
        <is>
          <t>RECURSO PROPIOS</t>
        </is>
      </c>
      <c r="R212" t="n">
        <v>370700000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370700000</v>
      </c>
      <c r="Z212" t="n">
        <v>4709225</v>
      </c>
      <c r="AA212" t="n">
        <v>0</v>
      </c>
      <c r="AB212" t="n">
        <v>0</v>
      </c>
      <c r="AC212" t="n">
        <v>0</v>
      </c>
      <c r="AD212" t="n">
        <v>370700000</v>
      </c>
      <c r="AE212" t="n">
        <v>0</v>
      </c>
    </row>
    <row r="213">
      <c r="A213" t="inlineStr">
        <is>
          <t>1 - ADMINISTRACIÓN CENTRAL</t>
        </is>
      </c>
      <c r="B213" t="inlineStr">
        <is>
          <t>00 - SIN SECTOR</t>
        </is>
      </c>
      <c r="C213" t="inlineStr">
        <is>
          <t>00</t>
        </is>
      </c>
      <c r="D213" t="inlineStr">
        <is>
          <t>0000</t>
        </is>
      </c>
      <c r="E213" t="inlineStr">
        <is>
          <t>0000000</t>
        </is>
      </c>
      <c r="F213" t="inlineStr">
        <is>
          <t>SIN PRODUCTO</t>
        </is>
      </c>
      <c r="G213" t="inlineStr">
        <is>
          <t>00</t>
        </is>
      </c>
      <c r="H213" t="inlineStr">
        <is>
          <t>SIN CODIGO BPIN</t>
        </is>
      </c>
      <c r="I213" t="inlineStr">
        <is>
          <t>00</t>
        </is>
      </c>
      <c r="J213" t="inlineStr">
        <is>
          <t>SIN PRODUCTO DANE</t>
        </is>
      </c>
      <c r="K213" t="inlineStr">
        <is>
          <t>00</t>
        </is>
      </c>
      <c r="L213" t="inlineStr">
        <is>
          <t>SIN ATRIBUTO</t>
        </is>
      </c>
      <c r="N213" t="inlineStr">
        <is>
          <t>2.2.2.05.01.01</t>
        </is>
      </c>
      <c r="O213" t="inlineStr">
        <is>
          <t>Pasivo Pensional 20% Estampilla del Adulto Mayor</t>
        </is>
      </c>
      <c r="P213" t="inlineStr">
        <is>
          <t>1.2.3.1.19.01</t>
        </is>
      </c>
      <c r="Q213" t="inlineStr">
        <is>
          <t>ESTAMPILLA PARA EL BIENESTAR DEL ADULTO MAYOR</t>
        </is>
      </c>
      <c r="R213" t="n">
        <v>200000000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200000000</v>
      </c>
      <c r="Z213" t="n">
        <v>4709225</v>
      </c>
      <c r="AA213" t="n">
        <v>0</v>
      </c>
      <c r="AB213" t="n">
        <v>0</v>
      </c>
      <c r="AC213" t="n">
        <v>0</v>
      </c>
      <c r="AD213" t="n">
        <v>200000000</v>
      </c>
      <c r="AE213" t="n">
        <v>0</v>
      </c>
    </row>
    <row r="214">
      <c r="A214" t="inlineStr">
        <is>
          <t>1 - ADMINISTRACIÓN CENTRAL</t>
        </is>
      </c>
      <c r="B214" t="inlineStr">
        <is>
          <t>00 - SIN SECTOR</t>
        </is>
      </c>
      <c r="C214" t="inlineStr">
        <is>
          <t>00</t>
        </is>
      </c>
      <c r="D214" t="inlineStr">
        <is>
          <t>0000</t>
        </is>
      </c>
      <c r="E214" t="inlineStr">
        <is>
          <t>0000000</t>
        </is>
      </c>
      <c r="F214" t="inlineStr">
        <is>
          <t>SIN PRODUCTO</t>
        </is>
      </c>
      <c r="G214" t="inlineStr">
        <is>
          <t>00</t>
        </is>
      </c>
      <c r="H214" t="inlineStr">
        <is>
          <t>SIN CODIGO BPIN</t>
        </is>
      </c>
      <c r="I214" t="inlineStr">
        <is>
          <t>00</t>
        </is>
      </c>
      <c r="J214" t="inlineStr">
        <is>
          <t>SIN PRODUCTO DANE</t>
        </is>
      </c>
      <c r="K214" t="inlineStr">
        <is>
          <t>00</t>
        </is>
      </c>
      <c r="L214" t="inlineStr">
        <is>
          <t>SIN ATRIBUTO</t>
        </is>
      </c>
      <c r="N214" t="inlineStr">
        <is>
          <t>2.2.2.05.01.02</t>
        </is>
      </c>
      <c r="O214" t="inlineStr">
        <is>
          <t>Pasivo Pensional 20% Estampilla Procultura</t>
        </is>
      </c>
      <c r="P214" t="inlineStr">
        <is>
          <t>1.2.3.1.19.02</t>
        </is>
      </c>
      <c r="Q214" t="inlineStr">
        <is>
          <t>ESTAMPILLA PRO CULTURA</t>
        </is>
      </c>
      <c r="R214" t="n">
        <v>150000000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150000000</v>
      </c>
      <c r="Z214" t="n">
        <v>0</v>
      </c>
      <c r="AA214" t="n">
        <v>0</v>
      </c>
      <c r="AB214" t="n">
        <v>0</v>
      </c>
      <c r="AC214" t="n">
        <v>0</v>
      </c>
      <c r="AD214" t="n">
        <v>150000000</v>
      </c>
      <c r="AE214" t="n">
        <v>0</v>
      </c>
    </row>
    <row r="215">
      <c r="A215" t="inlineStr">
        <is>
          <t>1 - ADMINISTRACIÓN CENTRAL</t>
        </is>
      </c>
      <c r="B215" t="inlineStr">
        <is>
          <t>00 - SIN SECTOR</t>
        </is>
      </c>
      <c r="C215" t="inlineStr">
        <is>
          <t>00</t>
        </is>
      </c>
      <c r="D215" t="inlineStr">
        <is>
          <t>0000</t>
        </is>
      </c>
      <c r="E215" t="inlineStr">
        <is>
          <t>0000000</t>
        </is>
      </c>
      <c r="F215" t="inlineStr">
        <is>
          <t>SIN PRODUCTO</t>
        </is>
      </c>
      <c r="G215" t="inlineStr">
        <is>
          <t>00</t>
        </is>
      </c>
      <c r="H215" t="inlineStr">
        <is>
          <t>SIN CODIGO BPIN</t>
        </is>
      </c>
      <c r="I215" t="inlineStr">
        <is>
          <t>00</t>
        </is>
      </c>
      <c r="J215" t="inlineStr">
        <is>
          <t>SIN PRODUCTO DANE</t>
        </is>
      </c>
      <c r="K215" t="inlineStr">
        <is>
          <t>00</t>
        </is>
      </c>
      <c r="L215" t="inlineStr">
        <is>
          <t>SIN ATRIBUTO</t>
        </is>
      </c>
      <c r="N215" t="inlineStr">
        <is>
          <t>2.2.2.05.01.03</t>
        </is>
      </c>
      <c r="O215" t="inlineStr">
        <is>
          <t>Pasivo Pensional 20% Estampilla Justicia Familiar</t>
        </is>
      </c>
      <c r="P215" t="inlineStr">
        <is>
          <t>1.2.3.1.19.03</t>
        </is>
      </c>
      <c r="Q215" t="inlineStr">
        <is>
          <t>ESTAMPILLA PARA LA JUSTICIA FAMILIAR</t>
        </is>
      </c>
      <c r="R215" t="n">
        <v>15000000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15000000</v>
      </c>
      <c r="Z215" t="n">
        <v>0</v>
      </c>
      <c r="AA215" t="n">
        <v>0</v>
      </c>
      <c r="AB215" t="n">
        <v>0</v>
      </c>
      <c r="AC215" t="n">
        <v>0</v>
      </c>
      <c r="AD215" t="n">
        <v>15000000</v>
      </c>
      <c r="AE215" t="n">
        <v>0</v>
      </c>
    </row>
    <row r="216">
      <c r="A216" t="inlineStr">
        <is>
          <t>1 - ADMINISTRACIÓN CENTRAL</t>
        </is>
      </c>
      <c r="B216" t="inlineStr">
        <is>
          <t>00 - SIN SECTOR</t>
        </is>
      </c>
      <c r="C216" t="inlineStr">
        <is>
          <t>00</t>
        </is>
      </c>
      <c r="D216" t="inlineStr">
        <is>
          <t>0000</t>
        </is>
      </c>
      <c r="E216" t="inlineStr">
        <is>
          <t>0000000</t>
        </is>
      </c>
      <c r="F216" t="inlineStr">
        <is>
          <t>SIN PRODUCTO</t>
        </is>
      </c>
      <c r="G216" t="inlineStr">
        <is>
          <t>00</t>
        </is>
      </c>
      <c r="H216" t="inlineStr">
        <is>
          <t>SIN CODIGO BPIN</t>
        </is>
      </c>
      <c r="I216" t="inlineStr">
        <is>
          <t>00</t>
        </is>
      </c>
      <c r="J216" t="inlineStr">
        <is>
          <t>SIN PRODUCTO DANE</t>
        </is>
      </c>
      <c r="K216" t="inlineStr">
        <is>
          <t>00</t>
        </is>
      </c>
      <c r="L216" t="inlineStr">
        <is>
          <t>SIN ATRIBUTO</t>
        </is>
      </c>
      <c r="N216" t="inlineStr">
        <is>
          <t>2.2.2.05.01.04</t>
        </is>
      </c>
      <c r="O216" t="inlineStr">
        <is>
          <t>Pasivo Pensional Estampilla del Adulto Mayor</t>
        </is>
      </c>
      <c r="P216" t="inlineStr">
        <is>
          <t>1.3.2.3.11.04</t>
        </is>
      </c>
      <c r="Q216" t="inlineStr">
        <is>
          <t>OTROS RENDIMIENTOS FINANCIEROS 20% FONPET ESTAMP. ADULTO MAYOR</t>
        </is>
      </c>
      <c r="R216" t="n">
        <v>100000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100000</v>
      </c>
      <c r="Z216" t="n">
        <v>0</v>
      </c>
      <c r="AA216" t="n">
        <v>0</v>
      </c>
      <c r="AB216" t="n">
        <v>0</v>
      </c>
      <c r="AC216" t="n">
        <v>0</v>
      </c>
      <c r="AD216" t="n">
        <v>100000</v>
      </c>
      <c r="AE216" t="n">
        <v>0</v>
      </c>
    </row>
    <row r="217">
      <c r="A217" t="inlineStr">
        <is>
          <t>1 - ADMINISTRACIÓN CENTRAL</t>
        </is>
      </c>
      <c r="B217" t="inlineStr">
        <is>
          <t>00 - SIN SECTOR</t>
        </is>
      </c>
      <c r="C217" t="inlineStr">
        <is>
          <t>00</t>
        </is>
      </c>
      <c r="D217" t="inlineStr">
        <is>
          <t>0000</t>
        </is>
      </c>
      <c r="E217" t="inlineStr">
        <is>
          <t>0000000</t>
        </is>
      </c>
      <c r="F217" t="inlineStr">
        <is>
          <t>SIN PRODUCTO</t>
        </is>
      </c>
      <c r="G217" t="inlineStr">
        <is>
          <t>00</t>
        </is>
      </c>
      <c r="H217" t="inlineStr">
        <is>
          <t>SIN CODIGO BPIN</t>
        </is>
      </c>
      <c r="I217" t="inlineStr">
        <is>
          <t>00</t>
        </is>
      </c>
      <c r="J217" t="inlineStr">
        <is>
          <t>SIN PRODUCTO DANE</t>
        </is>
      </c>
      <c r="K217" t="inlineStr">
        <is>
          <t>00</t>
        </is>
      </c>
      <c r="L217" t="inlineStr">
        <is>
          <t>SIN ATRIBUTO</t>
        </is>
      </c>
      <c r="N217" t="inlineStr">
        <is>
          <t>2.2.2.05.01.05</t>
        </is>
      </c>
      <c r="O217" t="inlineStr">
        <is>
          <t>Pasivo Pensional Estampilla Procultura</t>
        </is>
      </c>
      <c r="P217" t="inlineStr">
        <is>
          <t>1.3.2.3.11.03</t>
        </is>
      </c>
      <c r="Q217" t="inlineStr">
        <is>
          <t>OTROS RENDIMIENTOS FINANCIEROS 20% FONPET ESTAMP. PRO CULTURA</t>
        </is>
      </c>
      <c r="R217" t="n">
        <v>100000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100000</v>
      </c>
      <c r="Z217" t="n">
        <v>0</v>
      </c>
      <c r="AA217" t="n">
        <v>0</v>
      </c>
      <c r="AB217" t="n">
        <v>0</v>
      </c>
      <c r="AC217" t="n">
        <v>0</v>
      </c>
      <c r="AD217" t="n">
        <v>100000</v>
      </c>
      <c r="AE217" t="n">
        <v>0</v>
      </c>
    </row>
    <row r="218">
      <c r="A218" t="inlineStr">
        <is>
          <t>1 - ADMINISTRACIÓN CENTRAL</t>
        </is>
      </c>
      <c r="B218" t="inlineStr">
        <is>
          <t>00 - SIN SECTOR</t>
        </is>
      </c>
      <c r="C218" t="inlineStr">
        <is>
          <t>00</t>
        </is>
      </c>
      <c r="D218" t="inlineStr">
        <is>
          <t>0000</t>
        </is>
      </c>
      <c r="E218" t="inlineStr">
        <is>
          <t>0000000</t>
        </is>
      </c>
      <c r="F218" t="inlineStr">
        <is>
          <t>SIN PRODUCTO</t>
        </is>
      </c>
      <c r="G218" t="inlineStr">
        <is>
          <t>00</t>
        </is>
      </c>
      <c r="H218" t="inlineStr">
        <is>
          <t>SIN CODIGO BPIN</t>
        </is>
      </c>
      <c r="I218" t="inlineStr">
        <is>
          <t>00</t>
        </is>
      </c>
      <c r="J218" t="inlineStr">
        <is>
          <t>SIN PRODUCTO DANE</t>
        </is>
      </c>
      <c r="K218" t="inlineStr">
        <is>
          <t>00</t>
        </is>
      </c>
      <c r="L218" t="inlineStr">
        <is>
          <t>SIN ATRIBUTO</t>
        </is>
      </c>
      <c r="N218" t="inlineStr">
        <is>
          <t>2.2.2.05.01.06</t>
        </is>
      </c>
      <c r="O218" t="inlineStr">
        <is>
          <t>Pasivo Pensional</t>
        </is>
      </c>
      <c r="P218" t="inlineStr">
        <is>
          <t>1.3.3.11.10.01</t>
        </is>
      </c>
      <c r="Q218" t="inlineStr">
        <is>
          <t>R.B. RETIROS FONPET PAGO DE BONOS Y CUOTAS PARTES BONOS PENSIONALES  A Y B</t>
        </is>
      </c>
      <c r="R218" t="n">
        <v>5500000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5500000</v>
      </c>
      <c r="Z218" t="n">
        <v>0</v>
      </c>
      <c r="AA218" t="n">
        <v>0</v>
      </c>
      <c r="AB218" t="n">
        <v>0</v>
      </c>
      <c r="AC218" t="n">
        <v>0</v>
      </c>
      <c r="AD218" t="n">
        <v>5500000</v>
      </c>
      <c r="AE218" t="n">
        <v>0</v>
      </c>
    </row>
    <row r="219">
      <c r="A219" t="inlineStr">
        <is>
          <t>1 - ADMINISTRACIÓN CENTRAL</t>
        </is>
      </c>
      <c r="B219" t="inlineStr">
        <is>
          <t>00 - SIN SECTOR</t>
        </is>
      </c>
      <c r="C219" t="inlineStr">
        <is>
          <t>00</t>
        </is>
      </c>
      <c r="D219" t="inlineStr">
        <is>
          <t>0000</t>
        </is>
      </c>
      <c r="E219" t="inlineStr">
        <is>
          <t>0000000</t>
        </is>
      </c>
      <c r="F219" t="inlineStr">
        <is>
          <t>SIN PRODUCTO</t>
        </is>
      </c>
      <c r="G219" t="inlineStr">
        <is>
          <t>00</t>
        </is>
      </c>
      <c r="H219" t="inlineStr">
        <is>
          <t>SIN CODIGO BPIN</t>
        </is>
      </c>
      <c r="I219" t="inlineStr">
        <is>
          <t>00</t>
        </is>
      </c>
      <c r="J219" t="inlineStr">
        <is>
          <t>SIN PRODUCTO DANE</t>
        </is>
      </c>
      <c r="K219" t="inlineStr">
        <is>
          <t>00</t>
        </is>
      </c>
      <c r="L219" t="inlineStr">
        <is>
          <t>SIN ATRIBUTO</t>
        </is>
      </c>
      <c r="N219" t="inlineStr">
        <is>
          <t>2.2.2.05.02</t>
        </is>
      </c>
      <c r="O219" t="inlineStr">
        <is>
          <t>Tipo b</t>
        </is>
      </c>
      <c r="P219" t="inlineStr">
        <is>
          <t>00</t>
        </is>
      </c>
      <c r="Q219" t="inlineStr">
        <is>
          <t>RECURSO PROPIOS</t>
        </is>
      </c>
      <c r="R219" t="n">
        <v>370700000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370700000</v>
      </c>
      <c r="Z219" t="n">
        <v>2079051</v>
      </c>
      <c r="AA219" t="n">
        <v>2079051</v>
      </c>
      <c r="AB219" t="n">
        <v>2079051</v>
      </c>
      <c r="AC219" t="n">
        <v>2079051</v>
      </c>
      <c r="AD219" t="n">
        <v>368620949</v>
      </c>
      <c r="AE219" t="n">
        <v>0.5600000000000001</v>
      </c>
    </row>
    <row r="220">
      <c r="A220" t="inlineStr">
        <is>
          <t>1 - ADMINISTRACIÓN CENTRAL</t>
        </is>
      </c>
      <c r="B220" t="inlineStr">
        <is>
          <t>00 - SIN SECTOR</t>
        </is>
      </c>
      <c r="C220" t="inlineStr">
        <is>
          <t>00</t>
        </is>
      </c>
      <c r="D220" t="inlineStr">
        <is>
          <t>0000</t>
        </is>
      </c>
      <c r="E220" t="inlineStr">
        <is>
          <t>0000000</t>
        </is>
      </c>
      <c r="F220" t="inlineStr">
        <is>
          <t>SIN PRODUCTO</t>
        </is>
      </c>
      <c r="G220" t="inlineStr">
        <is>
          <t>00</t>
        </is>
      </c>
      <c r="H220" t="inlineStr">
        <is>
          <t>SIN CODIGO BPIN</t>
        </is>
      </c>
      <c r="I220" t="inlineStr">
        <is>
          <t>00</t>
        </is>
      </c>
      <c r="J220" t="inlineStr">
        <is>
          <t>SIN PRODUCTO DANE</t>
        </is>
      </c>
      <c r="K220" t="inlineStr">
        <is>
          <t>00</t>
        </is>
      </c>
      <c r="L220" t="inlineStr">
        <is>
          <t>SIN ATRIBUTO</t>
        </is>
      </c>
      <c r="N220" t="inlineStr">
        <is>
          <t>2.2.2.05.02.01</t>
        </is>
      </c>
      <c r="O220" t="inlineStr">
        <is>
          <t>Pasivo Pensional 20% Estampilla del Adulto Mayor</t>
        </is>
      </c>
      <c r="P220" t="inlineStr">
        <is>
          <t>1.2.3.1.19.01</t>
        </is>
      </c>
      <c r="Q220" t="inlineStr">
        <is>
          <t>ESTAMPILLA PARA EL BIENESTAR DEL ADULTO MAYOR</t>
        </is>
      </c>
      <c r="R220" t="n">
        <v>200000000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200000000</v>
      </c>
      <c r="Z220" t="n">
        <v>2079051</v>
      </c>
      <c r="AA220" t="n">
        <v>2079051</v>
      </c>
      <c r="AB220" t="n">
        <v>2079051</v>
      </c>
      <c r="AC220" t="n">
        <v>2079051</v>
      </c>
      <c r="AD220" t="n">
        <v>197920949</v>
      </c>
      <c r="AE220" t="n">
        <v>1.04</v>
      </c>
    </row>
    <row r="221">
      <c r="A221" t="inlineStr">
        <is>
          <t>1 - ADMINISTRACIÓN CENTRAL</t>
        </is>
      </c>
      <c r="B221" t="inlineStr">
        <is>
          <t>00 - SIN SECTOR</t>
        </is>
      </c>
      <c r="C221" t="inlineStr">
        <is>
          <t>00</t>
        </is>
      </c>
      <c r="D221" t="inlineStr">
        <is>
          <t>0000</t>
        </is>
      </c>
      <c r="E221" t="inlineStr">
        <is>
          <t>0000000</t>
        </is>
      </c>
      <c r="F221" t="inlineStr">
        <is>
          <t>SIN PRODUCTO</t>
        </is>
      </c>
      <c r="G221" t="inlineStr">
        <is>
          <t>00</t>
        </is>
      </c>
      <c r="H221" t="inlineStr">
        <is>
          <t>SIN CODIGO BPIN</t>
        </is>
      </c>
      <c r="I221" t="inlineStr">
        <is>
          <t>00</t>
        </is>
      </c>
      <c r="J221" t="inlineStr">
        <is>
          <t>SIN PRODUCTO DANE</t>
        </is>
      </c>
      <c r="K221" t="inlineStr">
        <is>
          <t>00</t>
        </is>
      </c>
      <c r="L221" t="inlineStr">
        <is>
          <t>SIN ATRIBUTO</t>
        </is>
      </c>
      <c r="N221" t="inlineStr">
        <is>
          <t>2.2.2.05.02.02</t>
        </is>
      </c>
      <c r="O221" t="inlineStr">
        <is>
          <t>Pasivo Pensional 20% Estampilla Procultura</t>
        </is>
      </c>
      <c r="P221" t="inlineStr">
        <is>
          <t>1.2.3.1.19.02</t>
        </is>
      </c>
      <c r="Q221" t="inlineStr">
        <is>
          <t>ESTAMPILLA PRO CULTURA</t>
        </is>
      </c>
      <c r="R221" t="n">
        <v>150000000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150000000</v>
      </c>
      <c r="Z221" t="n">
        <v>0</v>
      </c>
      <c r="AA221" t="n">
        <v>0</v>
      </c>
      <c r="AB221" t="n">
        <v>0</v>
      </c>
      <c r="AC221" t="n">
        <v>0</v>
      </c>
      <c r="AD221" t="n">
        <v>150000000</v>
      </c>
      <c r="AE221" t="n">
        <v>0</v>
      </c>
    </row>
    <row r="222">
      <c r="A222" t="inlineStr">
        <is>
          <t>1 - ADMINISTRACIÓN CENTRAL</t>
        </is>
      </c>
      <c r="B222" t="inlineStr">
        <is>
          <t>00 - SIN SECTOR</t>
        </is>
      </c>
      <c r="C222" t="inlineStr">
        <is>
          <t>00</t>
        </is>
      </c>
      <c r="D222" t="inlineStr">
        <is>
          <t>0000</t>
        </is>
      </c>
      <c r="E222" t="inlineStr">
        <is>
          <t>0000000</t>
        </is>
      </c>
      <c r="F222" t="inlineStr">
        <is>
          <t>SIN PRODUCTO</t>
        </is>
      </c>
      <c r="G222" t="inlineStr">
        <is>
          <t>00</t>
        </is>
      </c>
      <c r="H222" t="inlineStr">
        <is>
          <t>SIN CODIGO BPIN</t>
        </is>
      </c>
      <c r="I222" t="inlineStr">
        <is>
          <t>00</t>
        </is>
      </c>
      <c r="J222" t="inlineStr">
        <is>
          <t>SIN PRODUCTO DANE</t>
        </is>
      </c>
      <c r="K222" t="inlineStr">
        <is>
          <t>00</t>
        </is>
      </c>
      <c r="L222" t="inlineStr">
        <is>
          <t>SIN ATRIBUTO</t>
        </is>
      </c>
      <c r="N222" t="inlineStr">
        <is>
          <t>2.2.2.05.02.03</t>
        </is>
      </c>
      <c r="O222" t="inlineStr">
        <is>
          <t>Pasivo Pensional 20% Estampilla Justicia familiar</t>
        </is>
      </c>
      <c r="P222" t="inlineStr">
        <is>
          <t>1.2.3.1.19.03</t>
        </is>
      </c>
      <c r="Q222" t="inlineStr">
        <is>
          <t>ESTAMPILLA PARA LA JUSTICIA FAMILIAR</t>
        </is>
      </c>
      <c r="R222" t="n">
        <v>15000000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15000000</v>
      </c>
      <c r="Z222" t="n">
        <v>0</v>
      </c>
      <c r="AA222" t="n">
        <v>0</v>
      </c>
      <c r="AB222" t="n">
        <v>0</v>
      </c>
      <c r="AC222" t="n">
        <v>0</v>
      </c>
      <c r="AD222" t="n">
        <v>15000000</v>
      </c>
      <c r="AE222" t="n">
        <v>0</v>
      </c>
    </row>
    <row r="223">
      <c r="A223" t="inlineStr">
        <is>
          <t>1 - ADMINISTRACIÓN CENTRAL</t>
        </is>
      </c>
      <c r="B223" t="inlineStr">
        <is>
          <t>00 - SIN SECTOR</t>
        </is>
      </c>
      <c r="C223" t="inlineStr">
        <is>
          <t>00</t>
        </is>
      </c>
      <c r="D223" t="inlineStr">
        <is>
          <t>0000</t>
        </is>
      </c>
      <c r="E223" t="inlineStr">
        <is>
          <t>0000000</t>
        </is>
      </c>
      <c r="F223" t="inlineStr">
        <is>
          <t>SIN PRODUCTO</t>
        </is>
      </c>
      <c r="G223" t="inlineStr">
        <is>
          <t>00</t>
        </is>
      </c>
      <c r="H223" t="inlineStr">
        <is>
          <t>SIN CODIGO BPIN</t>
        </is>
      </c>
      <c r="I223" t="inlineStr">
        <is>
          <t>00</t>
        </is>
      </c>
      <c r="J223" t="inlineStr">
        <is>
          <t>SIN PRODUCTO DANE</t>
        </is>
      </c>
      <c r="K223" t="inlineStr">
        <is>
          <t>00</t>
        </is>
      </c>
      <c r="L223" t="inlineStr">
        <is>
          <t>SIN ATRIBUTO</t>
        </is>
      </c>
      <c r="N223" t="inlineStr">
        <is>
          <t>2.2.2.05.02.04</t>
        </is>
      </c>
      <c r="O223" t="inlineStr">
        <is>
          <t>Pasivo Pensional Estampilla del Adulto Mayor</t>
        </is>
      </c>
      <c r="P223" t="inlineStr">
        <is>
          <t>1.3.2.3.11.04</t>
        </is>
      </c>
      <c r="Q223" t="inlineStr">
        <is>
          <t>OTROS RENDIMIENTOS FINANCIEROS 20% FONPET ESTAMP. ADULTO MAYOR</t>
        </is>
      </c>
      <c r="R223" t="n">
        <v>100000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100000</v>
      </c>
      <c r="Z223" t="n">
        <v>0</v>
      </c>
      <c r="AA223" t="n">
        <v>0</v>
      </c>
      <c r="AB223" t="n">
        <v>0</v>
      </c>
      <c r="AC223" t="n">
        <v>0</v>
      </c>
      <c r="AD223" t="n">
        <v>100000</v>
      </c>
      <c r="AE223" t="n">
        <v>0</v>
      </c>
    </row>
    <row r="224">
      <c r="A224" t="inlineStr">
        <is>
          <t>1 - ADMINISTRACIÓN CENTRAL</t>
        </is>
      </c>
      <c r="B224" t="inlineStr">
        <is>
          <t>00 - SIN SECTOR</t>
        </is>
      </c>
      <c r="C224" t="inlineStr">
        <is>
          <t>00</t>
        </is>
      </c>
      <c r="D224" t="inlineStr">
        <is>
          <t>0000</t>
        </is>
      </c>
      <c r="E224" t="inlineStr">
        <is>
          <t>0000000</t>
        </is>
      </c>
      <c r="F224" t="inlineStr">
        <is>
          <t>SIN PRODUCTO</t>
        </is>
      </c>
      <c r="G224" t="inlineStr">
        <is>
          <t>00</t>
        </is>
      </c>
      <c r="H224" t="inlineStr">
        <is>
          <t>SIN CODIGO BPIN</t>
        </is>
      </c>
      <c r="I224" t="inlineStr">
        <is>
          <t>00</t>
        </is>
      </c>
      <c r="J224" t="inlineStr">
        <is>
          <t>SIN PRODUCTO DANE</t>
        </is>
      </c>
      <c r="K224" t="inlineStr">
        <is>
          <t>00</t>
        </is>
      </c>
      <c r="L224" t="inlineStr">
        <is>
          <t>SIN ATRIBUTO</t>
        </is>
      </c>
      <c r="N224" t="inlineStr">
        <is>
          <t>2.2.2.05.02.05</t>
        </is>
      </c>
      <c r="O224" t="inlineStr">
        <is>
          <t>Pasivo Pensional Estampilla Procultura</t>
        </is>
      </c>
      <c r="P224" t="inlineStr">
        <is>
          <t>1.3.2.3.11.03</t>
        </is>
      </c>
      <c r="Q224" t="inlineStr">
        <is>
          <t>OTROS RENDIMIENTOS FINANCIEROS 20% FONPET ESTAMP. PRO CULTURA</t>
        </is>
      </c>
      <c r="R224" t="n">
        <v>100000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100000</v>
      </c>
      <c r="Z224" t="n">
        <v>0</v>
      </c>
      <c r="AA224" t="n">
        <v>0</v>
      </c>
      <c r="AB224" t="n">
        <v>0</v>
      </c>
      <c r="AC224" t="n">
        <v>0</v>
      </c>
      <c r="AD224" t="n">
        <v>100000</v>
      </c>
      <c r="AE224" t="n">
        <v>0</v>
      </c>
    </row>
    <row r="225">
      <c r="A225" t="inlineStr">
        <is>
          <t>1 - ADMINISTRACIÓN CENTRAL</t>
        </is>
      </c>
      <c r="B225" t="inlineStr">
        <is>
          <t>00 - SIN SECTOR</t>
        </is>
      </c>
      <c r="C225" t="inlineStr">
        <is>
          <t>00</t>
        </is>
      </c>
      <c r="D225" t="inlineStr">
        <is>
          <t>0000</t>
        </is>
      </c>
      <c r="E225" t="inlineStr">
        <is>
          <t>0000000</t>
        </is>
      </c>
      <c r="F225" t="inlineStr">
        <is>
          <t>SIN PRODUCTO</t>
        </is>
      </c>
      <c r="G225" t="inlineStr">
        <is>
          <t>00</t>
        </is>
      </c>
      <c r="H225" t="inlineStr">
        <is>
          <t>SIN CODIGO BPIN</t>
        </is>
      </c>
      <c r="I225" t="inlineStr">
        <is>
          <t>00</t>
        </is>
      </c>
      <c r="J225" t="inlineStr">
        <is>
          <t>SIN PRODUCTO DANE</t>
        </is>
      </c>
      <c r="K225" t="inlineStr">
        <is>
          <t>00</t>
        </is>
      </c>
      <c r="L225" t="inlineStr">
        <is>
          <t>SIN ATRIBUTO</t>
        </is>
      </c>
      <c r="N225" t="inlineStr">
        <is>
          <t>2.2.2.05.02.06</t>
        </is>
      </c>
      <c r="O225" t="inlineStr">
        <is>
          <t>Pasivo Pensional</t>
        </is>
      </c>
      <c r="P225" t="inlineStr">
        <is>
          <t>1.3.3.11.10.01</t>
        </is>
      </c>
      <c r="Q225" t="inlineStr">
        <is>
          <t>R.B. RETIROS FONPET PAGO DE BONOS Y CUOTAS PARTES BONOS PENSIONALES  A Y B</t>
        </is>
      </c>
      <c r="R225" t="n">
        <v>5500000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5500000</v>
      </c>
      <c r="Z225" t="n">
        <v>0</v>
      </c>
      <c r="AA225" t="n">
        <v>0</v>
      </c>
      <c r="AB225" t="n">
        <v>0</v>
      </c>
      <c r="AC225" t="n">
        <v>0</v>
      </c>
      <c r="AD225" t="n">
        <v>5500000</v>
      </c>
      <c r="AE225" t="n">
        <v>0</v>
      </c>
    </row>
    <row r="226">
      <c r="A226" t="inlineStr">
        <is>
          <t>1 - ADMINISTRACIÓN CENTRAL</t>
        </is>
      </c>
      <c r="B226" t="inlineStr">
        <is>
          <t>00 - SIN SECTOR</t>
        </is>
      </c>
      <c r="C226" t="inlineStr">
        <is>
          <t>00</t>
        </is>
      </c>
      <c r="D226" t="inlineStr">
        <is>
          <t>0000</t>
        </is>
      </c>
      <c r="E226" t="inlineStr">
        <is>
          <t>0000000</t>
        </is>
      </c>
      <c r="F226" t="inlineStr">
        <is>
          <t>SIN PRODUCTO</t>
        </is>
      </c>
      <c r="G226" t="inlineStr">
        <is>
          <t>00</t>
        </is>
      </c>
      <c r="H226" t="inlineStr">
        <is>
          <t>SIN CODIGO BPIN</t>
        </is>
      </c>
      <c r="I226" t="inlineStr">
        <is>
          <t>00</t>
        </is>
      </c>
      <c r="J226" t="inlineStr">
        <is>
          <t>SIN PRODUCTO DANE</t>
        </is>
      </c>
      <c r="K226" t="inlineStr">
        <is>
          <t>00</t>
        </is>
      </c>
      <c r="L226" t="inlineStr">
        <is>
          <t>SIN ATRIBUTO</t>
        </is>
      </c>
      <c r="N226" t="inlineStr">
        <is>
          <t>2.3</t>
        </is>
      </c>
      <c r="O226" t="inlineStr">
        <is>
          <t>Inversion</t>
        </is>
      </c>
      <c r="P226" t="inlineStr">
        <is>
          <t>00</t>
        </is>
      </c>
      <c r="Q226" t="inlineStr">
        <is>
          <t>RECURSO PROPIOS</t>
        </is>
      </c>
      <c r="R226" t="n">
        <v>46762675733</v>
      </c>
      <c r="S226" t="n">
        <v>8461289618.4</v>
      </c>
      <c r="T226" t="n">
        <v>0</v>
      </c>
      <c r="U226" t="n">
        <v>2352200000</v>
      </c>
      <c r="V226" t="n">
        <v>2352200000</v>
      </c>
      <c r="W226" t="n">
        <v>0</v>
      </c>
      <c r="X226" t="n">
        <v>0</v>
      </c>
      <c r="Y226" t="n">
        <v>55223965351.4</v>
      </c>
      <c r="Z226" t="n">
        <v>24729885996.56</v>
      </c>
      <c r="AA226" t="n">
        <v>18657406709.56</v>
      </c>
      <c r="AB226" t="n">
        <v>11957557865.93</v>
      </c>
      <c r="AC226" t="n">
        <v>11768530193</v>
      </c>
      <c r="AD226" t="n">
        <v>36566558641.84</v>
      </c>
      <c r="AE226" t="n">
        <v>33.78</v>
      </c>
    </row>
    <row r="227">
      <c r="A227" t="inlineStr">
        <is>
          <t>1 - ADMINISTRACIÓN CENTRAL</t>
        </is>
      </c>
      <c r="B227" t="inlineStr">
        <is>
          <t>00 - SIN SECTOR</t>
        </is>
      </c>
      <c r="C227" t="inlineStr">
        <is>
          <t>00</t>
        </is>
      </c>
      <c r="D227" t="inlineStr">
        <is>
          <t>0000</t>
        </is>
      </c>
      <c r="E227" t="inlineStr">
        <is>
          <t>000000</t>
        </is>
      </c>
      <c r="F227" t="inlineStr">
        <is>
          <t>SIN PRODUCTO</t>
        </is>
      </c>
      <c r="G227" t="inlineStr">
        <is>
          <t>00</t>
        </is>
      </c>
      <c r="H227" t="inlineStr">
        <is>
          <t>SIN CODIGO BPIN</t>
        </is>
      </c>
      <c r="I227" t="inlineStr">
        <is>
          <t>00</t>
        </is>
      </c>
      <c r="J227" t="inlineStr">
        <is>
          <t>SIN PRODUCTO DANE</t>
        </is>
      </c>
      <c r="K227" t="inlineStr">
        <is>
          <t>00</t>
        </is>
      </c>
      <c r="L227" t="inlineStr">
        <is>
          <t>SIN ATRIBUTO</t>
        </is>
      </c>
      <c r="N227" t="inlineStr">
        <is>
          <t>2.3.1</t>
        </is>
      </c>
      <c r="O227" t="inlineStr">
        <is>
          <t>Gastos de personal</t>
        </is>
      </c>
      <c r="P227" t="inlineStr">
        <is>
          <t>00</t>
        </is>
      </c>
      <c r="Q227" t="inlineStr">
        <is>
          <t>RECURSO PROPIOS</t>
        </is>
      </c>
      <c r="R227" t="n">
        <v>0</v>
      </c>
      <c r="S227" t="n">
        <v>137843364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137843364</v>
      </c>
      <c r="Z227" t="n">
        <v>0</v>
      </c>
      <c r="AA227" t="n">
        <v>0</v>
      </c>
      <c r="AB227" t="n">
        <v>0</v>
      </c>
      <c r="AC227" t="n">
        <v>0</v>
      </c>
      <c r="AD227" t="n">
        <v>137843364</v>
      </c>
      <c r="AE227" t="n">
        <v>0</v>
      </c>
    </row>
    <row r="228">
      <c r="A228" t="inlineStr">
        <is>
          <t>1 - ADMINISTRACIÓN CENTRAL</t>
        </is>
      </c>
      <c r="B228" t="inlineStr">
        <is>
          <t>00 - SIN SECTOR</t>
        </is>
      </c>
      <c r="C228" t="inlineStr">
        <is>
          <t>00</t>
        </is>
      </c>
      <c r="D228" t="inlineStr">
        <is>
          <t>0000</t>
        </is>
      </c>
      <c r="E228" t="inlineStr">
        <is>
          <t>000000</t>
        </is>
      </c>
      <c r="F228" t="inlineStr">
        <is>
          <t>SIN PRODUCTO</t>
        </is>
      </c>
      <c r="G228" t="inlineStr">
        <is>
          <t>00</t>
        </is>
      </c>
      <c r="H228" t="inlineStr">
        <is>
          <t>SIN CODIGO BPIN</t>
        </is>
      </c>
      <c r="I228" t="inlineStr">
        <is>
          <t>00</t>
        </is>
      </c>
      <c r="J228" t="inlineStr">
        <is>
          <t>SIN PRODUCTO DANE</t>
        </is>
      </c>
      <c r="K228" t="inlineStr">
        <is>
          <t>00</t>
        </is>
      </c>
      <c r="L228" t="inlineStr">
        <is>
          <t>SIN ATRIBUTO</t>
        </is>
      </c>
      <c r="N228" t="inlineStr">
        <is>
          <t>2.3.1.01</t>
        </is>
      </c>
      <c r="O228" t="inlineStr">
        <is>
          <t>Planta de personal permanente</t>
        </is>
      </c>
      <c r="P228" t="inlineStr">
        <is>
          <t>00</t>
        </is>
      </c>
      <c r="Q228" t="inlineStr">
        <is>
          <t>RECURSO PROPIOS</t>
        </is>
      </c>
      <c r="R228" t="n">
        <v>0</v>
      </c>
      <c r="S228" t="n">
        <v>137843364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137843364</v>
      </c>
      <c r="Z228" t="n">
        <v>0</v>
      </c>
      <c r="AA228" t="n">
        <v>0</v>
      </c>
      <c r="AB228" t="n">
        <v>0</v>
      </c>
      <c r="AC228" t="n">
        <v>0</v>
      </c>
      <c r="AD228" t="n">
        <v>137843364</v>
      </c>
      <c r="AE228" t="n">
        <v>0</v>
      </c>
    </row>
    <row r="229">
      <c r="A229" t="inlineStr">
        <is>
          <t>1 - ADMINISTRACIÓN CENTRAL</t>
        </is>
      </c>
      <c r="B229" t="inlineStr">
        <is>
          <t>00 - SIN SECTOR</t>
        </is>
      </c>
      <c r="C229" t="inlineStr">
        <is>
          <t>00</t>
        </is>
      </c>
      <c r="D229" t="inlineStr">
        <is>
          <t>0000</t>
        </is>
      </c>
      <c r="E229" t="inlineStr">
        <is>
          <t>000000</t>
        </is>
      </c>
      <c r="F229" t="inlineStr">
        <is>
          <t>SIN PRODUCTO</t>
        </is>
      </c>
      <c r="G229" t="inlineStr">
        <is>
          <t>00</t>
        </is>
      </c>
      <c r="H229" t="inlineStr">
        <is>
          <t>SIN CODIGO BPIN</t>
        </is>
      </c>
      <c r="I229" t="inlineStr">
        <is>
          <t>00</t>
        </is>
      </c>
      <c r="J229" t="inlineStr">
        <is>
          <t>SIN PRODUCTO DANE</t>
        </is>
      </c>
      <c r="K229" t="inlineStr">
        <is>
          <t>00</t>
        </is>
      </c>
      <c r="L229" t="inlineStr">
        <is>
          <t>SIN ATRIBUTO</t>
        </is>
      </c>
      <c r="N229" t="inlineStr">
        <is>
          <t>2.3.1.01.01</t>
        </is>
      </c>
      <c r="O229" t="inlineStr">
        <is>
          <t>Factores constitutivos de salario</t>
        </is>
      </c>
      <c r="P229" t="inlineStr">
        <is>
          <t>00</t>
        </is>
      </c>
      <c r="Q229" t="inlineStr">
        <is>
          <t>RECURSO PROPIOS</t>
        </is>
      </c>
      <c r="R229" t="n">
        <v>0</v>
      </c>
      <c r="S229" t="n">
        <v>137843364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137843364</v>
      </c>
      <c r="Z229" t="n">
        <v>0</v>
      </c>
      <c r="AA229" t="n">
        <v>0</v>
      </c>
      <c r="AB229" t="n">
        <v>0</v>
      </c>
      <c r="AC229" t="n">
        <v>0</v>
      </c>
      <c r="AD229" t="n">
        <v>137843364</v>
      </c>
      <c r="AE229" t="n">
        <v>0</v>
      </c>
    </row>
    <row r="230">
      <c r="A230" t="inlineStr">
        <is>
          <t>1 - ADMINISTRACIÓN CENTRAL</t>
        </is>
      </c>
      <c r="B230" t="inlineStr">
        <is>
          <t>00 - SIN SECTOR</t>
        </is>
      </c>
      <c r="C230" t="inlineStr">
        <is>
          <t>00</t>
        </is>
      </c>
      <c r="D230" t="inlineStr">
        <is>
          <t>0000</t>
        </is>
      </c>
      <c r="E230" t="inlineStr">
        <is>
          <t>000000</t>
        </is>
      </c>
      <c r="F230" t="inlineStr">
        <is>
          <t>SIN PRODUCTO</t>
        </is>
      </c>
      <c r="G230" t="inlineStr">
        <is>
          <t>00</t>
        </is>
      </c>
      <c r="H230" t="inlineStr">
        <is>
          <t>SIN CODIGO BPIN</t>
        </is>
      </c>
      <c r="I230" t="inlineStr">
        <is>
          <t>00</t>
        </is>
      </c>
      <c r="J230" t="inlineStr">
        <is>
          <t>SIN PRODUCTO DANE</t>
        </is>
      </c>
      <c r="K230" t="inlineStr">
        <is>
          <t>00</t>
        </is>
      </c>
      <c r="L230" t="inlineStr">
        <is>
          <t>SIN ATRIBUTO</t>
        </is>
      </c>
      <c r="N230" t="inlineStr">
        <is>
          <t>2.3.1.01.01.001</t>
        </is>
      </c>
      <c r="O230" t="inlineStr">
        <is>
          <t>Factores salariales comunes</t>
        </is>
      </c>
      <c r="P230" t="inlineStr">
        <is>
          <t>00</t>
        </is>
      </c>
      <c r="Q230" t="inlineStr">
        <is>
          <t>RECURSO PROPIOS</t>
        </is>
      </c>
      <c r="R230" t="n">
        <v>0</v>
      </c>
      <c r="S230" t="n">
        <v>137843364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137843364</v>
      </c>
      <c r="Z230" t="n">
        <v>0</v>
      </c>
      <c r="AA230" t="n">
        <v>0</v>
      </c>
      <c r="AB230" t="n">
        <v>0</v>
      </c>
      <c r="AC230" t="n">
        <v>0</v>
      </c>
      <c r="AD230" t="n">
        <v>137843364</v>
      </c>
      <c r="AE230" t="n">
        <v>0</v>
      </c>
    </row>
    <row r="231">
      <c r="A231" t="inlineStr">
        <is>
          <t>1 - ADMINISTRACIÓN CENTRAL</t>
        </is>
      </c>
      <c r="B231" t="inlineStr">
        <is>
          <t>00 - SIN SECTOR</t>
        </is>
      </c>
      <c r="C231" t="inlineStr">
        <is>
          <t>00</t>
        </is>
      </c>
      <c r="D231" t="inlineStr">
        <is>
          <t>0000</t>
        </is>
      </c>
      <c r="E231" t="inlineStr">
        <is>
          <t>000000</t>
        </is>
      </c>
      <c r="F231" t="inlineStr">
        <is>
          <t>SIN PRODUCTO</t>
        </is>
      </c>
      <c r="G231" t="inlineStr">
        <is>
          <t>00</t>
        </is>
      </c>
      <c r="H231" t="inlineStr">
        <is>
          <t>SIN CODIGO BPIN</t>
        </is>
      </c>
      <c r="I231" t="inlineStr">
        <is>
          <t>00</t>
        </is>
      </c>
      <c r="J231" t="inlineStr">
        <is>
          <t>SIN PRODUCTO DANE</t>
        </is>
      </c>
      <c r="K231" t="inlineStr">
        <is>
          <t>00</t>
        </is>
      </c>
      <c r="L231" t="inlineStr">
        <is>
          <t>SIN ATRIBUTO</t>
        </is>
      </c>
      <c r="N231" t="inlineStr">
        <is>
          <t>2.3.1.01.01.001.01.45</t>
        </is>
      </c>
      <c r="O231" t="inlineStr">
        <is>
          <t>Sueldo básico comisaria de familia</t>
        </is>
      </c>
      <c r="P231" t="inlineStr">
        <is>
          <t>00</t>
        </is>
      </c>
      <c r="Q231" t="inlineStr">
        <is>
          <t>RECURSO PROPIOS</t>
        </is>
      </c>
      <c r="R231" t="n">
        <v>0</v>
      </c>
      <c r="S231" t="n">
        <v>137843364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137843364</v>
      </c>
      <c r="Z231" t="n">
        <v>0</v>
      </c>
      <c r="AA231" t="n">
        <v>0</v>
      </c>
      <c r="AB231" t="n">
        <v>0</v>
      </c>
      <c r="AC231" t="n">
        <v>0</v>
      </c>
      <c r="AD231" t="n">
        <v>137843364</v>
      </c>
      <c r="AE231" t="n">
        <v>0</v>
      </c>
    </row>
    <row r="232">
      <c r="A232" t="inlineStr">
        <is>
          <t>1 - ADMINISTRACIÓN CENTRAL</t>
        </is>
      </c>
      <c r="B232" t="inlineStr">
        <is>
          <t>45 - GOBIERNO TERRITORIAL</t>
        </is>
      </c>
      <c r="C232" t="inlineStr">
        <is>
          <t>1000</t>
        </is>
      </c>
      <c r="D232" t="inlineStr">
        <is>
          <t>4501</t>
        </is>
      </c>
      <c r="E232" t="inlineStr">
        <is>
          <t>4501029</t>
        </is>
      </c>
      <c r="F232" t="inlineStr">
        <is>
          <t>SERVICIO DE APOYO FINANCIERO PARA PROYECTOS DE CONVIVENCIA Y SEGURIDAD CIUDADANA</t>
        </is>
      </c>
      <c r="G232" t="inlineStr">
        <is>
          <t>2024548740027</t>
        </is>
      </c>
      <c r="H232" t="inlineStr">
        <is>
          <t>FORTALECIMIENTO DE LA CONVIVENCIA Y LA SEGURIDAD CIUDADANA EN EL MUNICIPIO DE VILLA DEL ROSARIO. VILLA DEL ROSARIO UNA CIUDAD POSIBLE</t>
        </is>
      </c>
      <c r="I232" t="inlineStr">
        <is>
          <t>00</t>
        </is>
      </c>
      <c r="J232" t="inlineStr">
        <is>
          <t>SIN PRODUCTO DANE</t>
        </is>
      </c>
      <c r="K232" t="inlineStr">
        <is>
          <t>00</t>
        </is>
      </c>
      <c r="L232" t="inlineStr">
        <is>
          <t>SIN ATRIBUTO</t>
        </is>
      </c>
      <c r="N232" t="inlineStr">
        <is>
          <t>2.3.1.01.01.001.01.45.01</t>
        </is>
      </c>
      <c r="O232" t="inlineStr">
        <is>
          <t>Sueldo básico comisaria de familia</t>
        </is>
      </c>
      <c r="P232" t="inlineStr">
        <is>
          <t>1.3.3.3.20.11</t>
        </is>
      </c>
      <c r="Q232" t="inlineStr">
        <is>
          <t>R.B. ESTAMPILLA JUSTICIA FAMILIAR</t>
        </is>
      </c>
      <c r="R232" t="n">
        <v>0</v>
      </c>
      <c r="S232" t="n">
        <v>137834965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137834965</v>
      </c>
      <c r="Z232" t="n">
        <v>0</v>
      </c>
      <c r="AA232" t="n">
        <v>0</v>
      </c>
      <c r="AB232" t="n">
        <v>0</v>
      </c>
      <c r="AC232" t="n">
        <v>0</v>
      </c>
      <c r="AD232" t="n">
        <v>137834965</v>
      </c>
      <c r="AE232" t="n">
        <v>0</v>
      </c>
    </row>
    <row r="233">
      <c r="A233" t="inlineStr">
        <is>
          <t>1 - ADMINISTRACIÓN CENTRAL</t>
        </is>
      </c>
      <c r="B233" t="inlineStr">
        <is>
          <t>45 - GOBIERNO TERRITORIAL</t>
        </is>
      </c>
      <c r="C233" t="inlineStr">
        <is>
          <t>1000</t>
        </is>
      </c>
      <c r="D233" t="inlineStr">
        <is>
          <t>4501</t>
        </is>
      </c>
      <c r="E233" t="inlineStr">
        <is>
          <t>4501029</t>
        </is>
      </c>
      <c r="F233" t="inlineStr">
        <is>
          <t>SERVICIO DE APOYO FINANCIERO PARA PROYECTOS DE CONVIVENCIA Y SEGURIDAD CIUDADANA</t>
        </is>
      </c>
      <c r="G233" t="inlineStr">
        <is>
          <t>2024548740027</t>
        </is>
      </c>
      <c r="H233" t="inlineStr">
        <is>
          <t>FORTALECIMIENTO DE LA CONVIVENCIA Y LA SEGURIDAD CIUDADANA EN EL MUNICIPIO DE VILLA DEL ROSARIO. VILLA DEL ROSARIO UNA CIUDAD POSIBLE</t>
        </is>
      </c>
      <c r="I233" t="inlineStr">
        <is>
          <t>00</t>
        </is>
      </c>
      <c r="J233" t="inlineStr">
        <is>
          <t>SIN PRODUCTO DANE</t>
        </is>
      </c>
      <c r="K233" t="inlineStr">
        <is>
          <t>00</t>
        </is>
      </c>
      <c r="L233" t="inlineStr">
        <is>
          <t>SIN ATRIBUTO</t>
        </is>
      </c>
      <c r="N233" t="inlineStr">
        <is>
          <t>2.3.1.01.01.001.01.45.02</t>
        </is>
      </c>
      <c r="O233" t="inlineStr">
        <is>
          <t>Sueldo básico comisaria de familia</t>
        </is>
      </c>
      <c r="P233" t="inlineStr">
        <is>
          <t>1.3.2.3.11.36</t>
        </is>
      </c>
      <c r="Q233" t="inlineStr">
        <is>
          <t>OTROS REDIMIENTOS FINANCIEROS  ESTAMPILLA PARA LA JUSTICIA FAMILIAR</t>
        </is>
      </c>
      <c r="R233" t="n">
        <v>0</v>
      </c>
      <c r="S233" t="n">
        <v>8399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8399</v>
      </c>
      <c r="Z233" t="n">
        <v>0</v>
      </c>
      <c r="AA233" t="n">
        <v>0</v>
      </c>
      <c r="AB233" t="n">
        <v>0</v>
      </c>
      <c r="AC233" t="n">
        <v>0</v>
      </c>
      <c r="AD233" t="n">
        <v>8399</v>
      </c>
      <c r="AE233" t="n">
        <v>0</v>
      </c>
    </row>
    <row r="234">
      <c r="A234" t="inlineStr">
        <is>
          <t>1 - ADMINISTRACIÓN CENTRAL</t>
        </is>
      </c>
      <c r="B234" t="inlineStr">
        <is>
          <t>00 - SIN SECTOR</t>
        </is>
      </c>
      <c r="C234" t="inlineStr">
        <is>
          <t>00</t>
        </is>
      </c>
      <c r="D234" t="inlineStr">
        <is>
          <t>0000</t>
        </is>
      </c>
      <c r="E234" t="inlineStr">
        <is>
          <t>0000000</t>
        </is>
      </c>
      <c r="F234" t="inlineStr">
        <is>
          <t>SIN PRODUCTO</t>
        </is>
      </c>
      <c r="G234" t="inlineStr">
        <is>
          <t>00</t>
        </is>
      </c>
      <c r="H234" t="inlineStr">
        <is>
          <t>SIN CODIGO BPIN</t>
        </is>
      </c>
      <c r="I234" t="inlineStr">
        <is>
          <t>00</t>
        </is>
      </c>
      <c r="J234" t="inlineStr">
        <is>
          <t>SIN PRODUCTO DANE</t>
        </is>
      </c>
      <c r="K234" t="inlineStr">
        <is>
          <t>00</t>
        </is>
      </c>
      <c r="L234" t="inlineStr">
        <is>
          <t>SIN ATRIBUTO</t>
        </is>
      </c>
      <c r="N234" t="inlineStr">
        <is>
          <t>2.3.2</t>
        </is>
      </c>
      <c r="O234" t="inlineStr">
        <is>
          <t>Adquisición de bienes y servicios</t>
        </is>
      </c>
      <c r="P234" t="inlineStr">
        <is>
          <t>00</t>
        </is>
      </c>
      <c r="Q234" t="inlineStr">
        <is>
          <t>RECURSO PROPIOS</t>
        </is>
      </c>
      <c r="R234" t="n">
        <v>42252424123</v>
      </c>
      <c r="S234" t="n">
        <v>8081113456.4</v>
      </c>
      <c r="T234" t="n">
        <v>0</v>
      </c>
      <c r="U234" t="n">
        <v>674500000</v>
      </c>
      <c r="V234" t="n">
        <v>1674500000</v>
      </c>
      <c r="W234" t="n">
        <v>0</v>
      </c>
      <c r="X234" t="n">
        <v>0</v>
      </c>
      <c r="Y234" t="n">
        <v>49333537579.4</v>
      </c>
      <c r="Z234" t="n">
        <v>22169487135.91</v>
      </c>
      <c r="AA234" t="n">
        <v>17899215197.91</v>
      </c>
      <c r="AB234" t="n">
        <v>11738114977.93</v>
      </c>
      <c r="AC234" t="n">
        <v>11549087305</v>
      </c>
      <c r="AD234" t="n">
        <v>31434322381.49</v>
      </c>
      <c r="AE234" t="n">
        <v>36.28</v>
      </c>
    </row>
    <row r="235">
      <c r="A235" t="inlineStr">
        <is>
          <t>1 - ADMINISTRACIÓN CENTRAL</t>
        </is>
      </c>
      <c r="B235" t="inlineStr">
        <is>
          <t>00 - SIN SECTOR</t>
        </is>
      </c>
      <c r="C235" t="inlineStr">
        <is>
          <t>00</t>
        </is>
      </c>
      <c r="D235" t="inlineStr">
        <is>
          <t>0000</t>
        </is>
      </c>
      <c r="E235" t="inlineStr">
        <is>
          <t>0000000</t>
        </is>
      </c>
      <c r="F235" t="inlineStr">
        <is>
          <t>SIN PRODUCTO</t>
        </is>
      </c>
      <c r="G235" t="inlineStr">
        <is>
          <t>00</t>
        </is>
      </c>
      <c r="H235" t="inlineStr">
        <is>
          <t>SIN CODIGO BPIN</t>
        </is>
      </c>
      <c r="I235" t="inlineStr">
        <is>
          <t>00</t>
        </is>
      </c>
      <c r="J235" t="inlineStr">
        <is>
          <t>SIN PRODUCTO DANE</t>
        </is>
      </c>
      <c r="K235" t="inlineStr">
        <is>
          <t>00</t>
        </is>
      </c>
      <c r="L235" t="inlineStr">
        <is>
          <t>SIN ATRIBUTO</t>
        </is>
      </c>
      <c r="N235" t="inlineStr">
        <is>
          <t>2.3.2.01</t>
        </is>
      </c>
      <c r="O235" t="inlineStr">
        <is>
          <t>Adquisicion De Activos No Financieros</t>
        </is>
      </c>
      <c r="P235" t="inlineStr">
        <is>
          <t>00</t>
        </is>
      </c>
      <c r="Q235" t="inlineStr">
        <is>
          <t>RECURSO PROPIOS</t>
        </is>
      </c>
      <c r="R235" t="n">
        <v>513755563</v>
      </c>
      <c r="S235" t="n">
        <v>17013921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530769484</v>
      </c>
      <c r="Z235" t="n">
        <v>0</v>
      </c>
      <c r="AA235" t="n">
        <v>0</v>
      </c>
      <c r="AB235" t="n">
        <v>0</v>
      </c>
      <c r="AC235" t="n">
        <v>0</v>
      </c>
      <c r="AD235" t="n">
        <v>530769484</v>
      </c>
      <c r="AE235" t="n">
        <v>0</v>
      </c>
    </row>
    <row r="236">
      <c r="A236" t="inlineStr">
        <is>
          <t>1 - ADMINISTRACIÓN CENTRAL</t>
        </is>
      </c>
      <c r="B236" t="inlineStr">
        <is>
          <t>00 - SIN SECTOR</t>
        </is>
      </c>
      <c r="C236" t="inlineStr">
        <is>
          <t>00</t>
        </is>
      </c>
      <c r="D236" t="inlineStr">
        <is>
          <t>0000</t>
        </is>
      </c>
      <c r="E236" t="inlineStr">
        <is>
          <t>0000000</t>
        </is>
      </c>
      <c r="F236" t="inlineStr">
        <is>
          <t>SIN PRODUCTO</t>
        </is>
      </c>
      <c r="G236" t="inlineStr">
        <is>
          <t>00</t>
        </is>
      </c>
      <c r="H236" t="inlineStr">
        <is>
          <t>SIN CODIGO BPIN</t>
        </is>
      </c>
      <c r="I236" t="inlineStr">
        <is>
          <t>00</t>
        </is>
      </c>
      <c r="J236" t="inlineStr">
        <is>
          <t>SIN PRODUCTO DANE</t>
        </is>
      </c>
      <c r="K236" t="inlineStr">
        <is>
          <t>00</t>
        </is>
      </c>
      <c r="L236" t="inlineStr">
        <is>
          <t>SIN ATRIBUTO</t>
        </is>
      </c>
      <c r="N236" t="inlineStr">
        <is>
          <t>2.3.2.01.01</t>
        </is>
      </c>
      <c r="O236" t="inlineStr">
        <is>
          <t>Activos Fijos</t>
        </is>
      </c>
      <c r="P236" t="inlineStr">
        <is>
          <t>00</t>
        </is>
      </c>
      <c r="Q236" t="inlineStr">
        <is>
          <t>RECURSO PROPIOS</t>
        </is>
      </c>
      <c r="R236" t="n">
        <v>150100000</v>
      </c>
      <c r="S236" t="n">
        <v>5871361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155971361</v>
      </c>
      <c r="Z236" t="n">
        <v>0</v>
      </c>
      <c r="AA236" t="n">
        <v>0</v>
      </c>
      <c r="AB236" t="n">
        <v>0</v>
      </c>
      <c r="AC236" t="n">
        <v>0</v>
      </c>
      <c r="AD236" t="n">
        <v>155971361</v>
      </c>
      <c r="AE236" t="n">
        <v>0</v>
      </c>
    </row>
    <row r="237">
      <c r="A237" t="inlineStr">
        <is>
          <t>1 - ADMINISTRACIÓN CENTRAL</t>
        </is>
      </c>
      <c r="B237" t="inlineStr">
        <is>
          <t>00 - SIN SECTOR</t>
        </is>
      </c>
      <c r="C237" t="inlineStr">
        <is>
          <t>00</t>
        </is>
      </c>
      <c r="D237" t="inlineStr">
        <is>
          <t>0000</t>
        </is>
      </c>
      <c r="E237" t="inlineStr">
        <is>
          <t>0000000</t>
        </is>
      </c>
      <c r="F237" t="inlineStr">
        <is>
          <t>SIN PRODUCTO</t>
        </is>
      </c>
      <c r="G237" t="inlineStr">
        <is>
          <t>00</t>
        </is>
      </c>
      <c r="H237" t="inlineStr">
        <is>
          <t>SIN CODIGO BPIN</t>
        </is>
      </c>
      <c r="I237" t="inlineStr">
        <is>
          <t>00</t>
        </is>
      </c>
      <c r="J237" t="inlineStr">
        <is>
          <t>SIN PRODUCTO DANE</t>
        </is>
      </c>
      <c r="K237" t="inlineStr">
        <is>
          <t>00</t>
        </is>
      </c>
      <c r="L237" t="inlineStr">
        <is>
          <t>SIN ATRIBUTO</t>
        </is>
      </c>
      <c r="N237" t="inlineStr">
        <is>
          <t>2.3.2.01.01.003</t>
        </is>
      </c>
      <c r="O237" t="inlineStr">
        <is>
          <t>Maquinaria Y Equipo</t>
        </is>
      </c>
      <c r="P237" t="inlineStr">
        <is>
          <t>00</t>
        </is>
      </c>
      <c r="Q237" t="inlineStr">
        <is>
          <t>RECURSO PROPIOS</t>
        </is>
      </c>
      <c r="R237" t="n">
        <v>150100000</v>
      </c>
      <c r="S237" t="n">
        <v>5871361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155971361</v>
      </c>
      <c r="Z237" t="n">
        <v>0</v>
      </c>
      <c r="AA237" t="n">
        <v>0</v>
      </c>
      <c r="AB237" t="n">
        <v>0</v>
      </c>
      <c r="AC237" t="n">
        <v>0</v>
      </c>
      <c r="AD237" t="n">
        <v>155971361</v>
      </c>
      <c r="AE237" t="n">
        <v>0</v>
      </c>
    </row>
    <row r="238">
      <c r="A238" t="inlineStr">
        <is>
          <t>1 - ADMINISTRACIÓN CENTRAL</t>
        </is>
      </c>
      <c r="B238" t="inlineStr">
        <is>
          <t>00 - SIN SECTOR</t>
        </is>
      </c>
      <c r="C238" t="inlineStr">
        <is>
          <t>00</t>
        </is>
      </c>
      <c r="D238" t="inlineStr">
        <is>
          <t>0000</t>
        </is>
      </c>
      <c r="E238" t="inlineStr">
        <is>
          <t>0000000</t>
        </is>
      </c>
      <c r="F238" t="inlineStr">
        <is>
          <t>SIN PRODUCTO</t>
        </is>
      </c>
      <c r="G238" t="inlineStr">
        <is>
          <t>00</t>
        </is>
      </c>
      <c r="H238" t="inlineStr">
        <is>
          <t>SIN CODIGO BPIN</t>
        </is>
      </c>
      <c r="I238" t="inlineStr">
        <is>
          <t>00</t>
        </is>
      </c>
      <c r="J238" t="inlineStr">
        <is>
          <t>SIN PRODUCTO DANE</t>
        </is>
      </c>
      <c r="K238" t="inlineStr">
        <is>
          <t>00</t>
        </is>
      </c>
      <c r="L238" t="inlineStr">
        <is>
          <t>SIN ATRIBUTO</t>
        </is>
      </c>
      <c r="N238" t="inlineStr">
        <is>
          <t>2.3.2.01.01.003.03</t>
        </is>
      </c>
      <c r="O238" t="inlineStr">
        <is>
          <t>Maquinaria De Oficina, Contabilidad E Informatica</t>
        </is>
      </c>
      <c r="P238" t="inlineStr">
        <is>
          <t>00</t>
        </is>
      </c>
      <c r="Q238" t="inlineStr">
        <is>
          <t>RECURSO PROPIOS</t>
        </is>
      </c>
      <c r="R238" t="n">
        <v>150100000</v>
      </c>
      <c r="S238" t="n">
        <v>5871361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155971361</v>
      </c>
      <c r="Z238" t="n">
        <v>0</v>
      </c>
      <c r="AA238" t="n">
        <v>0</v>
      </c>
      <c r="AB238" t="n">
        <v>0</v>
      </c>
      <c r="AC238" t="n">
        <v>0</v>
      </c>
      <c r="AD238" t="n">
        <v>155971361</v>
      </c>
      <c r="AE238" t="n">
        <v>0</v>
      </c>
    </row>
    <row r="239">
      <c r="A239" t="inlineStr">
        <is>
          <t>1 - ADMINISTRACIÓN CENTRAL</t>
        </is>
      </c>
      <c r="B239" t="inlineStr">
        <is>
          <t>00 - SIN SECTOR</t>
        </is>
      </c>
      <c r="C239" t="inlineStr">
        <is>
          <t>00</t>
        </is>
      </c>
      <c r="D239" t="inlineStr">
        <is>
          <t>0000</t>
        </is>
      </c>
      <c r="E239" t="inlineStr">
        <is>
          <t>0000000</t>
        </is>
      </c>
      <c r="F239" t="inlineStr">
        <is>
          <t>SIN PRODUCTO</t>
        </is>
      </c>
      <c r="G239" t="inlineStr">
        <is>
          <t>00</t>
        </is>
      </c>
      <c r="H239" t="inlineStr">
        <is>
          <t>SIN CODIGO BPIN</t>
        </is>
      </c>
      <c r="I239" t="inlineStr">
        <is>
          <t>00</t>
        </is>
      </c>
      <c r="J239" t="inlineStr">
        <is>
          <t>SIN PRODUCTO DANE</t>
        </is>
      </c>
      <c r="K239" t="inlineStr">
        <is>
          <t>00</t>
        </is>
      </c>
      <c r="L239" t="inlineStr">
        <is>
          <t>SIN ATRIBUTO</t>
        </is>
      </c>
      <c r="N239" t="inlineStr">
        <is>
          <t>2.3.2.01.01.003.03.02</t>
        </is>
      </c>
      <c r="O239" t="inlineStr">
        <is>
          <t>Maquinaria De Informatica Y Sus Partes, Piezas Y Accesorios</t>
        </is>
      </c>
      <c r="P239" t="inlineStr">
        <is>
          <t>00</t>
        </is>
      </c>
      <c r="Q239" t="inlineStr">
        <is>
          <t>RECURSO PROPIOS</t>
        </is>
      </c>
      <c r="R239" t="n">
        <v>150100000</v>
      </c>
      <c r="S239" t="n">
        <v>5871361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155971361</v>
      </c>
      <c r="Z239" t="n">
        <v>0</v>
      </c>
      <c r="AA239" t="n">
        <v>0</v>
      </c>
      <c r="AB239" t="n">
        <v>0</v>
      </c>
      <c r="AC239" t="n">
        <v>0</v>
      </c>
      <c r="AD239" t="n">
        <v>155971361</v>
      </c>
      <c r="AE239" t="n">
        <v>0</v>
      </c>
    </row>
    <row r="240">
      <c r="A240" t="inlineStr">
        <is>
          <t>1 - ADMINISTRACIÓN CENTRAL</t>
        </is>
      </c>
      <c r="B240" t="inlineStr">
        <is>
          <t>33 - CULTURA</t>
        </is>
      </c>
      <c r="C240" t="inlineStr">
        <is>
          <t>1603</t>
        </is>
      </c>
      <c r="D240" t="inlineStr">
        <is>
          <t>3301</t>
        </is>
      </c>
      <c r="E240" t="inlineStr">
        <is>
          <t>3301003</t>
        </is>
      </c>
      <c r="F240" t="inlineStr">
        <is>
          <t>BIBLIOTECAS ADECUADAS</t>
        </is>
      </c>
      <c r="G240" t="inlineStr">
        <is>
          <t>2024548740040</t>
        </is>
      </c>
      <c r="H240" t="inlineStr">
        <is>
          <t>FORTALECIMIENTO EN LA PROMOCIÓN Y ACCESO EFECTIVO A PROCESOS CULTURALES Y ARTISTICOS EN EL MUNICIPIO DE VILLA DEL ROSARIO VILLA DEL ROSARIO UNA CIUDAD POSIBLE</t>
        </is>
      </c>
      <c r="I240" t="inlineStr">
        <is>
          <t>00</t>
        </is>
      </c>
      <c r="J240" t="inlineStr">
        <is>
          <t>SIN PRODUCTO DANE</t>
        </is>
      </c>
      <c r="K240" t="inlineStr">
        <is>
          <t>00</t>
        </is>
      </c>
      <c r="L240" t="inlineStr">
        <is>
          <t>SIN ATRIBUTO</t>
        </is>
      </c>
      <c r="N240" t="inlineStr">
        <is>
          <t>2.3.2.01.01.003.03.02.33.01</t>
        </is>
      </c>
      <c r="O240" t="inlineStr">
        <is>
          <t>Dotación de Bibliotecas (10% Estampilla)</t>
        </is>
      </c>
      <c r="P240" t="inlineStr">
        <is>
          <t>1.2.3.1.19.02</t>
        </is>
      </c>
      <c r="Q240" t="inlineStr">
        <is>
          <t>ESTAMPILLA PRO CULTURA</t>
        </is>
      </c>
      <c r="R240" t="n">
        <v>150000000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150000000</v>
      </c>
      <c r="Z240" t="n">
        <v>0</v>
      </c>
      <c r="AA240" t="n">
        <v>0</v>
      </c>
      <c r="AB240" t="n">
        <v>0</v>
      </c>
      <c r="AC240" t="n">
        <v>0</v>
      </c>
      <c r="AD240" t="n">
        <v>150000000</v>
      </c>
      <c r="AE240" t="n">
        <v>0</v>
      </c>
    </row>
    <row r="241">
      <c r="A241" t="inlineStr">
        <is>
          <t>1 - ADMINISTRACIÓN CENTRAL</t>
        </is>
      </c>
      <c r="B241" t="inlineStr">
        <is>
          <t>33 - CULTURA</t>
        </is>
      </c>
      <c r="C241" t="inlineStr">
        <is>
          <t>1603</t>
        </is>
      </c>
      <c r="D241" t="inlineStr">
        <is>
          <t>3301</t>
        </is>
      </c>
      <c r="E241" t="inlineStr">
        <is>
          <t>3301003</t>
        </is>
      </c>
      <c r="F241" t="inlineStr">
        <is>
          <t>BIBLIOTECAS ADECUADAS</t>
        </is>
      </c>
      <c r="G241" t="inlineStr">
        <is>
          <t>2024548740040</t>
        </is>
      </c>
      <c r="H241" t="inlineStr">
        <is>
          <t>FORTALECIMIENTO EN LA PROMOCIÓN Y ACCESO EFECTIVO A PROCESOS CULTURALES Y ARTISTICOS EN EL MUNICIPIO DE VILLA DEL ROSARIO VILLA DEL ROSARIO UNA CIUDAD POSIBLE</t>
        </is>
      </c>
      <c r="I241" t="inlineStr">
        <is>
          <t>00</t>
        </is>
      </c>
      <c r="J241" t="inlineStr">
        <is>
          <t>SIN PRODUCTO DANE</t>
        </is>
      </c>
      <c r="K241" t="inlineStr">
        <is>
          <t>00</t>
        </is>
      </c>
      <c r="L241" t="inlineStr">
        <is>
          <t>SIN ATRIBUTO</t>
        </is>
      </c>
      <c r="N241" t="inlineStr">
        <is>
          <t>2.3.2.01.01.003.03.02.33.01</t>
        </is>
      </c>
      <c r="O241" t="inlineStr">
        <is>
          <t>Bibliotecas adecuadas (10% Estampilla)</t>
        </is>
      </c>
      <c r="P241" t="inlineStr">
        <is>
          <t>1.3.2.3.11.02</t>
        </is>
      </c>
      <c r="Q241" t="inlineStr">
        <is>
          <t>OTROS RENDIMIENTOS FINANCIEROS 10% BIBLIOTECAS PUBLICAS ESTAMP. PRO CULTURA</t>
        </is>
      </c>
      <c r="R241" t="n">
        <v>100000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100000</v>
      </c>
      <c r="Z241" t="n">
        <v>0</v>
      </c>
      <c r="AA241" t="n">
        <v>0</v>
      </c>
      <c r="AB241" t="n">
        <v>0</v>
      </c>
      <c r="AC241" t="n">
        <v>0</v>
      </c>
      <c r="AD241" t="n">
        <v>100000</v>
      </c>
      <c r="AE241" t="n">
        <v>0</v>
      </c>
    </row>
    <row r="242">
      <c r="A242" t="inlineStr">
        <is>
          <t>1 - ADMINISTRACIÓN CENTRAL</t>
        </is>
      </c>
      <c r="B242" t="inlineStr">
        <is>
          <t>33 - CULTURA</t>
        </is>
      </c>
      <c r="C242" t="inlineStr">
        <is>
          <t>1603</t>
        </is>
      </c>
      <c r="D242" t="inlineStr">
        <is>
          <t>3301</t>
        </is>
      </c>
      <c r="E242" t="inlineStr">
        <is>
          <t>3301003</t>
        </is>
      </c>
      <c r="F242" t="inlineStr">
        <is>
          <t>BIBLIOTECAS ADECUADAS</t>
        </is>
      </c>
      <c r="G242" t="inlineStr">
        <is>
          <t>2024548740040</t>
        </is>
      </c>
      <c r="H242" t="inlineStr">
        <is>
          <t>FORTALECIMIENTO EN LA PROMOCIÓN Y ACCESO EFECTIVO A PROCESOS CULTURALES Y ARTISTICOS EN EL MUNICIPIO DE VILLA DEL ROSARIO VILLA DEL ROSARIO UNA CIUDAD POSIBLE</t>
        </is>
      </c>
      <c r="I242" t="inlineStr">
        <is>
          <t>00</t>
        </is>
      </c>
      <c r="J242" t="inlineStr">
        <is>
          <t>SIN PRODUCTO DANE</t>
        </is>
      </c>
      <c r="K242" t="inlineStr">
        <is>
          <t>00</t>
        </is>
      </c>
      <c r="L242" t="inlineStr">
        <is>
          <t>SIN ATRIBUTO</t>
        </is>
      </c>
      <c r="N242" t="inlineStr">
        <is>
          <t>2.3.2.01.01.003.03.02.33.03</t>
        </is>
      </c>
      <c r="O242" t="inlineStr">
        <is>
          <t>Dotación de Bibliotecas (10% Estampilla)</t>
        </is>
      </c>
      <c r="P242" t="inlineStr">
        <is>
          <t>1.3.3.3.20.05</t>
        </is>
      </c>
      <c r="Q242" t="inlineStr">
        <is>
          <t>R.B. ESTAMPILLA PRO CULTURA 10% BIBLIOTECAS PUBLICAS</t>
        </is>
      </c>
      <c r="R242" t="n">
        <v>0</v>
      </c>
      <c r="S242" t="n">
        <v>5858635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5858635</v>
      </c>
      <c r="Z242" t="n">
        <v>0</v>
      </c>
      <c r="AA242" t="n">
        <v>0</v>
      </c>
      <c r="AB242" t="n">
        <v>0</v>
      </c>
      <c r="AC242" t="n">
        <v>0</v>
      </c>
      <c r="AD242" t="n">
        <v>5858635</v>
      </c>
      <c r="AE242" t="n">
        <v>0</v>
      </c>
    </row>
    <row r="243">
      <c r="A243" t="inlineStr">
        <is>
          <t>1 - ADMINISTRACIÓN CENTRAL</t>
        </is>
      </c>
      <c r="B243" t="inlineStr">
        <is>
          <t>33 - CULTURA</t>
        </is>
      </c>
      <c r="C243" t="inlineStr">
        <is>
          <t>1603</t>
        </is>
      </c>
      <c r="D243" t="inlineStr">
        <is>
          <t>3301</t>
        </is>
      </c>
      <c r="E243" t="inlineStr">
        <is>
          <t>3301003</t>
        </is>
      </c>
      <c r="F243" t="inlineStr">
        <is>
          <t>BIBLIOTECAS ADECUADAS</t>
        </is>
      </c>
      <c r="G243" t="inlineStr">
        <is>
          <t>2024548740040</t>
        </is>
      </c>
      <c r="H243" t="inlineStr">
        <is>
          <t>FORTALECIMIENTO EN LA PROMOCIÓN Y ACCESO EFECTIVO A PROCESOS CULTURALES Y ARTISTICOS EN EL MUNICIPIO DE VILLA DEL ROSARIO VILLA DEL ROSARIO UNA CIUDAD POSIBLE</t>
        </is>
      </c>
      <c r="I243" t="inlineStr">
        <is>
          <t>00</t>
        </is>
      </c>
      <c r="J243" t="inlineStr">
        <is>
          <t>SIN PRODUCTO DANE</t>
        </is>
      </c>
      <c r="K243" t="inlineStr">
        <is>
          <t>00</t>
        </is>
      </c>
      <c r="L243" t="inlineStr">
        <is>
          <t>SIN ATRIBUTO</t>
        </is>
      </c>
      <c r="N243" t="inlineStr">
        <is>
          <t>2.3.2.01.01.003.03.02.33.04</t>
        </is>
      </c>
      <c r="O243" t="inlineStr">
        <is>
          <t>Dotación de Bibliotecas (10% Estampilla)</t>
        </is>
      </c>
      <c r="P243" t="inlineStr">
        <is>
          <t>1.3.2.3.11.02</t>
        </is>
      </c>
      <c r="Q243" t="inlineStr">
        <is>
          <t>OTROS RENDIMIENTOS FINANCIEROS 10% BIBLIOTECAS PUBLICAS ESTAMP. PRO CULTURA</t>
        </is>
      </c>
      <c r="R243" t="n">
        <v>0</v>
      </c>
      <c r="S243" t="n">
        <v>12726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12726</v>
      </c>
      <c r="Z243" t="n">
        <v>0</v>
      </c>
      <c r="AA243" t="n">
        <v>0</v>
      </c>
      <c r="AB243" t="n">
        <v>0</v>
      </c>
      <c r="AC243" t="n">
        <v>0</v>
      </c>
      <c r="AD243" t="n">
        <v>12726</v>
      </c>
      <c r="AE243" t="n">
        <v>0</v>
      </c>
    </row>
    <row r="244">
      <c r="A244" t="inlineStr">
        <is>
          <t>1 - ADMINISTRACIÓN CENTRAL</t>
        </is>
      </c>
      <c r="B244" t="inlineStr">
        <is>
          <t>00 - SIN SECTOR</t>
        </is>
      </c>
      <c r="C244" t="inlineStr">
        <is>
          <t>00</t>
        </is>
      </c>
      <c r="D244" t="inlineStr">
        <is>
          <t>0000</t>
        </is>
      </c>
      <c r="E244" t="inlineStr">
        <is>
          <t>0000000</t>
        </is>
      </c>
      <c r="F244" t="inlineStr">
        <is>
          <t>SIN PRODUCTO</t>
        </is>
      </c>
      <c r="G244" t="inlineStr">
        <is>
          <t>00</t>
        </is>
      </c>
      <c r="H244" t="inlineStr">
        <is>
          <t>SIN CODIGO BPIN</t>
        </is>
      </c>
      <c r="I244" t="inlineStr">
        <is>
          <t>00</t>
        </is>
      </c>
      <c r="J244" t="inlineStr">
        <is>
          <t>SIN PRODUCTO DANE</t>
        </is>
      </c>
      <c r="K244" t="inlineStr">
        <is>
          <t>00</t>
        </is>
      </c>
      <c r="L244" t="inlineStr">
        <is>
          <t>SIN ATRIBUTO</t>
        </is>
      </c>
      <c r="N244" t="inlineStr">
        <is>
          <t>2.3.2.01.03</t>
        </is>
      </c>
      <c r="O244" t="inlineStr">
        <is>
          <t>Activos No Producidos</t>
        </is>
      </c>
      <c r="P244" t="inlineStr">
        <is>
          <t>00</t>
        </is>
      </c>
      <c r="Q244" t="inlineStr">
        <is>
          <t>RECURSO PROPIOS</t>
        </is>
      </c>
      <c r="R244" t="n">
        <v>363655563</v>
      </c>
      <c r="S244" t="n">
        <v>11142560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374798123</v>
      </c>
      <c r="Z244" t="n">
        <v>0</v>
      </c>
      <c r="AA244" t="n">
        <v>0</v>
      </c>
      <c r="AB244" t="n">
        <v>0</v>
      </c>
      <c r="AC244" t="n">
        <v>0</v>
      </c>
      <c r="AD244" t="n">
        <v>374798123</v>
      </c>
      <c r="AE244" t="n">
        <v>0</v>
      </c>
    </row>
    <row r="245">
      <c r="A245" t="inlineStr">
        <is>
          <t>1 - ADMINISTRACIÓN CENTRAL</t>
        </is>
      </c>
      <c r="B245" t="inlineStr">
        <is>
          <t>00 - SIN SECTOR</t>
        </is>
      </c>
      <c r="C245" t="inlineStr">
        <is>
          <t>00</t>
        </is>
      </c>
      <c r="D245" t="inlineStr">
        <is>
          <t>0000</t>
        </is>
      </c>
      <c r="E245" t="inlineStr">
        <is>
          <t>0000000</t>
        </is>
      </c>
      <c r="F245" t="inlineStr">
        <is>
          <t>SIN PRODUCTO</t>
        </is>
      </c>
      <c r="G245" t="inlineStr">
        <is>
          <t>00</t>
        </is>
      </c>
      <c r="H245" t="inlineStr">
        <is>
          <t>SIN CODIGO BPIN</t>
        </is>
      </c>
      <c r="I245" t="inlineStr">
        <is>
          <t>00</t>
        </is>
      </c>
      <c r="J245" t="inlineStr">
        <is>
          <t>SIN PRODUCTO DANE</t>
        </is>
      </c>
      <c r="K245" t="inlineStr">
        <is>
          <t>00</t>
        </is>
      </c>
      <c r="L245" t="inlineStr">
        <is>
          <t>SIN ATRIBUTO</t>
        </is>
      </c>
      <c r="N245" t="inlineStr">
        <is>
          <t>2.3.2.01.03.001</t>
        </is>
      </c>
      <c r="O245" t="inlineStr">
        <is>
          <t>Tierras Y Terrenos</t>
        </is>
      </c>
      <c r="P245" t="inlineStr">
        <is>
          <t>00</t>
        </is>
      </c>
      <c r="Q245" t="inlineStr">
        <is>
          <t>RECURSO PROPIOS</t>
        </is>
      </c>
      <c r="R245" t="n">
        <v>363655563</v>
      </c>
      <c r="S245" t="n">
        <v>11142560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374798123</v>
      </c>
      <c r="Z245" t="n">
        <v>0</v>
      </c>
      <c r="AA245" t="n">
        <v>0</v>
      </c>
      <c r="AB245" t="n">
        <v>0</v>
      </c>
      <c r="AC245" t="n">
        <v>0</v>
      </c>
      <c r="AD245" t="n">
        <v>374798123</v>
      </c>
      <c r="AE245" t="n">
        <v>0</v>
      </c>
    </row>
    <row r="246">
      <c r="A246" t="inlineStr">
        <is>
          <t>1 - ADMINISTRACIÓN CENTRAL</t>
        </is>
      </c>
      <c r="B246" t="inlineStr">
        <is>
          <t>32 - AMBIENTE Y DESARROLLO SOSTENIBLE</t>
        </is>
      </c>
      <c r="C246" t="inlineStr">
        <is>
          <t>0900</t>
        </is>
      </c>
      <c r="D246" t="inlineStr">
        <is>
          <t>3203</t>
        </is>
      </c>
      <c r="E246" t="inlineStr">
        <is>
          <t>3203050</t>
        </is>
      </c>
      <c r="F246" t="inlineStr">
        <is>
          <t>SERVICIO DE PROTECCION DEL RECURSO HIDRICO</t>
        </is>
      </c>
      <c r="G246" t="inlineStr">
        <is>
          <t>2024548740052</t>
        </is>
      </c>
      <c r="H246" t="inlineStr">
        <is>
          <t>FORTALECIMIENTO PARA LA GESTION INTEGRAL DEL RECURSO HIDRICO EN EL MUNICIPIO DE VILLA DEL ROSARIO.VILLA DE LROSARIO UNA CIUDAD POSIBLE</t>
        </is>
      </c>
      <c r="I246" t="inlineStr">
        <is>
          <t>00</t>
        </is>
      </c>
      <c r="J246" t="inlineStr">
        <is>
          <t>SIN PRODUCTO DANE</t>
        </is>
      </c>
      <c r="K246" t="inlineStr">
        <is>
          <t>00</t>
        </is>
      </c>
      <c r="L246" t="inlineStr">
        <is>
          <t>SIN ATRIBUTO</t>
        </is>
      </c>
      <c r="N246" t="inlineStr">
        <is>
          <t>2.3.2.01.03.001.32.01</t>
        </is>
      </c>
      <c r="O246" t="inlineStr">
        <is>
          <t>Aduisición y/o mantenimiento de áreas estratégicas</t>
        </is>
      </c>
      <c r="P246" t="inlineStr">
        <is>
          <t>1.2.1.0.00</t>
        </is>
      </c>
      <c r="Q246" t="inlineStr">
        <is>
          <t>INGRESOS CORRIENTES DE LIBRE DESTINACION</t>
        </is>
      </c>
      <c r="R246" t="n">
        <v>363655563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363655563</v>
      </c>
      <c r="Z246" t="n">
        <v>0</v>
      </c>
      <c r="AA246" t="n">
        <v>0</v>
      </c>
      <c r="AB246" t="n">
        <v>0</v>
      </c>
      <c r="AC246" t="n">
        <v>0</v>
      </c>
      <c r="AD246" t="n">
        <v>363655563</v>
      </c>
      <c r="AE246" t="n">
        <v>0</v>
      </c>
    </row>
    <row r="247">
      <c r="A247" t="inlineStr">
        <is>
          <t>1 - ADMINISTRACIÓN CENTRAL</t>
        </is>
      </c>
      <c r="B247" t="inlineStr">
        <is>
          <t>32 - AMBIENTE Y DESARROLLO SOSTENIBLE</t>
        </is>
      </c>
      <c r="C247" t="inlineStr">
        <is>
          <t>0900</t>
        </is>
      </c>
      <c r="D247" t="inlineStr">
        <is>
          <t>3203</t>
        </is>
      </c>
      <c r="E247" t="inlineStr">
        <is>
          <t>3203050</t>
        </is>
      </c>
      <c r="F247" t="inlineStr">
        <is>
          <t>SERVICIO DE PROTECCION DEL RECURSO HIDRICO</t>
        </is>
      </c>
      <c r="G247" t="inlineStr">
        <is>
          <t>2024548740052</t>
        </is>
      </c>
      <c r="H247" t="inlineStr">
        <is>
          <t>FORTALECIMIENTO PARA LA GESTION INTEGRAL DEL RECURSO HIDRICO EN EL MUNICIPIO DE VILLA DEL ROSARIO.VILLA DE LROSARIO UNA CIUDAD POSIBLE</t>
        </is>
      </c>
      <c r="I247" t="inlineStr">
        <is>
          <t>00</t>
        </is>
      </c>
      <c r="J247" t="inlineStr">
        <is>
          <t>SIN PRODUCTO DANE</t>
        </is>
      </c>
      <c r="K247" t="inlineStr">
        <is>
          <t>00</t>
        </is>
      </c>
      <c r="L247" t="inlineStr">
        <is>
          <t>SIN ATRIBUTO</t>
        </is>
      </c>
      <c r="N247" t="inlineStr">
        <is>
          <t>2.3.2.01.03.001.32.02</t>
        </is>
      </c>
      <c r="O247" t="inlineStr">
        <is>
          <t>Aduisición y/o mantenimiento de áreas estratégicas</t>
        </is>
      </c>
      <c r="P247" t="inlineStr">
        <is>
          <t>1.3.2.3.11.34</t>
        </is>
      </c>
      <c r="Q247" t="inlineStr">
        <is>
          <t>OTROS RENDIMIENTOS FINANCIEROS - 1% ICLD AREAS ESTRATEGICAS</t>
        </is>
      </c>
      <c r="R247" t="n">
        <v>0</v>
      </c>
      <c r="S247" t="n">
        <v>11142560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11142560</v>
      </c>
      <c r="Z247" t="n">
        <v>0</v>
      </c>
      <c r="AA247" t="n">
        <v>0</v>
      </c>
      <c r="AB247" t="n">
        <v>0</v>
      </c>
      <c r="AC247" t="n">
        <v>0</v>
      </c>
      <c r="AD247" t="n">
        <v>11142560</v>
      </c>
      <c r="AE247" t="n">
        <v>0</v>
      </c>
    </row>
    <row r="248">
      <c r="A248" t="inlineStr">
        <is>
          <t>1 - ADMINISTRACIÓN CENTRAL</t>
        </is>
      </c>
      <c r="B248" t="inlineStr">
        <is>
          <t>00 - SIN SECTOR</t>
        </is>
      </c>
      <c r="C248" t="inlineStr">
        <is>
          <t>00</t>
        </is>
      </c>
      <c r="D248" t="inlineStr">
        <is>
          <t>0000</t>
        </is>
      </c>
      <c r="E248" t="inlineStr">
        <is>
          <t>0000000</t>
        </is>
      </c>
      <c r="F248" t="inlineStr">
        <is>
          <t>SIN PRODUCTO</t>
        </is>
      </c>
      <c r="G248" t="inlineStr">
        <is>
          <t>00</t>
        </is>
      </c>
      <c r="H248" t="inlineStr">
        <is>
          <t>SIN CODIGO BPIN</t>
        </is>
      </c>
      <c r="I248" t="inlineStr">
        <is>
          <t>00</t>
        </is>
      </c>
      <c r="J248" t="inlineStr">
        <is>
          <t>SIN PRODUCTO DANE</t>
        </is>
      </c>
      <c r="K248" t="inlineStr">
        <is>
          <t>00</t>
        </is>
      </c>
      <c r="L248" t="inlineStr">
        <is>
          <t>SIN ATRIBUTO</t>
        </is>
      </c>
      <c r="N248" t="inlineStr">
        <is>
          <t>2.3.2.02</t>
        </is>
      </c>
      <c r="O248" t="inlineStr">
        <is>
          <t>Adquisiciones Diferentes De Activos</t>
        </is>
      </c>
      <c r="P248" t="inlineStr">
        <is>
          <t>00</t>
        </is>
      </c>
      <c r="Q248" t="inlineStr">
        <is>
          <t>RECURSO PROPIOS</t>
        </is>
      </c>
      <c r="R248" t="n">
        <v>41738668560</v>
      </c>
      <c r="S248" t="n">
        <v>8064099535.4</v>
      </c>
      <c r="T248" t="n">
        <v>0</v>
      </c>
      <c r="U248" t="n">
        <v>674500000</v>
      </c>
      <c r="V248" t="n">
        <v>1674500000</v>
      </c>
      <c r="W248" t="n">
        <v>0</v>
      </c>
      <c r="X248" t="n">
        <v>0</v>
      </c>
      <c r="Y248" t="n">
        <v>48802768095.4</v>
      </c>
      <c r="Z248" t="n">
        <v>22169487135.91</v>
      </c>
      <c r="AA248" t="n">
        <v>17899215197.91</v>
      </c>
      <c r="AB248" t="n">
        <v>11738114977.93</v>
      </c>
      <c r="AC248" t="n">
        <v>11549087305</v>
      </c>
      <c r="AD248" t="n">
        <v>30903552897.49</v>
      </c>
      <c r="AE248" t="n">
        <v>36.68</v>
      </c>
    </row>
    <row r="249">
      <c r="A249" t="inlineStr">
        <is>
          <t>1 - ADMINISTRACIÓN CENTRAL</t>
        </is>
      </c>
      <c r="B249" t="inlineStr">
        <is>
          <t>00 - SIN SECTOR</t>
        </is>
      </c>
      <c r="C249" t="inlineStr">
        <is>
          <t>00</t>
        </is>
      </c>
      <c r="D249" t="inlineStr">
        <is>
          <t>0000</t>
        </is>
      </c>
      <c r="E249" t="inlineStr">
        <is>
          <t>0000000</t>
        </is>
      </c>
      <c r="F249" t="inlineStr">
        <is>
          <t>SIN PRODUCTO</t>
        </is>
      </c>
      <c r="G249" t="inlineStr">
        <is>
          <t>00</t>
        </is>
      </c>
      <c r="H249" t="inlineStr">
        <is>
          <t>SIN CODIGO BPIN</t>
        </is>
      </c>
      <c r="I249" t="inlineStr">
        <is>
          <t>00</t>
        </is>
      </c>
      <c r="J249" t="inlineStr">
        <is>
          <t>SIN PRODUCTO DANE</t>
        </is>
      </c>
      <c r="K249" t="inlineStr">
        <is>
          <t>00</t>
        </is>
      </c>
      <c r="L249" t="inlineStr">
        <is>
          <t>SIN ATRIBUTO</t>
        </is>
      </c>
      <c r="N249" t="inlineStr">
        <is>
          <t>2.3.2.02.01</t>
        </is>
      </c>
      <c r="O249" t="inlineStr">
        <is>
          <t>Materiales Y Suministros</t>
        </is>
      </c>
      <c r="P249" t="inlineStr">
        <is>
          <t>00</t>
        </is>
      </c>
      <c r="Q249" t="inlineStr">
        <is>
          <t>RECURSO PROPIOS</t>
        </is>
      </c>
      <c r="R249" t="n">
        <v>288749682</v>
      </c>
      <c r="S249" t="n">
        <v>12076413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300826095</v>
      </c>
      <c r="Z249" t="n">
        <v>78000000</v>
      </c>
      <c r="AA249" t="n">
        <v>0</v>
      </c>
      <c r="AB249" t="n">
        <v>0</v>
      </c>
      <c r="AC249" t="n">
        <v>0</v>
      </c>
      <c r="AD249" t="n">
        <v>300826095</v>
      </c>
      <c r="AE249" t="n">
        <v>0</v>
      </c>
    </row>
    <row r="250">
      <c r="A250" t="inlineStr">
        <is>
          <t>1 - ADMINISTRACIÓN CENTRAL</t>
        </is>
      </c>
      <c r="B250" t="inlineStr">
        <is>
          <t>00 - SIN SECTOR</t>
        </is>
      </c>
      <c r="C250" t="inlineStr">
        <is>
          <t>00</t>
        </is>
      </c>
      <c r="D250" t="inlineStr">
        <is>
          <t>0000</t>
        </is>
      </c>
      <c r="E250" t="inlineStr">
        <is>
          <t>0000000</t>
        </is>
      </c>
      <c r="F250" t="inlineStr">
        <is>
          <t>SIN PRODUCTO</t>
        </is>
      </c>
      <c r="G250" t="inlineStr">
        <is>
          <t>00</t>
        </is>
      </c>
      <c r="H250" t="inlineStr">
        <is>
          <t>SIN CODIGO BPIN</t>
        </is>
      </c>
      <c r="I250" t="inlineStr">
        <is>
          <t>00</t>
        </is>
      </c>
      <c r="J250" t="inlineStr">
        <is>
          <t>SIN PRODUCTO DANE</t>
        </is>
      </c>
      <c r="K250" t="inlineStr">
        <is>
          <t>00</t>
        </is>
      </c>
      <c r="L250" t="inlineStr">
        <is>
          <t>SIN ATRIBUTO</t>
        </is>
      </c>
      <c r="N250" t="inlineStr">
        <is>
          <t>2.3.2.02.01.003</t>
        </is>
      </c>
      <c r="O250" t="inlineStr">
        <is>
          <t>Otros Bienes Transportables Excepto Productos Metalicos, Maquinaria Y Equipo</t>
        </is>
      </c>
      <c r="P250" t="inlineStr">
        <is>
          <t>00</t>
        </is>
      </c>
      <c r="Q250" t="inlineStr">
        <is>
          <t>RECURSO PROPIOS</t>
        </is>
      </c>
      <c r="R250" t="n">
        <v>150000000</v>
      </c>
      <c r="S250" t="n">
        <v>0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150000000</v>
      </c>
      <c r="Z250" t="n">
        <v>0</v>
      </c>
      <c r="AA250" t="n">
        <v>0</v>
      </c>
      <c r="AB250" t="n">
        <v>0</v>
      </c>
      <c r="AC250" t="n">
        <v>0</v>
      </c>
      <c r="AD250" t="n">
        <v>150000000</v>
      </c>
      <c r="AE250" t="n">
        <v>0</v>
      </c>
    </row>
    <row r="251">
      <c r="A251" t="inlineStr">
        <is>
          <t>1 - ADMINISTRACIÓN CENTRAL</t>
        </is>
      </c>
      <c r="B251" t="inlineStr">
        <is>
          <t>22 - EDUCACIÓN</t>
        </is>
      </c>
      <c r="C251" t="inlineStr">
        <is>
          <t>0700</t>
        </is>
      </c>
      <c r="D251" t="inlineStr">
        <is>
          <t>2201</t>
        </is>
      </c>
      <c r="E251" t="inlineStr">
        <is>
          <t>2201069</t>
        </is>
      </c>
      <c r="F251" t="inlineStr">
        <is>
          <t>INFRAESTRUCTURA EDUCATIVA DOTADA</t>
        </is>
      </c>
      <c r="G251" t="inlineStr">
        <is>
          <t>2024548740022</t>
        </is>
      </c>
      <c r="H251" t="inlineStr">
        <is>
          <t>FORTALECIMIENTO DE LA CALIDAD Y COBERTURA DE LA EDUCACIÓN INICIAL PREESCOLAR BASICA Y MEDIA EN EL MUNICIPIO DE VILLA DEL ROSARIO.VILLA DEL ROSARIO UNA CIUDAD POSIBLE</t>
        </is>
      </c>
      <c r="I251" t="inlineStr">
        <is>
          <t>3814089</t>
        </is>
      </c>
      <c r="J251" t="inlineStr">
        <is>
          <t>Muebles metálicos n.c.p. para escuelas</t>
        </is>
      </c>
      <c r="K251" t="inlineStr">
        <is>
          <t>00</t>
        </is>
      </c>
      <c r="L251" t="inlineStr">
        <is>
          <t>SIN ATRIBUTO</t>
        </is>
      </c>
      <c r="N251" t="inlineStr">
        <is>
          <t>2.3.2.02.01.003.22.01</t>
        </is>
      </c>
      <c r="O251" t="inlineStr">
        <is>
          <t>Infraestructura educativa dotada</t>
        </is>
      </c>
      <c r="P251" t="inlineStr">
        <is>
          <t>1.2.2.0.00.06</t>
        </is>
      </c>
      <c r="Q251" t="inlineStr">
        <is>
          <t>10% SOBRETASA GASOLINA  CALIDAD EDUCATIVA</t>
        </is>
      </c>
      <c r="R251" t="n">
        <v>150000000</v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150000000</v>
      </c>
      <c r="Z251" t="n">
        <v>0</v>
      </c>
      <c r="AA251" t="n">
        <v>0</v>
      </c>
      <c r="AB251" t="n">
        <v>0</v>
      </c>
      <c r="AC251" t="n">
        <v>0</v>
      </c>
      <c r="AD251" t="n">
        <v>150000000</v>
      </c>
      <c r="AE251" t="n">
        <v>0</v>
      </c>
    </row>
    <row r="252">
      <c r="A252" t="inlineStr">
        <is>
          <t>1 - ADMINISTRACIÓN CENTRAL</t>
        </is>
      </c>
      <c r="B252" t="inlineStr">
        <is>
          <t>00 - SIN SECTOR</t>
        </is>
      </c>
      <c r="C252" t="inlineStr">
        <is>
          <t>00</t>
        </is>
      </c>
      <c r="D252" t="inlineStr">
        <is>
          <t>0000</t>
        </is>
      </c>
      <c r="E252" t="inlineStr">
        <is>
          <t>0000000</t>
        </is>
      </c>
      <c r="F252" t="inlineStr">
        <is>
          <t>SIN PRODUCTO</t>
        </is>
      </c>
      <c r="G252" t="inlineStr">
        <is>
          <t>00</t>
        </is>
      </c>
      <c r="H252" t="inlineStr">
        <is>
          <t>SIN CODIGO BPIN</t>
        </is>
      </c>
      <c r="I252" t="inlineStr">
        <is>
          <t>00</t>
        </is>
      </c>
      <c r="J252" t="inlineStr">
        <is>
          <t>SIN PRODUCTO DANE</t>
        </is>
      </c>
      <c r="K252" t="inlineStr">
        <is>
          <t>00</t>
        </is>
      </c>
      <c r="L252" t="inlineStr">
        <is>
          <t>SIN ATRIBUTO</t>
        </is>
      </c>
      <c r="N252" t="inlineStr">
        <is>
          <t>2.3.2.02.01.004</t>
        </is>
      </c>
      <c r="O252" t="inlineStr">
        <is>
          <t>Productos Metalicos, Maquinaria Y Equipo</t>
        </is>
      </c>
      <c r="P252" t="inlineStr">
        <is>
          <t>00</t>
        </is>
      </c>
      <c r="Q252" t="inlineStr">
        <is>
          <t>RECURSO PROPIOS</t>
        </is>
      </c>
      <c r="R252" t="n">
        <v>138749682</v>
      </c>
      <c r="S252" t="n">
        <v>12076413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150826095</v>
      </c>
      <c r="Z252" t="n">
        <v>78000000</v>
      </c>
      <c r="AA252" t="n">
        <v>0</v>
      </c>
      <c r="AB252" t="n">
        <v>0</v>
      </c>
      <c r="AC252" t="n">
        <v>0</v>
      </c>
      <c r="AD252" t="n">
        <v>150826095</v>
      </c>
      <c r="AE252" t="n">
        <v>0</v>
      </c>
    </row>
    <row r="253">
      <c r="A253" t="inlineStr">
        <is>
          <t>1 - ADMINISTRACIÓN CENTRAL</t>
        </is>
      </c>
      <c r="B253" t="inlineStr">
        <is>
          <t>22 - EDUCACIÓN</t>
        </is>
      </c>
      <c r="C253" t="inlineStr">
        <is>
          <t>0700</t>
        </is>
      </c>
      <c r="D253" t="inlineStr">
        <is>
          <t>2201</t>
        </is>
      </c>
      <c r="E253" t="inlineStr">
        <is>
          <t>2201028</t>
        </is>
      </c>
      <c r="F253" t="inlineStr">
        <is>
          <t>SERVICIO DE APOYO A LA PERMANENCIA CON ALIMENTACIÓN ESCOLAR</t>
        </is>
      </c>
      <c r="G253" t="inlineStr">
        <is>
          <t>2024548740022</t>
        </is>
      </c>
      <c r="H253" t="inlineStr">
        <is>
          <t>FORTALECIMIENTO DE LA CALIDAD Y COBERTURA DE LA EDUCACIÓN INICIAL PREESCOLAR BASICA Y MEDIA EN EL MUNICIPIO DE VILLA DEL ROSARIO.VILLA DEL ROSARIO UNA CIUDAD POSIBLE</t>
        </is>
      </c>
      <c r="I253" t="inlineStr">
        <is>
          <t>4291246</t>
        </is>
      </c>
      <c r="J253" t="inlineStr">
        <is>
          <t>Menajes de acero inoxidable para instituciones</t>
        </is>
      </c>
      <c r="K253" t="inlineStr">
        <is>
          <t>00</t>
        </is>
      </c>
      <c r="L253" t="inlineStr">
        <is>
          <t>SIN ATRIBUTO</t>
        </is>
      </c>
      <c r="N253" t="inlineStr">
        <is>
          <t>2.3.2.02.01.004.22.01</t>
        </is>
      </c>
      <c r="O253" t="inlineStr">
        <is>
          <t>Menaje programa de permanencia con alimentación escolar</t>
        </is>
      </c>
      <c r="P253" t="inlineStr">
        <is>
          <t>1.3.2.2.09.01</t>
        </is>
      </c>
      <c r="Q253" t="inlineStr">
        <is>
          <t>R.F. SGP - ALIMENTACIÓN ESCOLAR 2019  20% MENAJE</t>
        </is>
      </c>
      <c r="R253" t="n">
        <v>500000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500000</v>
      </c>
      <c r="Z253" t="n">
        <v>0</v>
      </c>
      <c r="AA253" t="n">
        <v>0</v>
      </c>
      <c r="AB253" t="n">
        <v>0</v>
      </c>
      <c r="AC253" t="n">
        <v>0</v>
      </c>
      <c r="AD253" t="n">
        <v>500000</v>
      </c>
      <c r="AE253" t="n">
        <v>0</v>
      </c>
    </row>
    <row r="254">
      <c r="A254" t="inlineStr">
        <is>
          <t>1 - ADMINISTRACIÓN CENTRAL</t>
        </is>
      </c>
      <c r="B254" t="inlineStr">
        <is>
          <t>22 - EDUCACIÓN</t>
        </is>
      </c>
      <c r="C254" t="inlineStr">
        <is>
          <t>0700</t>
        </is>
      </c>
      <c r="D254" t="inlineStr">
        <is>
          <t>2201</t>
        </is>
      </c>
      <c r="E254" t="inlineStr">
        <is>
          <t>2201028</t>
        </is>
      </c>
      <c r="F254" t="inlineStr">
        <is>
          <t>SERVICIO DE APOYO A LA PERMANENCIA CON ALIMENTACIÓN ESCOLAR</t>
        </is>
      </c>
      <c r="G254" t="inlineStr">
        <is>
          <t>2024548740022</t>
        </is>
      </c>
      <c r="H254" t="inlineStr">
        <is>
          <t>FORTALECIMIENTO DE LA CALIDAD Y COBERTURA DE LA EDUCACIÓN INICIAL PREESCOLAR BASICA Y MEDIA EN EL MUNICIPIO DE VILLA DEL ROSARIO.VILLA DEL ROSARIO UNA CIUDAD POSIBLE</t>
        </is>
      </c>
      <c r="I254" t="inlineStr">
        <is>
          <t>4291246</t>
        </is>
      </c>
      <c r="J254" t="inlineStr">
        <is>
          <t>Menajes de acero inoxidable para instituciones</t>
        </is>
      </c>
      <c r="K254" t="inlineStr">
        <is>
          <t>00</t>
        </is>
      </c>
      <c r="L254" t="inlineStr">
        <is>
          <t>SIN ATRIBUTO</t>
        </is>
      </c>
      <c r="N254" t="inlineStr">
        <is>
          <t>2.3.2.02.01.004.22.02</t>
        </is>
      </c>
      <c r="O254" t="inlineStr">
        <is>
          <t>Menaje programa de permanencia con alimentación escolar</t>
        </is>
      </c>
      <c r="P254" t="inlineStr">
        <is>
          <t>1.2.4.4.01</t>
        </is>
      </c>
      <c r="Q254" t="inlineStr">
        <is>
          <t>SGP-ASIGNACION ESPECIAL-PROGRAMAS DE ALIMENTACION ESCOLAR</t>
        </is>
      </c>
      <c r="R254" t="n">
        <v>138249682</v>
      </c>
      <c r="S254" t="n">
        <v>8293737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146543419</v>
      </c>
      <c r="Z254" t="n">
        <v>78000000</v>
      </c>
      <c r="AA254" t="n">
        <v>0</v>
      </c>
      <c r="AB254" t="n">
        <v>0</v>
      </c>
      <c r="AC254" t="n">
        <v>0</v>
      </c>
      <c r="AD254" t="n">
        <v>146543419</v>
      </c>
      <c r="AE254" t="n">
        <v>0</v>
      </c>
    </row>
    <row r="255">
      <c r="A255" t="inlineStr">
        <is>
          <t>1 - ADMINISTRACIÓN CENTRAL</t>
        </is>
      </c>
      <c r="B255" t="inlineStr">
        <is>
          <t>22 - EDUCACIÓN</t>
        </is>
      </c>
      <c r="C255" t="inlineStr">
        <is>
          <t>0700</t>
        </is>
      </c>
      <c r="D255" t="inlineStr">
        <is>
          <t>2201</t>
        </is>
      </c>
      <c r="E255" t="inlineStr">
        <is>
          <t>2201028</t>
        </is>
      </c>
      <c r="F255" t="inlineStr">
        <is>
          <t>SERVICIO DE APOYO A LA PERMANENCIA CON ALIMENTACIÓN ESCOLAR</t>
        </is>
      </c>
      <c r="G255" t="inlineStr">
        <is>
          <t>2024548740022</t>
        </is>
      </c>
      <c r="H255" t="inlineStr">
        <is>
          <t>FORTALECIMIENTO DE LA CALIDAD Y COBERTURA DE LA EDUCACIÓN INICIAL PREESCOLAR BASICA Y MEDIA EN EL MUNICIPIO DE VILLA DEL ROSARIO.VILLA DEL ROSARIO UNA CIUDAD POSIBLE</t>
        </is>
      </c>
      <c r="I255" t="inlineStr">
        <is>
          <t>4291246</t>
        </is>
      </c>
      <c r="J255" t="inlineStr">
        <is>
          <t>Menajes de acero inoxidable para instituciones</t>
        </is>
      </c>
      <c r="K255" t="inlineStr">
        <is>
          <t>00</t>
        </is>
      </c>
      <c r="L255" t="inlineStr">
        <is>
          <t>SIN ATRIBUTO</t>
        </is>
      </c>
      <c r="N255" t="inlineStr">
        <is>
          <t>2.3.2.02.01.004.22.03</t>
        </is>
      </c>
      <c r="O255" t="inlineStr">
        <is>
          <t>Menaje programa de permanencia con alimentación escolar R.F. 2025</t>
        </is>
      </c>
      <c r="P255" t="inlineStr">
        <is>
          <t>1.3.2.2.09</t>
        </is>
      </c>
      <c r="Q255" t="inlineStr">
        <is>
          <t>R.F. SGP - ASIGNACION ESPECIAL-PROGRAMAS DE ALIMENTACION ESCOLAR</t>
        </is>
      </c>
      <c r="R255" t="n">
        <v>0</v>
      </c>
      <c r="S255" t="n">
        <v>3782676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3782676</v>
      </c>
      <c r="Z255" t="n">
        <v>0</v>
      </c>
      <c r="AA255" t="n">
        <v>0</v>
      </c>
      <c r="AB255" t="n">
        <v>0</v>
      </c>
      <c r="AC255" t="n">
        <v>0</v>
      </c>
      <c r="AD255" t="n">
        <v>3782676</v>
      </c>
      <c r="AE255" t="n">
        <v>0</v>
      </c>
    </row>
    <row r="256">
      <c r="A256" t="inlineStr">
        <is>
          <t>1 - ADMINISTRACIÓN CENTRAL</t>
        </is>
      </c>
      <c r="B256" t="inlineStr">
        <is>
          <t>00 - SIN SECTOR</t>
        </is>
      </c>
      <c r="C256" t="inlineStr">
        <is>
          <t>00</t>
        </is>
      </c>
      <c r="D256" t="inlineStr">
        <is>
          <t>0000</t>
        </is>
      </c>
      <c r="E256" t="inlineStr">
        <is>
          <t>0000000</t>
        </is>
      </c>
      <c r="F256" t="inlineStr">
        <is>
          <t>SIN PRODUCTO</t>
        </is>
      </c>
      <c r="G256" t="inlineStr">
        <is>
          <t>00</t>
        </is>
      </c>
      <c r="H256" t="inlineStr">
        <is>
          <t>SIN CODIGO BPIN</t>
        </is>
      </c>
      <c r="I256" t="inlineStr">
        <is>
          <t>00</t>
        </is>
      </c>
      <c r="J256" t="inlineStr">
        <is>
          <t>SIN PRODUCTO DANE</t>
        </is>
      </c>
      <c r="K256" t="inlineStr">
        <is>
          <t>00</t>
        </is>
      </c>
      <c r="L256" t="inlineStr">
        <is>
          <t>SIN ATRIBUTO</t>
        </is>
      </c>
      <c r="N256" t="inlineStr">
        <is>
          <t>2.3.2.02.02</t>
        </is>
      </c>
      <c r="O256" t="inlineStr">
        <is>
          <t>Adquisicion De Servicios</t>
        </is>
      </c>
      <c r="P256" t="inlineStr">
        <is>
          <t>00</t>
        </is>
      </c>
      <c r="Q256" t="inlineStr">
        <is>
          <t>RECURSO PROPIOS</t>
        </is>
      </c>
      <c r="R256" t="n">
        <v>41449918878</v>
      </c>
      <c r="S256" t="n">
        <v>8052023122.4</v>
      </c>
      <c r="T256" t="n">
        <v>0</v>
      </c>
      <c r="U256" t="n">
        <v>674500000</v>
      </c>
      <c r="V256" t="n">
        <v>1674500000</v>
      </c>
      <c r="W256" t="n">
        <v>0</v>
      </c>
      <c r="X256" t="n">
        <v>0</v>
      </c>
      <c r="Y256" t="n">
        <v>48501942000.4</v>
      </c>
      <c r="Z256" t="n">
        <v>22091487135.91</v>
      </c>
      <c r="AA256" t="n">
        <v>17899215197.91</v>
      </c>
      <c r="AB256" t="n">
        <v>11738114977.93</v>
      </c>
      <c r="AC256" t="n">
        <v>11549087305</v>
      </c>
      <c r="AD256" t="n">
        <v>30602726802.49</v>
      </c>
      <c r="AE256" t="n">
        <v>36.9</v>
      </c>
    </row>
    <row r="257">
      <c r="A257" t="inlineStr">
        <is>
          <t>1 - ADMINISTRACIÓN CENTRAL</t>
        </is>
      </c>
      <c r="B257" t="inlineStr">
        <is>
          <t>00 - SIN SECTOR</t>
        </is>
      </c>
      <c r="C257" t="inlineStr">
        <is>
          <t>00</t>
        </is>
      </c>
      <c r="D257" t="inlineStr">
        <is>
          <t>0000</t>
        </is>
      </c>
      <c r="E257" t="inlineStr">
        <is>
          <t>0000000</t>
        </is>
      </c>
      <c r="F257" t="inlineStr">
        <is>
          <t>SIN PRODUCTO</t>
        </is>
      </c>
      <c r="G257" t="inlineStr">
        <is>
          <t>00</t>
        </is>
      </c>
      <c r="H257" t="inlineStr">
        <is>
          <t>SIN CODIGO BPIN</t>
        </is>
      </c>
      <c r="I257" t="inlineStr">
        <is>
          <t>00</t>
        </is>
      </c>
      <c r="J257" t="inlineStr">
        <is>
          <t>SIN PRODUCTO DANE</t>
        </is>
      </c>
      <c r="K257" t="inlineStr">
        <is>
          <t>00</t>
        </is>
      </c>
      <c r="L257" t="inlineStr">
        <is>
          <t>SIN ATRIBUTO</t>
        </is>
      </c>
      <c r="N257" t="inlineStr">
        <is>
          <t>2.3.2.02.02.005</t>
        </is>
      </c>
      <c r="O257" t="inlineStr">
        <is>
          <t>Construccion Y Servicios De La Construccion</t>
        </is>
      </c>
      <c r="P257" t="inlineStr">
        <is>
          <t>00</t>
        </is>
      </c>
      <c r="Q257" t="inlineStr">
        <is>
          <t>RECURSO PROPIOS</t>
        </is>
      </c>
      <c r="R257" t="n">
        <v>14391781820</v>
      </c>
      <c r="S257" t="n">
        <v>5649318132.98</v>
      </c>
      <c r="T257" t="n">
        <v>0</v>
      </c>
      <c r="U257" t="n">
        <v>574500000</v>
      </c>
      <c r="V257" t="n">
        <v>605300000</v>
      </c>
      <c r="W257" t="n">
        <v>0</v>
      </c>
      <c r="X257" t="n">
        <v>0</v>
      </c>
      <c r="Y257" t="n">
        <v>20010299952.98</v>
      </c>
      <c r="Z257" t="n">
        <v>8070816093.91</v>
      </c>
      <c r="AA257" t="n">
        <v>4774411324.91</v>
      </c>
      <c r="AB257" t="n">
        <v>645056263.9299999</v>
      </c>
      <c r="AC257" t="n">
        <v>520728591</v>
      </c>
      <c r="AD257" t="n">
        <v>15235888628.07</v>
      </c>
      <c r="AE257" t="n">
        <v>23.86</v>
      </c>
    </row>
    <row r="258">
      <c r="A258" t="inlineStr">
        <is>
          <t>1 - ADMINISTRACIÓN CENTRAL</t>
        </is>
      </c>
      <c r="B258" t="inlineStr">
        <is>
          <t>21 - MINAS Y ENERGÍA</t>
        </is>
      </c>
      <c r="C258" t="inlineStr">
        <is>
          <t>1900</t>
        </is>
      </c>
      <c r="D258" t="inlineStr">
        <is>
          <t>2102</t>
        </is>
      </c>
      <c r="E258" t="inlineStr">
        <is>
          <t>2102010</t>
        </is>
      </c>
      <c r="F258" t="inlineStr">
        <is>
          <t>REDES DE ALUMBRADO PÚBLICO AMPLIADAS</t>
        </is>
      </c>
      <c r="G258" t="inlineStr">
        <is>
          <t>2024548740043</t>
        </is>
      </c>
      <c r="H258" t="inlineStr">
        <is>
          <t>APOYO A LA CONSOLIDACIÓN PRODUCTIVA DEL SECTOR DE ENERGIA ELECTRICA EN EL MUNICIPIO DE VILLA DEL ROSARIO.VILLA DEL ROSARIO UNA CIUDAD POSIBLE</t>
        </is>
      </c>
      <c r="I258" t="inlineStr">
        <is>
          <t>54252</t>
        </is>
      </c>
      <c r="J258" t="inlineStr">
        <is>
          <t>Servicios generales de construcción de cables locales y obras conexas</t>
        </is>
      </c>
      <c r="K258" t="inlineStr">
        <is>
          <t>00</t>
        </is>
      </c>
      <c r="L258" t="inlineStr">
        <is>
          <t>SIN ATRIBUTO</t>
        </is>
      </c>
      <c r="N258" t="inlineStr">
        <is>
          <t>2.3.2.02.02.005.21.01</t>
        </is>
      </c>
      <c r="O258" t="inlineStr">
        <is>
          <t>Servicio de alumbrado público</t>
        </is>
      </c>
      <c r="P258" t="inlineStr">
        <is>
          <t>1.2.3.1.05</t>
        </is>
      </c>
      <c r="Q258" t="inlineStr">
        <is>
          <t>IMPUESTO - SOBRETASA POR EL ALUMBRADO PUBLICO</t>
        </is>
      </c>
      <c r="R258" t="n">
        <v>1000000000</v>
      </c>
      <c r="S258" t="n">
        <v>0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1000000000</v>
      </c>
      <c r="Z258" t="n">
        <v>486145820</v>
      </c>
      <c r="AA258" t="n">
        <v>486145820</v>
      </c>
      <c r="AB258" t="n">
        <v>486145820</v>
      </c>
      <c r="AC258" t="n">
        <v>486145820</v>
      </c>
      <c r="AD258" t="n">
        <v>513854180</v>
      </c>
      <c r="AE258" t="n">
        <v>48.61</v>
      </c>
    </row>
    <row r="259">
      <c r="A259" t="inlineStr">
        <is>
          <t>1 - ADMINISTRACIÓN CENTRAL</t>
        </is>
      </c>
      <c r="B259" t="inlineStr">
        <is>
          <t>21 - MINAS Y ENERGÍA</t>
        </is>
      </c>
      <c r="C259" t="inlineStr">
        <is>
          <t>1900</t>
        </is>
      </c>
      <c r="D259" t="inlineStr">
        <is>
          <t>2102</t>
        </is>
      </c>
      <c r="E259" t="inlineStr">
        <is>
          <t>2102013</t>
        </is>
      </c>
      <c r="F259" t="inlineStr">
        <is>
          <t>REDES DE ALUMBRADO PÚBLICO MEJORADAS</t>
        </is>
      </c>
      <c r="G259" t="inlineStr">
        <is>
          <t>2024548740043</t>
        </is>
      </c>
      <c r="H259" t="inlineStr">
        <is>
          <t>APOYO A LA CONSOLIDACIÓN PRODUCTIVA DEL SECTOR DE ENERGIA ELECTRICA EN EL MUNICIPIO DE VILLA DEL ROSARIO.VILLA DEL ROSARIO UNA CIUDAD POSIBLE</t>
        </is>
      </c>
      <c r="I259" t="inlineStr">
        <is>
          <t>54252</t>
        </is>
      </c>
      <c r="J259" t="inlineStr">
        <is>
          <t>Servicios generales de construcción de cables locales y obras conexas</t>
        </is>
      </c>
      <c r="K259" t="inlineStr">
        <is>
          <t>00</t>
        </is>
      </c>
      <c r="L259" t="inlineStr">
        <is>
          <t>SIN ATRIBUTO</t>
        </is>
      </c>
      <c r="N259" t="inlineStr">
        <is>
          <t>2.3.2.02.02.005.21.03</t>
        </is>
      </c>
      <c r="O259" t="inlineStr">
        <is>
          <t>Servicio de alumbrado público</t>
        </is>
      </c>
      <c r="P259" t="inlineStr">
        <is>
          <t>1.2.3.1.05</t>
        </is>
      </c>
      <c r="Q259" t="inlineStr">
        <is>
          <t>IMPUESTO - SOBRETASA POR EL ALUMBRADO PUBLICO</t>
        </is>
      </c>
      <c r="R259" t="n">
        <v>1000000000</v>
      </c>
      <c r="S259" t="n">
        <v>0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1000000000</v>
      </c>
      <c r="Z259" t="n">
        <v>0</v>
      </c>
      <c r="AA259" t="n">
        <v>0</v>
      </c>
      <c r="AB259" t="n">
        <v>0</v>
      </c>
      <c r="AC259" t="n">
        <v>0</v>
      </c>
      <c r="AD259" t="n">
        <v>1000000000</v>
      </c>
      <c r="AE259" t="n">
        <v>0</v>
      </c>
    </row>
    <row r="260">
      <c r="A260" t="inlineStr">
        <is>
          <t>1 - ADMINISTRACIÓN CENTRAL</t>
        </is>
      </c>
      <c r="B260" t="inlineStr">
        <is>
          <t>22 - EDUCACIÓN</t>
        </is>
      </c>
      <c r="C260" t="inlineStr">
        <is>
          <t>0700</t>
        </is>
      </c>
      <c r="D260" t="inlineStr">
        <is>
          <t>2201</t>
        </is>
      </c>
      <c r="E260" t="inlineStr">
        <is>
          <t>2201052</t>
        </is>
      </c>
      <c r="F260" t="inlineStr">
        <is>
          <t>INFRAESTRUCTURA EDUCATIVA MEJORADA</t>
        </is>
      </c>
      <c r="G260" t="inlineStr">
        <is>
          <t>2024548740022</t>
        </is>
      </c>
      <c r="H260" t="inlineStr">
        <is>
          <t>FORTALECIMIENTO DE LA CALIDAD Y COBERTURA DE LA EDUCACIÓN INICIAL PREESCOLAR BASICA Y MEDIA EN EL MUNICIPIO DE VILLA DEL ROSARIO.VILLA DEL ROSARIO UNA CIUDAD POSIBLE</t>
        </is>
      </c>
      <c r="I260" t="inlineStr">
        <is>
          <t>54129</t>
        </is>
      </c>
      <c r="J260" t="inlineStr">
        <is>
          <t>Servicios generales de construcción de otros edificios no residenciales</t>
        </is>
      </c>
      <c r="K260" t="inlineStr">
        <is>
          <t>00</t>
        </is>
      </c>
      <c r="L260" t="inlineStr">
        <is>
          <t>SIN ATRIBUTO</t>
        </is>
      </c>
      <c r="N260" t="inlineStr">
        <is>
          <t>2.3.2.02.02.005.22.01</t>
        </is>
      </c>
      <c r="O260" t="inlineStr">
        <is>
          <t>Infraestructura educativa mejorada (50% gasolina LD)</t>
        </is>
      </c>
      <c r="P260" t="inlineStr">
        <is>
          <t>1.2.2.0.00.06</t>
        </is>
      </c>
      <c r="Q260" t="inlineStr">
        <is>
          <t>10% SOBRETASA GASOLINA  CALIDAD EDUCATIVA</t>
        </is>
      </c>
      <c r="R260" t="n">
        <v>300000000</v>
      </c>
      <c r="S260" t="n">
        <v>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300000000</v>
      </c>
      <c r="Z260" t="n">
        <v>0</v>
      </c>
      <c r="AA260" t="n">
        <v>0</v>
      </c>
      <c r="AB260" t="n">
        <v>0</v>
      </c>
      <c r="AC260" t="n">
        <v>0</v>
      </c>
      <c r="AD260" t="n">
        <v>300000000</v>
      </c>
      <c r="AE260" t="n">
        <v>0</v>
      </c>
    </row>
    <row r="261">
      <c r="A261" t="inlineStr">
        <is>
          <t>1 - ADMINISTRACIÓN CENTRAL</t>
        </is>
      </c>
      <c r="B261" t="inlineStr">
        <is>
          <t>22 - EDUCACIÓN</t>
        </is>
      </c>
      <c r="C261" t="inlineStr">
        <is>
          <t>0700</t>
        </is>
      </c>
      <c r="D261" t="inlineStr">
        <is>
          <t>2201</t>
        </is>
      </c>
      <c r="E261" t="inlineStr">
        <is>
          <t>2201052</t>
        </is>
      </c>
      <c r="F261" t="inlineStr">
        <is>
          <t>INFRAESTRUCTURA EDUCATIVA MEJORADA</t>
        </is>
      </c>
      <c r="G261" t="inlineStr">
        <is>
          <t>2024548740022</t>
        </is>
      </c>
      <c r="H261" t="inlineStr">
        <is>
          <t>FORTALECIMIENTO DE LA CALIDAD Y COBERTURA DE LA EDUCACIÓN INICIAL PREESCOLAR BASICA Y MEDIA EN EL MUNICIPIO DE VILLA DEL ROSARIO.VILLA DEL ROSARIO UNA CIUDAD POSIBLE</t>
        </is>
      </c>
      <c r="I261" t="inlineStr">
        <is>
          <t>54129</t>
        </is>
      </c>
      <c r="J261" t="inlineStr">
        <is>
          <t>Servicios generales de construcción de otros edificios no residenciales</t>
        </is>
      </c>
      <c r="K261" t="inlineStr">
        <is>
          <t>00</t>
        </is>
      </c>
      <c r="L261" t="inlineStr">
        <is>
          <t>SIN ATRIBUTO</t>
        </is>
      </c>
      <c r="N261" t="inlineStr">
        <is>
          <t>2.3.2.02.02.005.22.08</t>
        </is>
      </c>
      <c r="O261" t="inlineStr">
        <is>
          <t>Infraestructura educativa mejorada (50% gasolina LD)</t>
        </is>
      </c>
      <c r="P261" t="inlineStr">
        <is>
          <t>1.2.4.1.03</t>
        </is>
      </c>
      <c r="Q261" t="inlineStr">
        <is>
          <t>SGP-EDUCACION-CALIDAD  POR MATRICULA OFICIAL</t>
        </is>
      </c>
      <c r="R261" t="n">
        <v>0</v>
      </c>
      <c r="S261" t="n">
        <v>37022673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37022673</v>
      </c>
      <c r="Z261" t="n">
        <v>0</v>
      </c>
      <c r="AA261" t="n">
        <v>0</v>
      </c>
      <c r="AB261" t="n">
        <v>0</v>
      </c>
      <c r="AC261" t="n">
        <v>0</v>
      </c>
      <c r="AD261" t="n">
        <v>37022673</v>
      </c>
      <c r="AE261" t="n">
        <v>0</v>
      </c>
    </row>
    <row r="262">
      <c r="A262" t="inlineStr">
        <is>
          <t>1 - ADMINISTRACIÓN CENTRAL</t>
        </is>
      </c>
      <c r="B262" t="inlineStr">
        <is>
          <t>22 - EDUCACIÓN</t>
        </is>
      </c>
      <c r="C262" t="inlineStr">
        <is>
          <t>0700</t>
        </is>
      </c>
      <c r="D262" t="inlineStr">
        <is>
          <t>2201</t>
        </is>
      </c>
      <c r="E262" t="inlineStr">
        <is>
          <t>2201052</t>
        </is>
      </c>
      <c r="F262" t="inlineStr">
        <is>
          <t>INFRAESTRUCTURA EDUCATIVA MEJORADA</t>
        </is>
      </c>
      <c r="G262" t="inlineStr">
        <is>
          <t>2024548740022</t>
        </is>
      </c>
      <c r="H262" t="inlineStr">
        <is>
          <t>FORTALECIMIENTO DE LA CALIDAD Y COBERTURA DE LA EDUCACIÓN INICIAL PREESCOLAR BASICA Y MEDIA EN EL MUNICIPIO DE VILLA DEL ROSARIO.VILLA DEL ROSARIO UNA CIUDAD POSIBLE</t>
        </is>
      </c>
      <c r="I262" t="inlineStr">
        <is>
          <t>54129</t>
        </is>
      </c>
      <c r="J262" t="inlineStr">
        <is>
          <t>Servicios generales de construcción de otros edificios no residenciales</t>
        </is>
      </c>
      <c r="K262" t="inlineStr">
        <is>
          <t>00</t>
        </is>
      </c>
      <c r="L262" t="inlineStr">
        <is>
          <t>SIN ATRIBUTO</t>
        </is>
      </c>
      <c r="N262" t="inlineStr">
        <is>
          <t>2.3.2.02.02.005.22.09</t>
        </is>
      </c>
      <c r="O262" t="inlineStr">
        <is>
          <t>Infraestructura educativa mejorada (50% sobretasa a la gasolina )</t>
        </is>
      </c>
      <c r="P262" t="inlineStr">
        <is>
          <t>1.3.3.2.00.11</t>
        </is>
      </c>
      <c r="Q262" t="inlineStr">
        <is>
          <t>R.B. 2024 SOBRETASA A LA GASOLINA</t>
        </is>
      </c>
      <c r="R262" t="n">
        <v>0</v>
      </c>
      <c r="S262" t="n">
        <v>83711467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83711467</v>
      </c>
      <c r="Z262" t="n">
        <v>0</v>
      </c>
      <c r="AA262" t="n">
        <v>0</v>
      </c>
      <c r="AB262" t="n">
        <v>0</v>
      </c>
      <c r="AC262" t="n">
        <v>0</v>
      </c>
      <c r="AD262" t="n">
        <v>83711467</v>
      </c>
      <c r="AE262" t="n">
        <v>0</v>
      </c>
    </row>
    <row r="263">
      <c r="A263" t="inlineStr">
        <is>
          <t>1 - ADMINISTRACIÓN CENTRAL</t>
        </is>
      </c>
      <c r="B263" t="inlineStr">
        <is>
          <t>22 - EDUCACIÓN</t>
        </is>
      </c>
      <c r="C263" t="inlineStr">
        <is>
          <t>0700</t>
        </is>
      </c>
      <c r="D263" t="inlineStr">
        <is>
          <t>2201</t>
        </is>
      </c>
      <c r="E263" t="inlineStr">
        <is>
          <t>2201052</t>
        </is>
      </c>
      <c r="F263" t="inlineStr">
        <is>
          <t>INFRAESTRUCTURA EDUCATIVA MEJORADA</t>
        </is>
      </c>
      <c r="G263" t="inlineStr">
        <is>
          <t>2024548740022</t>
        </is>
      </c>
      <c r="H263" t="inlineStr">
        <is>
          <t>FORTALECIMIENTO DE LA CALIDAD Y COBERTURA DE LA EDUCACIÓN INICIAL PREESCOLAR BASICA Y MEDIA EN EL MUNICIPIO DE VILLA DEL ROSARIO.VILLA DEL ROSARIO UNA CIUDAD POSIBLE</t>
        </is>
      </c>
      <c r="I263" t="inlineStr">
        <is>
          <t>54129</t>
        </is>
      </c>
      <c r="J263" t="inlineStr">
        <is>
          <t>Servicios generales de construcción de otros edificios no residenciales</t>
        </is>
      </c>
      <c r="K263" t="inlineStr">
        <is>
          <t>00</t>
        </is>
      </c>
      <c r="L263" t="inlineStr">
        <is>
          <t>SIN ATRIBUTO</t>
        </is>
      </c>
      <c r="N263" t="inlineStr">
        <is>
          <t>2.3.2.02.02.005.22.09</t>
        </is>
      </c>
      <c r="O263" t="inlineStr">
        <is>
          <t>Infraestructura educativa mejorada (R.F. desahorro FONPET 2026)</t>
        </is>
      </c>
      <c r="P263" t="inlineStr">
        <is>
          <t>1.3.2.3.11.09</t>
        </is>
      </c>
      <c r="Q263" t="inlineStr">
        <is>
          <t>OTROS RENDIMIENTOS FINANCIEROS DESAHORRO FONPET</t>
        </is>
      </c>
      <c r="R263" t="n">
        <v>0</v>
      </c>
      <c r="S263" t="n">
        <v>6406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6406</v>
      </c>
      <c r="Z263" t="n">
        <v>0</v>
      </c>
      <c r="AA263" t="n">
        <v>0</v>
      </c>
      <c r="AB263" t="n">
        <v>0</v>
      </c>
      <c r="AC263" t="n">
        <v>0</v>
      </c>
      <c r="AD263" t="n">
        <v>6406</v>
      </c>
      <c r="AE263" t="n">
        <v>0</v>
      </c>
    </row>
    <row r="264">
      <c r="A264" t="inlineStr">
        <is>
          <t>1 - ADMINISTRACIÓN CENTRAL</t>
        </is>
      </c>
      <c r="B264" t="inlineStr">
        <is>
          <t>22 - EDUCACIÓN</t>
        </is>
      </c>
      <c r="C264" t="inlineStr">
        <is>
          <t>0700</t>
        </is>
      </c>
      <c r="D264" t="inlineStr">
        <is>
          <t>2201</t>
        </is>
      </c>
      <c r="E264" t="inlineStr">
        <is>
          <t>2201052</t>
        </is>
      </c>
      <c r="F264" t="inlineStr">
        <is>
          <t>INFRAESTRUCTURA EDUCATIVA MEJORADA</t>
        </is>
      </c>
      <c r="G264" t="inlineStr">
        <is>
          <t>2024548740022</t>
        </is>
      </c>
      <c r="H264" t="inlineStr">
        <is>
          <t>FORTALECIMIENTO DE LA CALIDAD Y COBERTURA DE LA EDUCACIÓN INICIAL PREESCOLAR BASICA Y MEDIA EN EL MUNICIPIO DE VILLA DEL ROSARIO.VILLA DEL ROSARIO UNA CIUDAD POSIBLE</t>
        </is>
      </c>
      <c r="I264" t="inlineStr">
        <is>
          <t>54129</t>
        </is>
      </c>
      <c r="J264" t="inlineStr">
        <is>
          <t>Servicios generales de construcción de otros edificios no residenciales</t>
        </is>
      </c>
      <c r="K264" t="inlineStr">
        <is>
          <t>00</t>
        </is>
      </c>
      <c r="L264" t="inlineStr">
        <is>
          <t>SIN ATRIBUTO</t>
        </is>
      </c>
      <c r="N264" t="inlineStr">
        <is>
          <t>2.3.2.02.02.005.22.10</t>
        </is>
      </c>
      <c r="O264" t="inlineStr">
        <is>
          <t>Infraestructura educativa mejorada ( acuerdo 025 de 2024 10% proyectos educación )</t>
        </is>
      </c>
      <c r="P264" t="inlineStr">
        <is>
          <t>1.3.3.2.00.10</t>
        </is>
      </c>
      <c r="Q264" t="inlineStr">
        <is>
          <t>R.B. 2025 SOBRETASA A LA GASOLINA</t>
        </is>
      </c>
      <c r="R264" t="n">
        <v>0</v>
      </c>
      <c r="S264" t="n">
        <v>24192359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24192359</v>
      </c>
      <c r="Z264" t="n">
        <v>0</v>
      </c>
      <c r="AA264" t="n">
        <v>0</v>
      </c>
      <c r="AB264" t="n">
        <v>0</v>
      </c>
      <c r="AC264" t="n">
        <v>0</v>
      </c>
      <c r="AD264" t="n">
        <v>24192359</v>
      </c>
      <c r="AE264" t="n">
        <v>0</v>
      </c>
    </row>
    <row r="265">
      <c r="A265" t="inlineStr">
        <is>
          <t>1 - ADMINISTRACIÓN CENTRAL</t>
        </is>
      </c>
      <c r="B265" t="inlineStr">
        <is>
          <t>24 - TRANSPORTE</t>
        </is>
      </c>
      <c r="C265" t="inlineStr">
        <is>
          <t>0600</t>
        </is>
      </c>
      <c r="D265" t="inlineStr">
        <is>
          <t>2402</t>
        </is>
      </c>
      <c r="E265" t="inlineStr">
        <is>
          <t>2402114</t>
        </is>
      </c>
      <c r="F265" t="inlineStr">
        <is>
          <t>VÍA URBANA MEJORADA</t>
        </is>
      </c>
      <c r="G265" t="inlineStr">
        <is>
          <t>2024548740038</t>
        </is>
      </c>
      <c r="H265" t="inlineStr">
        <is>
          <t>MODERNIZACIÓN DE LA INFRAESTRUCTURA VIAL MUNICIPAL URBANA Y RURAL EN EL MUNICIPIO DE VILLA DEL ROSARIO VILLA DEL ROSARIO UNA CIUDAD POSIBLE</t>
        </is>
      </c>
      <c r="I265" t="inlineStr">
        <is>
          <t>54211</t>
        </is>
      </c>
      <c r="J265" t="inlineStr">
        <is>
          <t>Servicios generales de construcción de carreteras (excepto carreteras elevadas), calles</t>
        </is>
      </c>
      <c r="K265" t="inlineStr">
        <is>
          <t>00</t>
        </is>
      </c>
      <c r="L265" t="inlineStr">
        <is>
          <t>SIN ATRIBUTO</t>
        </is>
      </c>
      <c r="N265" t="inlineStr">
        <is>
          <t>2.3.2.02.02.005.24.01</t>
        </is>
      </c>
      <c r="O265" t="inlineStr">
        <is>
          <t>Vía urbana mejorada</t>
        </is>
      </c>
      <c r="P265" t="inlineStr">
        <is>
          <t>1.2.3.2.21</t>
        </is>
      </c>
      <c r="Q265" t="inlineStr">
        <is>
          <t>DERECHOS DE TRANSITO</t>
        </is>
      </c>
      <c r="R265" t="n">
        <v>400000000</v>
      </c>
      <c r="S265" t="n">
        <v>0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400000000</v>
      </c>
      <c r="Z265" t="n">
        <v>0</v>
      </c>
      <c r="AA265" t="n">
        <v>0</v>
      </c>
      <c r="AB265" t="n">
        <v>0</v>
      </c>
      <c r="AC265" t="n">
        <v>0</v>
      </c>
      <c r="AD265" t="n">
        <v>400000000</v>
      </c>
      <c r="AE265" t="n">
        <v>0</v>
      </c>
    </row>
    <row r="266">
      <c r="A266" t="inlineStr">
        <is>
          <t>1 - ADMINISTRACIÓN CENTRAL</t>
        </is>
      </c>
      <c r="B266" t="inlineStr">
        <is>
          <t>24 - TRANSPORTE</t>
        </is>
      </c>
      <c r="C266" t="inlineStr">
        <is>
          <t>0600</t>
        </is>
      </c>
      <c r="D266" t="inlineStr">
        <is>
          <t>2409</t>
        </is>
      </c>
      <c r="E266" t="inlineStr">
        <is>
          <t>2409013</t>
        </is>
      </c>
      <c r="F266" t="inlineStr">
        <is>
          <t>INFRAESTRUCTURA DE TRANSPORTE PARA LA SEGURIDAD VIAL</t>
        </is>
      </c>
      <c r="G266" t="inlineStr">
        <is>
          <t>2024548740050</t>
        </is>
      </c>
      <c r="H266" t="inlineStr">
        <is>
          <t>MODERNIZACIÓN DE LA INFRAESTRUCTURA EN SEGURIDAD EN TRANSPORTE VILLA DEL ROSARIO UNA CIUDAD POSIBLE EN EL MUNICIPIO DE VILLA DEL ROSARIO</t>
        </is>
      </c>
      <c r="I266" t="inlineStr">
        <is>
          <t>54290</t>
        </is>
      </c>
      <c r="J266" t="inlineStr">
        <is>
          <t>Servicios generales de construcción de otras obras de ingeniería civil</t>
        </is>
      </c>
      <c r="K266" t="inlineStr">
        <is>
          <t>00</t>
        </is>
      </c>
      <c r="L266" t="inlineStr">
        <is>
          <t>SIN ATRIBUTO</t>
        </is>
      </c>
      <c r="N266" t="inlineStr">
        <is>
          <t>2.3.2.02.02.005.24.02</t>
        </is>
      </c>
      <c r="O266" t="inlineStr">
        <is>
          <t>Infraestructura de transporte para la seguridad vial</t>
        </is>
      </c>
      <c r="P266" t="inlineStr">
        <is>
          <t>1.2.3.2.21</t>
        </is>
      </c>
      <c r="Q266" t="inlineStr">
        <is>
          <t>DERECHOS DE TRANSITO</t>
        </is>
      </c>
      <c r="R266" t="n">
        <v>200000000</v>
      </c>
      <c r="S266" t="n">
        <v>0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200000000</v>
      </c>
      <c r="Z266" t="n">
        <v>0</v>
      </c>
      <c r="AA266" t="n">
        <v>0</v>
      </c>
      <c r="AB266" t="n">
        <v>0</v>
      </c>
      <c r="AC266" t="n">
        <v>0</v>
      </c>
      <c r="AD266" t="n">
        <v>200000000</v>
      </c>
      <c r="AE266" t="n">
        <v>0</v>
      </c>
    </row>
    <row r="267">
      <c r="A267" t="inlineStr">
        <is>
          <t>1 - ADMINISTRACIÓN CENTRAL</t>
        </is>
      </c>
      <c r="B267" t="inlineStr">
        <is>
          <t>24 - TRANSPORTE</t>
        </is>
      </c>
      <c r="C267" t="inlineStr">
        <is>
          <t>0600</t>
        </is>
      </c>
      <c r="D267" t="inlineStr">
        <is>
          <t>2402</t>
        </is>
      </c>
      <c r="E267" t="inlineStr">
        <is>
          <t>2402114</t>
        </is>
      </c>
      <c r="F267" t="inlineStr">
        <is>
          <t>VÍA URBANA MEJORADA</t>
        </is>
      </c>
      <c r="G267" t="inlineStr">
        <is>
          <t>2024548740038</t>
        </is>
      </c>
      <c r="H267" t="inlineStr">
        <is>
          <t>MODERNIZACIÓN DE LA INFRAESTRUCTURA VIAL MUNICIPAL URBANA Y RURAL EN EL MUNICIPIO DE VILLA DEL ROSARIO VILLA DEL ROSARIO UNA CIUDAD POSIBLE</t>
        </is>
      </c>
      <c r="I267" t="inlineStr">
        <is>
          <t>54211</t>
        </is>
      </c>
      <c r="J267" t="inlineStr">
        <is>
          <t>Servicios generales de construcción de carreteras (excepto carreteras elevadas), calles</t>
        </is>
      </c>
      <c r="K267" t="inlineStr">
        <is>
          <t>00</t>
        </is>
      </c>
      <c r="L267" t="inlineStr">
        <is>
          <t>SIN ATRIBUTO</t>
        </is>
      </c>
      <c r="N267" t="inlineStr">
        <is>
          <t>2.3.2.02.02.005.24.03</t>
        </is>
      </c>
      <c r="O267" t="inlineStr">
        <is>
          <t>Vía urbana mejorada</t>
        </is>
      </c>
      <c r="P267" t="inlineStr">
        <is>
          <t>1.2.3.1.03</t>
        </is>
      </c>
      <c r="Q267" t="inlineStr">
        <is>
          <t>IMPUESTO SOBRE VEHICULOS AUTOMOTORES CON DESTINACION ESPECIFICA LEGAL</t>
        </is>
      </c>
      <c r="R267" t="n">
        <v>1200000000</v>
      </c>
      <c r="S267" t="n">
        <v>0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1200000000</v>
      </c>
      <c r="Z267" t="n">
        <v>0</v>
      </c>
      <c r="AA267" t="n">
        <v>0</v>
      </c>
      <c r="AB267" t="n">
        <v>0</v>
      </c>
      <c r="AC267" t="n">
        <v>0</v>
      </c>
      <c r="AD267" t="n">
        <v>1200000000</v>
      </c>
      <c r="AE267" t="n">
        <v>0</v>
      </c>
    </row>
    <row r="268">
      <c r="A268" t="inlineStr">
        <is>
          <t>1 - ADMINISTRACIÓN CENTRAL</t>
        </is>
      </c>
      <c r="B268" t="inlineStr">
        <is>
          <t>24 - TRANSPORTE</t>
        </is>
      </c>
      <c r="C268" t="inlineStr">
        <is>
          <t>0600</t>
        </is>
      </c>
      <c r="D268" t="inlineStr">
        <is>
          <t>2402</t>
        </is>
      </c>
      <c r="E268" t="inlineStr">
        <is>
          <t>2402114</t>
        </is>
      </c>
      <c r="F268" t="inlineStr">
        <is>
          <t>VÍA URBANA MEJORADA</t>
        </is>
      </c>
      <c r="G268" t="inlineStr">
        <is>
          <t>2024548740038</t>
        </is>
      </c>
      <c r="H268" t="inlineStr">
        <is>
          <t>MODERNIZACIÓN DE LA INFRAESTRUCTURA VIAL MUNICIPAL URBANA Y RURAL EN EL MUNICIPIO DE VILLA DEL ROSARIO VILLA DEL ROSARIO UNA CIUDAD POSIBLE</t>
        </is>
      </c>
      <c r="I268" t="inlineStr">
        <is>
          <t>54211</t>
        </is>
      </c>
      <c r="J268" t="inlineStr">
        <is>
          <t>Servicios generales de construcción de carreteras (excepto carreteras elevadas), calles</t>
        </is>
      </c>
      <c r="K268" t="inlineStr">
        <is>
          <t>00</t>
        </is>
      </c>
      <c r="L268" t="inlineStr">
        <is>
          <t>SIN ATRIBUTO</t>
        </is>
      </c>
      <c r="N268" t="inlineStr">
        <is>
          <t>2.3.2.02.02.005.24.05</t>
        </is>
      </c>
      <c r="O268" t="inlineStr">
        <is>
          <t>Vía urbana mejorada</t>
        </is>
      </c>
      <c r="P268" t="inlineStr">
        <is>
          <t>1.3.3.11.03.02</t>
        </is>
      </c>
      <c r="Q268" t="inlineStr">
        <is>
          <t>R.B. DIVIDENDOS Y UTILIDADES POR OTRAS INVERSIONES DE CAPITAL (CENS)</t>
        </is>
      </c>
      <c r="R268" t="n">
        <v>35000000</v>
      </c>
      <c r="S268" t="n">
        <v>0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35000000</v>
      </c>
      <c r="Z268" t="n">
        <v>0</v>
      </c>
      <c r="AA268" t="n">
        <v>0</v>
      </c>
      <c r="AB268" t="n">
        <v>0</v>
      </c>
      <c r="AC268" t="n">
        <v>0</v>
      </c>
      <c r="AD268" t="n">
        <v>35000000</v>
      </c>
      <c r="AE268" t="n">
        <v>0</v>
      </c>
    </row>
    <row r="269">
      <c r="A269" t="inlineStr">
        <is>
          <t>1 - ADMINISTRACIÓN CENTRAL</t>
        </is>
      </c>
      <c r="B269" t="inlineStr">
        <is>
          <t>24 - TRANSPORTE</t>
        </is>
      </c>
      <c r="C269" t="inlineStr">
        <is>
          <t>0600</t>
        </is>
      </c>
      <c r="D269" t="inlineStr">
        <is>
          <t>2402</t>
        </is>
      </c>
      <c r="E269" t="inlineStr">
        <is>
          <t>2402114</t>
        </is>
      </c>
      <c r="F269" t="inlineStr">
        <is>
          <t>VÍA URBANA MEJORADA</t>
        </is>
      </c>
      <c r="G269" t="inlineStr">
        <is>
          <t>2024548740038</t>
        </is>
      </c>
      <c r="H269" t="inlineStr">
        <is>
          <t>MODERNIZACIÓN DE LA INFRAESTRUCTURA VIAL MUNICIPAL URBANA Y RURAL EN EL MUNICIPIO DE VILLA DEL ROSARIO VILLA DEL ROSARIO UNA CIUDAD POSIBLE</t>
        </is>
      </c>
      <c r="I269" t="inlineStr">
        <is>
          <t>54211</t>
        </is>
      </c>
      <c r="J269" t="inlineStr">
        <is>
          <t>Servicios generales de construcción de carreteras (excepto carreteras elevadas), calles</t>
        </is>
      </c>
      <c r="K269" t="inlineStr">
        <is>
          <t>00</t>
        </is>
      </c>
      <c r="L269" t="inlineStr">
        <is>
          <t>SIN ATRIBUTO</t>
        </is>
      </c>
      <c r="N269" t="inlineStr">
        <is>
          <t>2.3.2.02.02.005.24.06</t>
        </is>
      </c>
      <c r="O269" t="inlineStr">
        <is>
          <t>Vía urbana mejorada</t>
        </is>
      </c>
      <c r="P269" t="inlineStr">
        <is>
          <t>1.3.3.11.03.01</t>
        </is>
      </c>
      <c r="Q269" t="inlineStr">
        <is>
          <t>R.B. DIVIDENDOS Y UTILIDADES POR OTRAS INVERSIONES DE CAPITAL (DATRANS)</t>
        </is>
      </c>
      <c r="R269" t="n">
        <v>11000000</v>
      </c>
      <c r="S269" t="n">
        <v>0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11000000</v>
      </c>
      <c r="Z269" t="n">
        <v>0</v>
      </c>
      <c r="AA269" t="n">
        <v>0</v>
      </c>
      <c r="AB269" t="n">
        <v>0</v>
      </c>
      <c r="AC269" t="n">
        <v>0</v>
      </c>
      <c r="AD269" t="n">
        <v>11000000</v>
      </c>
      <c r="AE269" t="n">
        <v>0</v>
      </c>
    </row>
    <row r="270">
      <c r="A270" t="inlineStr">
        <is>
          <t>1 - ADMINISTRACIÓN CENTRAL</t>
        </is>
      </c>
      <c r="B270" t="inlineStr">
        <is>
          <t>24 - TRANSPORTE</t>
        </is>
      </c>
      <c r="C270" t="inlineStr">
        <is>
          <t>0600</t>
        </is>
      </c>
      <c r="D270" t="inlineStr">
        <is>
          <t>2402</t>
        </is>
      </c>
      <c r="E270" t="inlineStr">
        <is>
          <t>2402114</t>
        </is>
      </c>
      <c r="F270" t="inlineStr">
        <is>
          <t>VÍA URBANA MEJORADA</t>
        </is>
      </c>
      <c r="G270" t="inlineStr">
        <is>
          <t>2024548740038</t>
        </is>
      </c>
      <c r="H270" t="inlineStr">
        <is>
          <t>MODERNIZACIÓN DE LA INFRAESTRUCTURA VIAL MUNICIPAL URBANA Y RURAL EN EL MUNICIPIO DE VILLA DEL ROSARIO VILLA DEL ROSARIO UNA CIUDAD POSIBLE</t>
        </is>
      </c>
      <c r="I270" t="inlineStr">
        <is>
          <t>54211</t>
        </is>
      </c>
      <c r="J270" t="inlineStr">
        <is>
          <t>Servicios generales de construcción de carreteras (excepto carreteras elevadas), calles</t>
        </is>
      </c>
      <c r="K270" t="inlineStr">
        <is>
          <t>00</t>
        </is>
      </c>
      <c r="L270" t="inlineStr">
        <is>
          <t>SIN ATRIBUTO</t>
        </is>
      </c>
      <c r="N270" t="inlineStr">
        <is>
          <t>2.3.2.02.02.005.24.07</t>
        </is>
      </c>
      <c r="O270" t="inlineStr">
        <is>
          <t>Vía urbana mejorada</t>
        </is>
      </c>
      <c r="P270" t="inlineStr">
        <is>
          <t>1.3.2.2.08.05</t>
        </is>
      </c>
      <c r="Q270" t="inlineStr">
        <is>
          <t>R.F. SGP PROPOSITO GENERAL LIBRE INVERSION</t>
        </is>
      </c>
      <c r="R270" t="n">
        <v>10000000</v>
      </c>
      <c r="S270" t="n">
        <v>0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10000000</v>
      </c>
      <c r="Z270" t="n">
        <v>0</v>
      </c>
      <c r="AA270" t="n">
        <v>0</v>
      </c>
      <c r="AB270" t="n">
        <v>0</v>
      </c>
      <c r="AC270" t="n">
        <v>0</v>
      </c>
      <c r="AD270" t="n">
        <v>10000000</v>
      </c>
      <c r="AE270" t="n">
        <v>0</v>
      </c>
    </row>
    <row r="271">
      <c r="A271" t="inlineStr">
        <is>
          <t>1 - ADMINISTRACIÓN CENTRAL</t>
        </is>
      </c>
      <c r="B271" t="inlineStr">
        <is>
          <t>24 - TRANSPORTE</t>
        </is>
      </c>
      <c r="C271" t="inlineStr">
        <is>
          <t>0600</t>
        </is>
      </c>
      <c r="D271" t="inlineStr">
        <is>
          <t>2402</t>
        </is>
      </c>
      <c r="E271" t="inlineStr">
        <is>
          <t>2402114</t>
        </is>
      </c>
      <c r="F271" t="inlineStr">
        <is>
          <t>VÍA URBANA MEJORADA</t>
        </is>
      </c>
      <c r="G271" t="inlineStr">
        <is>
          <t>2024548740038</t>
        </is>
      </c>
      <c r="H271" t="inlineStr">
        <is>
          <t>MODERNIZACIÓN DE LA INFRAESTRUCTURA VIAL MUNICIPAL URBANA Y RURAL EN EL MUNICIPIO DE VILLA DEL ROSARIO VILLA DEL ROSARIO UNA CIUDAD POSIBLE</t>
        </is>
      </c>
      <c r="I271" t="inlineStr">
        <is>
          <t>54211</t>
        </is>
      </c>
      <c r="J271" t="inlineStr">
        <is>
          <t>Servicios generales de construcción de carreteras (excepto carreteras elevadas), calles</t>
        </is>
      </c>
      <c r="K271" t="inlineStr">
        <is>
          <t>00</t>
        </is>
      </c>
      <c r="L271" t="inlineStr">
        <is>
          <t>SIN ATRIBUTO</t>
        </is>
      </c>
      <c r="N271" t="inlineStr">
        <is>
          <t>2.3.2.02.02.005.24.08</t>
        </is>
      </c>
      <c r="O271" t="inlineStr">
        <is>
          <t>Vía urbana mejorada</t>
        </is>
      </c>
      <c r="P271" t="inlineStr">
        <is>
          <t>1.2.4.3.03</t>
        </is>
      </c>
      <c r="Q271" t="inlineStr">
        <is>
          <t>SGP-PROPOSITO GENERAL-PROPOSITO GENERAL LIBRE INVERSION</t>
        </is>
      </c>
      <c r="R271" t="n">
        <v>1642415412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1642415412</v>
      </c>
      <c r="Z271" t="n">
        <v>510000000</v>
      </c>
      <c r="AA271" t="n">
        <v>508000000</v>
      </c>
      <c r="AB271" t="n">
        <v>0</v>
      </c>
      <c r="AC271" t="n">
        <v>0</v>
      </c>
      <c r="AD271" t="n">
        <v>1134415412</v>
      </c>
      <c r="AE271" t="n">
        <v>30.93</v>
      </c>
    </row>
    <row r="272">
      <c r="A272" t="inlineStr">
        <is>
          <t>1 - ADMINISTRACIÓN CENTRAL</t>
        </is>
      </c>
      <c r="B272" t="inlineStr">
        <is>
          <t>24 - TRANSPORTE</t>
        </is>
      </c>
      <c r="C272" t="inlineStr">
        <is>
          <t>0600</t>
        </is>
      </c>
      <c r="D272" t="inlineStr">
        <is>
          <t>2402</t>
        </is>
      </c>
      <c r="E272" t="inlineStr">
        <is>
          <t>2402114</t>
        </is>
      </c>
      <c r="F272" t="inlineStr">
        <is>
          <t>VÍA URBANA MEJORADA</t>
        </is>
      </c>
      <c r="G272" t="inlineStr">
        <is>
          <t>2024548740038</t>
        </is>
      </c>
      <c r="H272" t="inlineStr">
        <is>
          <t>MODERNIZACIÓN DE LA INFRAESTRUCTURA VIAL MUNICIPAL URBANA Y RURAL EN EL MUNICIPIO DE VILLA DEL ROSARIO VILLA DEL ROSARIO UNA CIUDAD POSIBLE</t>
        </is>
      </c>
      <c r="I272" t="inlineStr">
        <is>
          <t>54211</t>
        </is>
      </c>
      <c r="J272" t="inlineStr">
        <is>
          <t>Servicios generales de construcción de carreteras (excepto carreteras elevadas), calles</t>
        </is>
      </c>
      <c r="K272" t="inlineStr">
        <is>
          <t>00</t>
        </is>
      </c>
      <c r="L272" t="inlineStr">
        <is>
          <t>SIN ATRIBUTO</t>
        </is>
      </c>
      <c r="N272" t="inlineStr">
        <is>
          <t>2.3.2.02.02.005.24.09</t>
        </is>
      </c>
      <c r="O272" t="inlineStr">
        <is>
          <t>Vía urbana mejorada</t>
        </is>
      </c>
      <c r="P272" t="inlineStr">
        <is>
          <t>1.3.2.1.21</t>
        </is>
      </c>
      <c r="Q272" t="inlineStr">
        <is>
          <t>R.F. DERECHOS DE TRANSITO</t>
        </is>
      </c>
      <c r="R272" t="n">
        <v>0</v>
      </c>
      <c r="S272" t="n">
        <v>10414000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10414000</v>
      </c>
      <c r="Z272" t="n">
        <v>0</v>
      </c>
      <c r="AA272" t="n">
        <v>0</v>
      </c>
      <c r="AB272" t="n">
        <v>0</v>
      </c>
      <c r="AC272" t="n">
        <v>0</v>
      </c>
      <c r="AD272" t="n">
        <v>10414000</v>
      </c>
      <c r="AE272" t="n">
        <v>0</v>
      </c>
    </row>
    <row r="273">
      <c r="A273" t="inlineStr">
        <is>
          <t>1 - ADMINISTRACIÓN CENTRAL</t>
        </is>
      </c>
      <c r="B273" t="inlineStr">
        <is>
          <t>24 - TRANSPORTE</t>
        </is>
      </c>
      <c r="C273" t="inlineStr">
        <is>
          <t>0600</t>
        </is>
      </c>
      <c r="D273" t="inlineStr">
        <is>
          <t>2402</t>
        </is>
      </c>
      <c r="E273" t="inlineStr">
        <is>
          <t>2402114</t>
        </is>
      </c>
      <c r="F273" t="inlineStr">
        <is>
          <t>VÍA URBANA MEJORADA</t>
        </is>
      </c>
      <c r="G273" t="inlineStr">
        <is>
          <t>2024548740038</t>
        </is>
      </c>
      <c r="H273" t="inlineStr">
        <is>
          <t>MODERNIZACIÓN DE LA INFRAESTRUCTURA VIAL MUNICIPAL URBANA Y RURAL EN EL MUNICIPIO DE VILLA DEL ROSARIO VILLA DEL ROSARIO UNA CIUDAD POSIBLE</t>
        </is>
      </c>
      <c r="I273" t="inlineStr">
        <is>
          <t>54211</t>
        </is>
      </c>
      <c r="J273" t="inlineStr">
        <is>
          <t>Servicios generales de construcción de carreteras (excepto carreteras elevadas), calles</t>
        </is>
      </c>
      <c r="K273" t="inlineStr">
        <is>
          <t>00</t>
        </is>
      </c>
      <c r="L273" t="inlineStr">
        <is>
          <t>SIN ATRIBUTO</t>
        </is>
      </c>
      <c r="N273" t="inlineStr">
        <is>
          <t>2.3.2.02.02.005.24.10</t>
        </is>
      </c>
      <c r="O273" t="inlineStr">
        <is>
          <t>Vía urbana mejorada</t>
        </is>
      </c>
      <c r="P273" t="inlineStr">
        <is>
          <t>1.3.2.3.01.08</t>
        </is>
      </c>
      <c r="Q273" t="inlineStr">
        <is>
          <t>R.F. DISTINTOS AL SGP - IMPUESTO DE VEHICULOS AUTOMOTORES</t>
        </is>
      </c>
      <c r="R273" t="n">
        <v>0</v>
      </c>
      <c r="S273" t="n">
        <v>27611000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27611000</v>
      </c>
      <c r="Z273" t="n">
        <v>0</v>
      </c>
      <c r="AA273" t="n">
        <v>0</v>
      </c>
      <c r="AB273" t="n">
        <v>0</v>
      </c>
      <c r="AC273" t="n">
        <v>0</v>
      </c>
      <c r="AD273" t="n">
        <v>27611000</v>
      </c>
      <c r="AE273" t="n">
        <v>0</v>
      </c>
    </row>
    <row r="274">
      <c r="A274" t="inlineStr">
        <is>
          <t>1 - ADMINISTRACIÓN CENTRAL</t>
        </is>
      </c>
      <c r="B274" t="inlineStr">
        <is>
          <t>24 - TRANSPORTE</t>
        </is>
      </c>
      <c r="C274" t="inlineStr">
        <is>
          <t>0600</t>
        </is>
      </c>
      <c r="D274" t="inlineStr">
        <is>
          <t>2402</t>
        </is>
      </c>
      <c r="E274" t="inlineStr">
        <is>
          <t>2402114</t>
        </is>
      </c>
      <c r="F274" t="inlineStr">
        <is>
          <t>VÍA URBANA MEJORADA</t>
        </is>
      </c>
      <c r="G274" t="inlineStr">
        <is>
          <t>2021548740027</t>
        </is>
      </c>
      <c r="H274" t="inlineStr">
        <is>
          <t>FORTALECIMIENTO DE LA CONECTIVIDAD VIAL PARA EL DESARROLLO PRODUCTIVO DEL MUNICIPIO DE VILLA DEL ROSARIO</t>
        </is>
      </c>
      <c r="I274" t="inlineStr">
        <is>
          <t>54211</t>
        </is>
      </c>
      <c r="J274" t="inlineStr">
        <is>
          <t>Servicios generales de construcción de carreteras (excepto carreteras elevadas), calles</t>
        </is>
      </c>
      <c r="K274" t="inlineStr">
        <is>
          <t>00</t>
        </is>
      </c>
      <c r="L274" t="inlineStr">
        <is>
          <t>SIN ATRIBUTO</t>
        </is>
      </c>
      <c r="N274" t="inlineStr">
        <is>
          <t>2.3.2.02.02.005.24.11</t>
        </is>
      </c>
      <c r="O274" t="inlineStr">
        <is>
          <t>Via urbana mejorada:Convenio 541 DPS pavimento en adoquin de gress para vias y andenes sector de Villa Antigua</t>
        </is>
      </c>
      <c r="P274" t="inlineStr">
        <is>
          <t>1.3.3.11.08</t>
        </is>
      </c>
      <c r="Q274" t="inlineStr">
        <is>
          <t>R.B. OTRAS TRANSFERENCIAS DE CAPITAL</t>
        </is>
      </c>
      <c r="R274" t="n">
        <v>0</v>
      </c>
      <c r="S274" t="n">
        <v>34582771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34582771</v>
      </c>
      <c r="Z274" t="n">
        <v>34582771</v>
      </c>
      <c r="AA274" t="n">
        <v>34582771</v>
      </c>
      <c r="AB274" t="n">
        <v>34582771</v>
      </c>
      <c r="AC274" t="n">
        <v>34582771</v>
      </c>
      <c r="AD274" t="n">
        <v>0</v>
      </c>
      <c r="AE274" t="n">
        <v>100</v>
      </c>
    </row>
    <row r="275">
      <c r="A275" t="inlineStr">
        <is>
          <t>1 - ADMINISTRACIÓN CENTRAL</t>
        </is>
      </c>
      <c r="B275" t="inlineStr">
        <is>
          <t>40 - VIVIENDA, CIUDAD Y TERRITORIO</t>
        </is>
      </c>
      <c r="C275" t="inlineStr">
        <is>
          <t>1400</t>
        </is>
      </c>
      <c r="D275" t="inlineStr">
        <is>
          <t>4001</t>
        </is>
      </c>
      <c r="E275" t="inlineStr">
        <is>
          <t>4001032</t>
        </is>
      </c>
      <c r="F275" t="inlineStr">
        <is>
          <t>SERVICIO DE APOYO FINANCIERO PARA MEJORAMIENTO DE VIVIENDA</t>
        </is>
      </c>
      <c r="G275" t="inlineStr">
        <is>
          <t>2024548740064</t>
        </is>
      </c>
      <c r="H275" t="inlineStr">
        <is>
          <t>FORTALECIMIENTO DEL ACCESO A SOLUCIONES DE VIVIENDA EN EL MUNICIPIO DE VILLA DEL ROSARIO. VILLA DEL ROSARIO UNA CIUDAD POSIBLE</t>
        </is>
      </c>
      <c r="I275" t="inlineStr">
        <is>
          <t>54111</t>
        </is>
      </c>
      <c r="J275" t="inlineStr">
        <is>
          <t>Servicios generales de construcción de edificaciones de una y dos viviendas</t>
        </is>
      </c>
      <c r="K275" t="inlineStr">
        <is>
          <t>00</t>
        </is>
      </c>
      <c r="L275" t="inlineStr">
        <is>
          <t>SIN ATRIBUTO</t>
        </is>
      </c>
      <c r="N275" t="inlineStr">
        <is>
          <t>2.3.2.02.02.005.40.01</t>
        </is>
      </c>
      <c r="O275" t="inlineStr">
        <is>
          <t>Servicio de apoyo financiero para mejoramiento de vivienda</t>
        </is>
      </c>
      <c r="P275" t="inlineStr">
        <is>
          <t>1.2.2.0.00.00</t>
        </is>
      </c>
      <c r="Q275" t="inlineStr">
        <is>
          <t>50% SOBRETASA A LA GASOLINA PROYECTOS PLAN DE DESARROLLO 2024-2027</t>
        </is>
      </c>
      <c r="R275" t="n">
        <v>200000000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200000000</v>
      </c>
      <c r="Z275" t="n">
        <v>0</v>
      </c>
      <c r="AA275" t="n">
        <v>0</v>
      </c>
      <c r="AB275" t="n">
        <v>0</v>
      </c>
      <c r="AC275" t="n">
        <v>0</v>
      </c>
      <c r="AD275" t="n">
        <v>200000000</v>
      </c>
      <c r="AE275" t="n">
        <v>0</v>
      </c>
    </row>
    <row r="276">
      <c r="A276" t="inlineStr">
        <is>
          <t>1 - ADMINISTRACIÓN CENTRAL</t>
        </is>
      </c>
      <c r="B276" t="inlineStr">
        <is>
          <t>40 - VIVIENDA, CIUDAD Y TERRITORIO</t>
        </is>
      </c>
      <c r="C276" t="inlineStr">
        <is>
          <t>1400</t>
        </is>
      </c>
      <c r="D276" t="inlineStr">
        <is>
          <t>4002</t>
        </is>
      </c>
      <c r="E276" t="inlineStr">
        <is>
          <t>4002020</t>
        </is>
      </c>
      <c r="F276" t="inlineStr">
        <is>
          <t>ESPACIO PUBLICO ADECUADO</t>
        </is>
      </c>
      <c r="G276" t="inlineStr">
        <is>
          <t>2024548740028</t>
        </is>
      </c>
      <c r="H276" t="inlineStr">
        <is>
          <t>FORTALECIMIENTO DEL ORDENAMIENTO TERRITORIAL Y DESARROLLO EN EL MUNICIPIO DE VILLA DEL ROSARIO VILLA DEL ROSARIO UNA CIUDAD POSIBLE</t>
        </is>
      </c>
      <c r="I276" t="inlineStr">
        <is>
          <t>54290</t>
        </is>
      </c>
      <c r="J276" t="inlineStr">
        <is>
          <t>Servicios generales de construcción de otras obras de ingeniería civil</t>
        </is>
      </c>
      <c r="K276" t="inlineStr">
        <is>
          <t>00</t>
        </is>
      </c>
      <c r="L276" t="inlineStr">
        <is>
          <t>SIN ATRIBUTO</t>
        </is>
      </c>
      <c r="N276" t="inlineStr">
        <is>
          <t>2.3.2.02.02.005.40.02</t>
        </is>
      </c>
      <c r="O276" t="inlineStr">
        <is>
          <t>Espacio publico adecuado</t>
        </is>
      </c>
      <c r="P276" t="inlineStr">
        <is>
          <t>1.2.4.3.03</t>
        </is>
      </c>
      <c r="Q276" t="inlineStr">
        <is>
          <t>SGP-PROPOSITO GENERAL-PROPOSITO GENERAL LIBRE INVERSION</t>
        </is>
      </c>
      <c r="R276" t="n">
        <v>1000000000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1000000000</v>
      </c>
      <c r="Z276" t="n">
        <v>856386656</v>
      </c>
      <c r="AA276" t="n">
        <v>855584589</v>
      </c>
      <c r="AB276" t="n">
        <v>0</v>
      </c>
      <c r="AC276" t="n">
        <v>0</v>
      </c>
      <c r="AD276" t="n">
        <v>144415411</v>
      </c>
      <c r="AE276" t="n">
        <v>85.56</v>
      </c>
    </row>
    <row r="277">
      <c r="A277" t="inlineStr">
        <is>
          <t>1 - ADMINISTRACIÓN CENTRAL</t>
        </is>
      </c>
      <c r="B277" t="inlineStr">
        <is>
          <t>40 - VIVIENDA, CIUDAD Y TERRITORIO</t>
        </is>
      </c>
      <c r="C277" t="inlineStr">
        <is>
          <t>1400</t>
        </is>
      </c>
      <c r="D277" t="inlineStr">
        <is>
          <t>4003</t>
        </is>
      </c>
      <c r="E277" t="inlineStr">
        <is>
          <t>4003020</t>
        </is>
      </c>
      <c r="F277" t="inlineStr">
        <is>
          <t>ALCANTARILLADOS OPTIMIZADOS</t>
        </is>
      </c>
      <c r="G277" t="inlineStr">
        <is>
          <t>2024548740021</t>
        </is>
      </c>
      <c r="H277" t="inlineStr">
        <is>
          <t>APOYO PARA EL ACCESO DE LA POBLACIÓN A LOS SERVICIOS DE AGUA POTABLE Y SANEAMIENTO BASICO EN EL MUNICIPIO DE VILLA DEL ROSARIO. VILLA DEL ROSARIO UNA CIUDAD POSIBLE</t>
        </is>
      </c>
      <c r="I277" t="inlineStr">
        <is>
          <t>54253</t>
        </is>
      </c>
      <c r="J277" t="inlineStr">
        <is>
          <t>Servicios generales de construcción de alcantarillado y plantas de tratamiento de agua</t>
        </is>
      </c>
      <c r="K277" t="inlineStr">
        <is>
          <t>00</t>
        </is>
      </c>
      <c r="L277" t="inlineStr">
        <is>
          <t>SIN ATRIBUTO</t>
        </is>
      </c>
      <c r="N277" t="inlineStr">
        <is>
          <t>2.3.2.02.02.005.40.03</t>
        </is>
      </c>
      <c r="O277" t="inlineStr">
        <is>
          <t>Alcantarillados optimizados</t>
        </is>
      </c>
      <c r="P277" t="inlineStr">
        <is>
          <t>1.3.2.2.13</t>
        </is>
      </c>
      <c r="Q277" t="inlineStr">
        <is>
          <t>R.F. SGP - AGUA POTABLE Y SANEAMIENTO BASICO</t>
        </is>
      </c>
      <c r="R277" t="n">
        <v>8100000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8100000</v>
      </c>
      <c r="Z277" t="n">
        <v>0</v>
      </c>
      <c r="AA277" t="n">
        <v>0</v>
      </c>
      <c r="AB277" t="n">
        <v>0</v>
      </c>
      <c r="AC277" t="n">
        <v>0</v>
      </c>
      <c r="AD277" t="n">
        <v>8100000</v>
      </c>
      <c r="AE277" t="n">
        <v>0</v>
      </c>
    </row>
    <row r="278">
      <c r="A278" t="inlineStr">
        <is>
          <t>1 - ADMINISTRACIÓN CENTRAL</t>
        </is>
      </c>
      <c r="B278" t="inlineStr">
        <is>
          <t>40 - VIVIENDA, CIUDAD Y TERRITORIO</t>
        </is>
      </c>
      <c r="C278" t="inlineStr">
        <is>
          <t>1400</t>
        </is>
      </c>
      <c r="D278" t="inlineStr">
        <is>
          <t>4003</t>
        </is>
      </c>
      <c r="E278" t="inlineStr">
        <is>
          <t>4003020</t>
        </is>
      </c>
      <c r="F278" t="inlineStr">
        <is>
          <t>ALCANTARILLADOS OPTIMIZADOS</t>
        </is>
      </c>
      <c r="G278" t="inlineStr">
        <is>
          <t>2024548740021</t>
        </is>
      </c>
      <c r="H278" t="inlineStr">
        <is>
          <t>APOYO PARA EL ACCESO DE LA POBLACIÓN A LOS SERVICIOS DE AGUA POTABLE Y SANEAMIENTO BASICO EN EL MUNICIPIO DE VILLA DEL ROSARIO. VILLA DEL ROSARIO UNA CIUDAD POSIBLE</t>
        </is>
      </c>
      <c r="I278" t="inlineStr">
        <is>
          <t>54253</t>
        </is>
      </c>
      <c r="J278" t="inlineStr">
        <is>
          <t>Servicios generales de construcción de alcantarillado y plantas de tratamiento de agua</t>
        </is>
      </c>
      <c r="K278" t="inlineStr">
        <is>
          <t>00</t>
        </is>
      </c>
      <c r="L278" t="inlineStr">
        <is>
          <t>SIN ATRIBUTO</t>
        </is>
      </c>
      <c r="N278" t="inlineStr">
        <is>
          <t>2.3.2.02.02.005.40.04</t>
        </is>
      </c>
      <c r="O278" t="inlineStr">
        <is>
          <t>Alcantarillados optimizados</t>
        </is>
      </c>
      <c r="P278" t="inlineStr">
        <is>
          <t>1.2.4.6.00</t>
        </is>
      </c>
      <c r="Q278" t="inlineStr">
        <is>
          <t>SGP-AGUA POTABLE Y SANEAMIENTO BASICO</t>
        </is>
      </c>
      <c r="R278" t="n">
        <v>3775266408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3775266408</v>
      </c>
      <c r="Z278" t="n">
        <v>0</v>
      </c>
      <c r="AA278" t="n">
        <v>0</v>
      </c>
      <c r="AB278" t="n">
        <v>0</v>
      </c>
      <c r="AC278" t="n">
        <v>0</v>
      </c>
      <c r="AD278" t="n">
        <v>3775266408</v>
      </c>
      <c r="AE278" t="n">
        <v>0</v>
      </c>
    </row>
    <row r="279">
      <c r="A279" t="inlineStr">
        <is>
          <t>1 - ADMINISTRACIÓN CENTRAL</t>
        </is>
      </c>
      <c r="B279" t="inlineStr">
        <is>
          <t>41 - INCLUSIÓN SOCIAL Y RECONCILIACIÓN</t>
        </is>
      </c>
      <c r="C279" t="inlineStr">
        <is>
          <t>1500</t>
        </is>
      </c>
      <c r="D279" t="inlineStr">
        <is>
          <t>4103</t>
        </is>
      </c>
      <c r="E279" t="inlineStr">
        <is>
          <t>4103027</t>
        </is>
      </c>
      <c r="F279" t="inlineStr">
        <is>
          <t>CENTROS COMUNITARIOS ADECUADOS</t>
        </is>
      </c>
      <c r="G279" t="inlineStr">
        <is>
          <t>2024548740024</t>
        </is>
      </c>
      <c r="H279" t="inlineStr">
        <is>
          <t>FORTALECIMIENTO EN LA INCLUSION SOCIAL Y PRODUCTIVA PARA LA POBLACIÓN EN SUTUACIÓN DE VULNARABILIDAD EN EL MUNICIPIO DE VILLA DEL ROSARIO. VILLA DEL ROSARIO UNA CIUDAD POSIBLE.</t>
        </is>
      </c>
      <c r="I279" t="inlineStr">
        <is>
          <t>53290</t>
        </is>
      </c>
      <c r="J279" t="inlineStr">
        <is>
          <t>Otras obras de ingeniería civil</t>
        </is>
      </c>
      <c r="K279" t="inlineStr">
        <is>
          <t>00</t>
        </is>
      </c>
      <c r="L279" t="inlineStr">
        <is>
          <t>SIN ATRIBUTO</t>
        </is>
      </c>
      <c r="N279" t="inlineStr">
        <is>
          <t>2.3.2.02.02.005.41.01</t>
        </is>
      </c>
      <c r="O279" t="inlineStr">
        <is>
          <t>Centros comunitarios adecuados</t>
        </is>
      </c>
      <c r="P279" t="inlineStr">
        <is>
          <t>1.2.2.0.00.00</t>
        </is>
      </c>
      <c r="Q279" t="inlineStr">
        <is>
          <t>50% SOBRETASA A LA GASOLINA PROYECTOS PLAN DE DESARROLLO 2024-2027</t>
        </is>
      </c>
      <c r="R279" t="n">
        <v>660000000</v>
      </c>
      <c r="S279" t="n">
        <v>0</v>
      </c>
      <c r="T279" t="n">
        <v>0</v>
      </c>
      <c r="U279" t="n">
        <v>0</v>
      </c>
      <c r="V279" t="n">
        <v>155300000</v>
      </c>
      <c r="W279" t="n">
        <v>0</v>
      </c>
      <c r="X279" t="n">
        <v>0</v>
      </c>
      <c r="Y279" t="n">
        <v>504700000</v>
      </c>
      <c r="Z279" t="n">
        <v>0</v>
      </c>
      <c r="AA279" t="n">
        <v>0</v>
      </c>
      <c r="AB279" t="n">
        <v>0</v>
      </c>
      <c r="AC279" t="n">
        <v>0</v>
      </c>
      <c r="AD279" t="n">
        <v>504700000</v>
      </c>
      <c r="AE279" t="n">
        <v>0</v>
      </c>
    </row>
    <row r="280">
      <c r="A280" t="inlineStr">
        <is>
          <t>1 - ADMINISTRACIÓN CENTRAL</t>
        </is>
      </c>
      <c r="B280" t="inlineStr">
        <is>
          <t>41 - INCLUSIÓN SOCIAL Y RECONCILIACIÓN</t>
        </is>
      </c>
      <c r="C280" t="inlineStr">
        <is>
          <t>1500</t>
        </is>
      </c>
      <c r="D280" t="inlineStr">
        <is>
          <t>4103</t>
        </is>
      </c>
      <c r="E280" t="inlineStr">
        <is>
          <t>4103027</t>
        </is>
      </c>
      <c r="F280" t="inlineStr">
        <is>
          <t>CENTROS COMUNITARIOS ADECUADOS</t>
        </is>
      </c>
      <c r="G280" t="inlineStr">
        <is>
          <t>2024548740024</t>
        </is>
      </c>
      <c r="H280" t="inlineStr">
        <is>
          <t>FORTALECIMIENTO EN LA INCLUSION SOCIAL Y PRODUCTIVA PARA LA POBLACIÓN EN SUTUACIÓN DE VULNARABILIDAD EN EL MUNICIPIO DE VILLA DEL ROSARIO. VILLA DEL ROSARIO UNA CIUDAD POSIBLE.</t>
        </is>
      </c>
      <c r="I280" t="inlineStr">
        <is>
          <t>53290</t>
        </is>
      </c>
      <c r="J280" t="inlineStr">
        <is>
          <t>Otras obras de ingeniería civil</t>
        </is>
      </c>
      <c r="K280" t="inlineStr">
        <is>
          <t>VIGENCIA FUTURA</t>
        </is>
      </c>
      <c r="L280" t="inlineStr">
        <is>
          <t>VIGENCIA FUTURA</t>
        </is>
      </c>
      <c r="N280" t="inlineStr">
        <is>
          <t>2.3.2.02.02.005.41.02</t>
        </is>
      </c>
      <c r="O280" t="inlineStr">
        <is>
          <t>Centros comunitarios adecuados</t>
        </is>
      </c>
      <c r="P280" t="inlineStr">
        <is>
          <t>1.2.2.0.00.00</t>
        </is>
      </c>
      <c r="Q280" t="inlineStr">
        <is>
          <t>50% SOBRETASA A LA GASOLINA PROYECTOS PLAN DE DESARROLLO 2024-2027</t>
        </is>
      </c>
      <c r="R280" t="n">
        <v>0</v>
      </c>
      <c r="S280" t="n">
        <v>0</v>
      </c>
      <c r="T280" t="n">
        <v>0</v>
      </c>
      <c r="U280" t="n">
        <v>124500000</v>
      </c>
      <c r="V280" t="n">
        <v>0</v>
      </c>
      <c r="W280" t="n">
        <v>0</v>
      </c>
      <c r="X280" t="n">
        <v>0</v>
      </c>
      <c r="Y280" t="n">
        <v>124500000</v>
      </c>
      <c r="Z280" t="n">
        <v>124372672.93</v>
      </c>
      <c r="AA280" t="n">
        <v>124372672.93</v>
      </c>
      <c r="AB280" t="n">
        <v>124327672.93</v>
      </c>
      <c r="AC280" t="n">
        <v>0</v>
      </c>
      <c r="AD280" t="n">
        <v>127327.07</v>
      </c>
      <c r="AE280" t="n">
        <v>99.90000000000001</v>
      </c>
    </row>
    <row r="281">
      <c r="A281" t="inlineStr">
        <is>
          <t>1 - ADMINISTRACIÓN CENTRAL</t>
        </is>
      </c>
      <c r="B281" t="inlineStr">
        <is>
          <t>43 - DEPORTE Y RECREACIÓN</t>
        </is>
      </c>
      <c r="C281" t="inlineStr">
        <is>
          <t>1604</t>
        </is>
      </c>
      <c r="D281" t="inlineStr">
        <is>
          <t>4301</t>
        </is>
      </c>
      <c r="E281" t="inlineStr">
        <is>
          <t>4301004</t>
        </is>
      </c>
      <c r="F281" t="inlineStr">
        <is>
          <t>SERVICIO DE MANTENIMIENTO A LA INFRAESTRUCTURA DEPORTIVA</t>
        </is>
      </c>
      <c r="G281" t="inlineStr">
        <is>
          <t>2024548740026</t>
        </is>
      </c>
      <c r="H281" t="inlineStr">
        <is>
          <t>APOYO PARA EL FOMENTO A LA RECREACIÓN LA ACTIVIDAD FISICA Y EL DEPORTE  PARA DESARROLLAR ENTORNOS DE CONVIVENCIA Y PAZ EN EL MUNICIPIO DE VILLA DEL ROSARIO.VILLA DEL ROSARIO UNA CIUDAD POSIBLE</t>
        </is>
      </c>
      <c r="I281" t="inlineStr">
        <is>
          <t>54270</t>
        </is>
      </c>
      <c r="J281" t="inlineStr">
        <is>
          <t>Servicios generales de construcción de instalaciones al aire libre para deportes y esparcimiento</t>
        </is>
      </c>
      <c r="K281" t="inlineStr">
        <is>
          <t>00</t>
        </is>
      </c>
      <c r="L281" t="inlineStr">
        <is>
          <t>SIN ATRIBUTO</t>
        </is>
      </c>
      <c r="N281" t="inlineStr">
        <is>
          <t>2.3.2.02.02.005.43.01</t>
        </is>
      </c>
      <c r="O281" t="inlineStr">
        <is>
          <t>Servicio de mantenimiento a la infraestructura deportiva (10% Gasolina)</t>
        </is>
      </c>
      <c r="P281" t="inlineStr">
        <is>
          <t>1.2.2.0.00.05</t>
        </is>
      </c>
      <c r="Q281" t="inlineStr">
        <is>
          <t>10% SOBRETASA GASOLINA INFRAESTRUCTURA ESCENARIOS DEPORTIVOS</t>
        </is>
      </c>
      <c r="R281" t="n">
        <v>450000000</v>
      </c>
      <c r="S281" t="n">
        <v>0</v>
      </c>
      <c r="T281" t="n">
        <v>0</v>
      </c>
      <c r="U281" t="n">
        <v>0</v>
      </c>
      <c r="V281" t="n">
        <v>450000000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0</v>
      </c>
    </row>
    <row r="282">
      <c r="A282" t="inlineStr">
        <is>
          <t>1 - ADMINISTRACIÓN CENTRAL</t>
        </is>
      </c>
      <c r="B282" t="inlineStr">
        <is>
          <t>43 - DEPORTE Y RECREACIÓN</t>
        </is>
      </c>
      <c r="C282" t="inlineStr">
        <is>
          <t>1604</t>
        </is>
      </c>
      <c r="D282" t="inlineStr">
        <is>
          <t>4301</t>
        </is>
      </c>
      <c r="E282" t="inlineStr">
        <is>
          <t>4301011</t>
        </is>
      </c>
      <c r="F282" t="inlineStr">
        <is>
          <t>PARQUES RECREATIVOS ADECUADOS</t>
        </is>
      </c>
      <c r="G282" t="inlineStr">
        <is>
          <t>2024548740026</t>
        </is>
      </c>
      <c r="H282" t="inlineStr">
        <is>
          <t>APOYO PARA EL FOMENTO A LA RECREACIÓN LA ACTIVIDAD FISICA Y EL DEPORTE  PARA DESARROLLAR ENTORNOS DE CONVIVENCIA Y PAZ EN EL MUNICIPIO DE VILLA DEL ROSARIO.VILLA DEL ROSARIO UNA CIUDAD POSIBLE</t>
        </is>
      </c>
      <c r="I282" t="inlineStr">
        <is>
          <t>54270</t>
        </is>
      </c>
      <c r="J282" t="inlineStr">
        <is>
          <t>Servicios generales de construcción de instalaciones al aire libre para deportes y esparcimiento</t>
        </is>
      </c>
      <c r="K282" t="inlineStr">
        <is>
          <t>00</t>
        </is>
      </c>
      <c r="L282" t="inlineStr">
        <is>
          <t>SIN ATRIBUTO</t>
        </is>
      </c>
      <c r="N282" t="inlineStr">
        <is>
          <t>2.3.2.02.02.005.43.02</t>
        </is>
      </c>
      <c r="O282" t="inlineStr">
        <is>
          <t>Parques recreativos adecuados</t>
        </is>
      </c>
      <c r="P282" t="inlineStr">
        <is>
          <t>1.2.3.1.18</t>
        </is>
      </c>
      <c r="Q282" t="inlineStr">
        <is>
          <t>TASA PRODEPORTE Y RECREACION</t>
        </is>
      </c>
      <c r="R282" t="n">
        <v>250000000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250000000</v>
      </c>
      <c r="Z282" t="n">
        <v>250000000</v>
      </c>
      <c r="AA282" t="n">
        <v>0</v>
      </c>
      <c r="AB282" t="n">
        <v>0</v>
      </c>
      <c r="AC282" t="n">
        <v>0</v>
      </c>
      <c r="AD282" t="n">
        <v>250000000</v>
      </c>
      <c r="AE282" t="n">
        <v>0</v>
      </c>
    </row>
    <row r="283">
      <c r="A283" t="inlineStr">
        <is>
          <t>1 - ADMINISTRACIÓN CENTRAL</t>
        </is>
      </c>
      <c r="B283" t="inlineStr">
        <is>
          <t>43 - DEPORTE Y RECREACIÓN</t>
        </is>
      </c>
      <c r="C283" t="inlineStr">
        <is>
          <t>1604</t>
        </is>
      </c>
      <c r="D283" t="inlineStr">
        <is>
          <t>4301</t>
        </is>
      </c>
      <c r="E283" t="inlineStr">
        <is>
          <t>4301004</t>
        </is>
      </c>
      <c r="F283" t="inlineStr">
        <is>
          <t>SERVICIO DE MANTENIMIENTO A LA INFRAESTRUCTURA DEPORTIVA</t>
        </is>
      </c>
      <c r="G283" t="inlineStr">
        <is>
          <t>2024548740026</t>
        </is>
      </c>
      <c r="H283" t="inlineStr">
        <is>
          <t>APOYO PARA EL FOMENTO A LA RECREACIÓN LA ACTIVIDAD FISICA Y EL DEPORTE  PARA DESARROLLAR ENTORNOS DE CONVIVENCIA Y PAZ EN EL MUNICIPIO DE VILLA DEL ROSARIO.VILLA DEL ROSARIO UNA CIUDAD POSIBLE</t>
        </is>
      </c>
      <c r="I283" t="inlineStr">
        <is>
          <t>54270</t>
        </is>
      </c>
      <c r="J283" t="inlineStr">
        <is>
          <t>Servicios generales de construcción de instalaciones al aire libre para deportes y esparcimiento</t>
        </is>
      </c>
      <c r="K283" t="inlineStr">
        <is>
          <t>00</t>
        </is>
      </c>
      <c r="L283" t="inlineStr">
        <is>
          <t>SIN ATRIBUTO</t>
        </is>
      </c>
      <c r="N283" t="inlineStr">
        <is>
          <t>2.3.2.02.02.005.43.03</t>
        </is>
      </c>
      <c r="O283" t="inlineStr">
        <is>
          <t>Servicio de mantenimiento a la infraestructura deportiva</t>
        </is>
      </c>
      <c r="P283" t="inlineStr">
        <is>
          <t>1.2.4.3.01</t>
        </is>
      </c>
      <c r="Q283" t="inlineStr">
        <is>
          <t>SGP-PROPOSITO GENERAL-DEPORTE Y RECREACION</t>
        </is>
      </c>
      <c r="R283" t="n">
        <v>0</v>
      </c>
      <c r="S283" t="n">
        <v>0</v>
      </c>
      <c r="T283" t="n">
        <v>0</v>
      </c>
      <c r="U283" t="n">
        <v>450000000</v>
      </c>
      <c r="V283" t="n">
        <v>0</v>
      </c>
      <c r="W283" t="n">
        <v>0</v>
      </c>
      <c r="X283" t="n">
        <v>0</v>
      </c>
      <c r="Y283" t="n">
        <v>450000000</v>
      </c>
      <c r="Z283" t="n">
        <v>450000000</v>
      </c>
      <c r="AA283" t="n">
        <v>0</v>
      </c>
      <c r="AB283" t="n">
        <v>0</v>
      </c>
      <c r="AC283" t="n">
        <v>0</v>
      </c>
      <c r="AD283" t="n">
        <v>450000000</v>
      </c>
      <c r="AE283" t="n">
        <v>0</v>
      </c>
    </row>
    <row r="284">
      <c r="A284" t="inlineStr">
        <is>
          <t>1 - ADMINISTRACIÓN CENTRAL</t>
        </is>
      </c>
      <c r="B284" t="inlineStr">
        <is>
          <t>43 - DEPORTE Y RECREACIÓN</t>
        </is>
      </c>
      <c r="C284" t="inlineStr">
        <is>
          <t>1604</t>
        </is>
      </c>
      <c r="D284" t="inlineStr">
        <is>
          <t>4301</t>
        </is>
      </c>
      <c r="E284" t="inlineStr">
        <is>
          <t>4301004</t>
        </is>
      </c>
      <c r="F284" t="inlineStr">
        <is>
          <t>SERVICIO DE MANTENIMIENTO A LA INFRAESTRUCTURA DEPORTIVA</t>
        </is>
      </c>
      <c r="G284" t="inlineStr">
        <is>
          <t>2024548740026</t>
        </is>
      </c>
      <c r="H284" t="inlineStr">
        <is>
          <t>APOYO PARA EL FOMENTO A LA RECREACIÓN LA ACTIVIDAD FISICA Y EL DEPORTE  PARA DESARROLLAR ENTORNOS DE CONVIVENCIA Y PAZ EN EL MUNICIPIO DE VILLA DEL ROSARIO.VILLA DEL ROSARIO UNA CIUDAD POSIBLE</t>
        </is>
      </c>
      <c r="I284" t="inlineStr">
        <is>
          <t>54270</t>
        </is>
      </c>
      <c r="J284" t="inlineStr">
        <is>
          <t>Servicios generales de construcción de instalaciones al aire libre para deportes y esparcimiento</t>
        </is>
      </c>
      <c r="K284" t="inlineStr">
        <is>
          <t>00</t>
        </is>
      </c>
      <c r="L284" t="inlineStr">
        <is>
          <t>SIN ATRIBUTO</t>
        </is>
      </c>
      <c r="N284" t="inlineStr">
        <is>
          <t>2.3.2.02.02.005.43.04</t>
        </is>
      </c>
      <c r="O284" t="inlineStr">
        <is>
          <t>Construcción cancha deportiva en el corregimiento de juan frio</t>
        </is>
      </c>
      <c r="P284" t="inlineStr">
        <is>
          <t>1.3.3.4.15</t>
        </is>
      </c>
      <c r="Q284" t="inlineStr">
        <is>
          <t>R.B. DERECHOS DE TRANSITO</t>
        </is>
      </c>
      <c r="R284" t="n">
        <v>0</v>
      </c>
      <c r="S284" t="n">
        <v>130624381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130624381</v>
      </c>
      <c r="Z284" t="n">
        <v>130624381</v>
      </c>
      <c r="AA284" t="n">
        <v>130624381</v>
      </c>
      <c r="AB284" t="n">
        <v>0</v>
      </c>
      <c r="AC284" t="n">
        <v>0</v>
      </c>
      <c r="AD284" t="n">
        <v>0</v>
      </c>
      <c r="AE284" t="n">
        <v>100</v>
      </c>
    </row>
    <row r="285">
      <c r="A285" t="inlineStr">
        <is>
          <t>1 - ADMINISTRACIÓN CENTRAL</t>
        </is>
      </c>
      <c r="B285" t="inlineStr">
        <is>
          <t>43 - DEPORTE Y RECREACIÓN</t>
        </is>
      </c>
      <c r="C285" t="inlineStr">
        <is>
          <t>1604</t>
        </is>
      </c>
      <c r="D285" t="inlineStr">
        <is>
          <t>4301</t>
        </is>
      </c>
      <c r="E285" t="inlineStr">
        <is>
          <t>4301011</t>
        </is>
      </c>
      <c r="F285" t="inlineStr">
        <is>
          <t>PARQUES RECREATIVOS ADECUADOS</t>
        </is>
      </c>
      <c r="G285" t="inlineStr">
        <is>
          <t>2024548740026</t>
        </is>
      </c>
      <c r="H285" t="inlineStr">
        <is>
          <t>APOYO PARA EL FOMENTO A LA RECREACIÓN LA ACTIVIDAD FISICA Y EL DEPORTE  PARA DESARROLLAR ENTORNOS DE CONVIVENCIA Y PAZ EN EL MUNICIPIO DE VILLA DEL ROSARIO.VILLA DEL ROSARIO UNA CIUDAD POSIBLE</t>
        </is>
      </c>
      <c r="I285" t="inlineStr">
        <is>
          <t>54270</t>
        </is>
      </c>
      <c r="J285" t="inlineStr">
        <is>
          <t>Servicios generales de construcción de instalaciones al aire libre para deportes y esparcimiento</t>
        </is>
      </c>
      <c r="K285" t="inlineStr">
        <is>
          <t>00</t>
        </is>
      </c>
      <c r="L285" t="inlineStr">
        <is>
          <t>SIN ATRIBUTO</t>
        </is>
      </c>
      <c r="N285" t="inlineStr">
        <is>
          <t>2.3.2.02.02.005.43.05</t>
        </is>
      </c>
      <c r="O285" t="inlineStr">
        <is>
          <t>Construcción cancha deportiva en el corregimiento de juan frio</t>
        </is>
      </c>
      <c r="P285" t="inlineStr">
        <is>
          <t>1.3.3.4.15</t>
        </is>
      </c>
      <c r="Q285" t="inlineStr">
        <is>
          <t>R.B. DERECHOS DE TRANSITO</t>
        </is>
      </c>
      <c r="R285" t="n">
        <v>0</v>
      </c>
      <c r="S285" t="n">
        <v>80877054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80877054</v>
      </c>
      <c r="Z285" t="n">
        <v>80877054</v>
      </c>
      <c r="AA285" t="n">
        <v>80877054</v>
      </c>
      <c r="AB285" t="n">
        <v>0</v>
      </c>
      <c r="AC285" t="n">
        <v>0</v>
      </c>
      <c r="AD285" t="n">
        <v>0</v>
      </c>
      <c r="AE285" t="n">
        <v>100</v>
      </c>
    </row>
    <row r="286">
      <c r="A286" t="inlineStr">
        <is>
          <t>1 - ADMINISTRACIÓN CENTRAL</t>
        </is>
      </c>
      <c r="B286" t="inlineStr">
        <is>
          <t>43 - DEPORTE Y RECREACIÓN</t>
        </is>
      </c>
      <c r="C286" t="inlineStr">
        <is>
          <t>1604</t>
        </is>
      </c>
      <c r="D286" t="inlineStr">
        <is>
          <t>4301</t>
        </is>
      </c>
      <c r="E286" t="inlineStr">
        <is>
          <t>4301011</t>
        </is>
      </c>
      <c r="F286" t="inlineStr">
        <is>
          <t>PARQUES RECREATIVOS ADECUADOS</t>
        </is>
      </c>
      <c r="G286" t="inlineStr">
        <is>
          <t>2024548740026</t>
        </is>
      </c>
      <c r="H286" t="inlineStr">
        <is>
          <t>APOYO PARA EL FOMENTO A LA RECREACIÓN LA ACTIVIDAD FISICA Y EL DEPORTE  PARA DESARROLLAR ENTORNOS DE CONVIVENCIA Y PAZ EN EL MUNICIPIO DE VILLA DEL ROSARIO.VILLA DEL ROSARIO UNA CIUDAD POSIBLE</t>
        </is>
      </c>
      <c r="I286" t="inlineStr">
        <is>
          <t>54270</t>
        </is>
      </c>
      <c r="J286" t="inlineStr">
        <is>
          <t>Servicios generales de construcción de instalaciones al aire libre para deportes y esparcimiento</t>
        </is>
      </c>
      <c r="K286" t="inlineStr">
        <is>
          <t>00</t>
        </is>
      </c>
      <c r="L286" t="inlineStr">
        <is>
          <t>SIN ATRIBUTO</t>
        </is>
      </c>
      <c r="N286" t="inlineStr">
        <is>
          <t>2.3.2.02.02.005.43.06</t>
        </is>
      </c>
      <c r="O286" t="inlineStr">
        <is>
          <t>Estudios y diseño y adecuación polideportivo barrio santa barbara</t>
        </is>
      </c>
      <c r="P286" t="inlineStr">
        <is>
          <t>1.3.2.3.01.01</t>
        </is>
      </c>
      <c r="Q286" t="inlineStr">
        <is>
          <t>R.F. DISTINTOS AL SGP - RECURSOS PROPIOS</t>
        </is>
      </c>
      <c r="R286" t="n">
        <v>0</v>
      </c>
      <c r="S286" t="n">
        <v>91563400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91563400</v>
      </c>
      <c r="Z286" t="n">
        <v>91536400</v>
      </c>
      <c r="AA286" t="n">
        <v>0</v>
      </c>
      <c r="AB286" t="n">
        <v>0</v>
      </c>
      <c r="AC286" t="n">
        <v>0</v>
      </c>
      <c r="AD286" t="n">
        <v>91563400</v>
      </c>
      <c r="AE286" t="n">
        <v>0</v>
      </c>
    </row>
    <row r="287">
      <c r="A287" t="inlineStr">
        <is>
          <t>1 - ADMINISTRACIÓN CENTRAL</t>
        </is>
      </c>
      <c r="B287" t="inlineStr">
        <is>
          <t>43 - DEPORTE Y RECREACIÓN</t>
        </is>
      </c>
      <c r="C287" t="inlineStr">
        <is>
          <t>1604</t>
        </is>
      </c>
      <c r="D287" t="inlineStr">
        <is>
          <t>4301</t>
        </is>
      </c>
      <c r="E287" t="inlineStr">
        <is>
          <t>4301011</t>
        </is>
      </c>
      <c r="F287" t="inlineStr">
        <is>
          <t>PARQUES RECREATIVOS ADECUADOS</t>
        </is>
      </c>
      <c r="G287" t="inlineStr">
        <is>
          <t>2024548740026</t>
        </is>
      </c>
      <c r="H287" t="inlineStr">
        <is>
          <t>APOYO PARA EL FOMENTO A LA RECREACIÓN LA ACTIVIDAD FISICA Y EL DEPORTE  PARA DESARROLLAR ENTORNOS DE CONVIVENCIA Y PAZ EN EL MUNICIPIO DE VILLA DEL ROSARIO.VILLA DEL ROSARIO UNA CIUDAD POSIBLE</t>
        </is>
      </c>
      <c r="I287" t="inlineStr">
        <is>
          <t>54270</t>
        </is>
      </c>
      <c r="J287" t="inlineStr">
        <is>
          <t>Servicios generales de construcción de instalaciones al aire libre para deportes y esparcimiento</t>
        </is>
      </c>
      <c r="K287" t="inlineStr">
        <is>
          <t>00</t>
        </is>
      </c>
      <c r="L287" t="inlineStr">
        <is>
          <t>SIN ATRIBUTO</t>
        </is>
      </c>
      <c r="N287" t="inlineStr">
        <is>
          <t>2.3.2.02.02.005.43.07</t>
        </is>
      </c>
      <c r="O287" t="inlineStr">
        <is>
          <t>Estudios y diseño y adecuación polideportivo barrio santa barbara</t>
        </is>
      </c>
      <c r="P287" t="inlineStr">
        <is>
          <t>1.2.4.3.03</t>
        </is>
      </c>
      <c r="Q287" t="inlineStr">
        <is>
          <t>SGP-PROPOSITO GENERAL-PROPOSITO GENERAL LIBRE INVERSION</t>
        </is>
      </c>
      <c r="R287" t="n">
        <v>0</v>
      </c>
      <c r="S287" t="n">
        <v>555141619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555141619</v>
      </c>
      <c r="Z287" t="n">
        <v>555141619</v>
      </c>
      <c r="AA287" t="n">
        <v>0</v>
      </c>
      <c r="AB287" t="n">
        <v>0</v>
      </c>
      <c r="AC287" t="n">
        <v>0</v>
      </c>
      <c r="AD287" t="n">
        <v>555141619</v>
      </c>
      <c r="AE287" t="n">
        <v>0</v>
      </c>
    </row>
    <row r="288">
      <c r="A288" t="inlineStr">
        <is>
          <t>1 - ADMINISTRACIÓN CENTRAL</t>
        </is>
      </c>
      <c r="B288" t="inlineStr">
        <is>
          <t>43 - DEPORTE Y RECREACIÓN</t>
        </is>
      </c>
      <c r="C288" t="inlineStr">
        <is>
          <t>1604</t>
        </is>
      </c>
      <c r="D288" t="inlineStr">
        <is>
          <t>4301</t>
        </is>
      </c>
      <c r="E288" t="inlineStr">
        <is>
          <t>4301011</t>
        </is>
      </c>
      <c r="F288" t="inlineStr">
        <is>
          <t>PARQUES RECREATIVOS ADECUADOS</t>
        </is>
      </c>
      <c r="G288" t="inlineStr">
        <is>
          <t>2024548740026</t>
        </is>
      </c>
      <c r="H288" t="inlineStr">
        <is>
          <t>APOYO PARA EL FOMENTO A LA RECREACIÓN LA ACTIVIDAD FISICA Y EL DEPORTE  PARA DESARROLLAR ENTORNOS DE CONVIVENCIA Y PAZ EN EL MUNICIPIO DE VILLA DEL ROSARIO.VILLA DEL ROSARIO UNA CIUDAD POSIBLE</t>
        </is>
      </c>
      <c r="I288" t="inlineStr">
        <is>
          <t>54270</t>
        </is>
      </c>
      <c r="J288" t="inlineStr">
        <is>
          <t>Servicios generales de construcción de instalaciones al aire libre para deportes y esparcimiento</t>
        </is>
      </c>
      <c r="K288" t="inlineStr">
        <is>
          <t>00</t>
        </is>
      </c>
      <c r="L288" t="inlineStr">
        <is>
          <t>SIN ATRIBUTO</t>
        </is>
      </c>
      <c r="N288" t="inlineStr">
        <is>
          <t>2.3.2.02.02.005.43.08</t>
        </is>
      </c>
      <c r="O288" t="inlineStr">
        <is>
          <t>Parques recreativos adecuados</t>
        </is>
      </c>
      <c r="P288" t="inlineStr">
        <is>
          <t>1.2.4.3.01</t>
        </is>
      </c>
      <c r="Q288" t="inlineStr">
        <is>
          <t>SGP-PROPOSITO GENERAL-DEPORTE Y RECREACION</t>
        </is>
      </c>
      <c r="R288" t="n">
        <v>0</v>
      </c>
      <c r="S288" t="n">
        <v>58435960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58435960</v>
      </c>
      <c r="Z288" t="n">
        <v>58435960</v>
      </c>
      <c r="AA288" t="n">
        <v>0</v>
      </c>
      <c r="AB288" t="n">
        <v>0</v>
      </c>
      <c r="AC288" t="n">
        <v>0</v>
      </c>
      <c r="AD288" t="n">
        <v>58435960</v>
      </c>
      <c r="AE288" t="n">
        <v>0</v>
      </c>
    </row>
    <row r="289">
      <c r="A289" t="inlineStr">
        <is>
          <t>1 - ADMINISTRACIÓN CENTRAL</t>
        </is>
      </c>
      <c r="B289" t="inlineStr">
        <is>
          <t>43 - DEPORTE Y RECREACIÓN</t>
        </is>
      </c>
      <c r="C289" t="inlineStr">
        <is>
          <t>1604</t>
        </is>
      </c>
      <c r="D289" t="inlineStr">
        <is>
          <t>4301</t>
        </is>
      </c>
      <c r="E289" t="inlineStr">
        <is>
          <t>4301011</t>
        </is>
      </c>
      <c r="F289" t="inlineStr">
        <is>
          <t>PARQUES RECREATIVOS ADECUADOS</t>
        </is>
      </c>
      <c r="G289" t="inlineStr">
        <is>
          <t>2024548740026</t>
        </is>
      </c>
      <c r="H289" t="inlineStr">
        <is>
          <t>APOYO PARA EL FOMENTO A LA RECREACIÓN LA ACTIVIDAD FISICA Y EL DEPORTE  PARA DESARROLLAR ENTORNOS DE CONVIVENCIA Y PAZ EN EL MUNICIPIO DE VILLA DEL ROSARIO.VILLA DEL ROSARIO UNA CIUDAD POSIBLE</t>
        </is>
      </c>
      <c r="I289" t="inlineStr">
        <is>
          <t>54270</t>
        </is>
      </c>
      <c r="J289" t="inlineStr">
        <is>
          <t>Servicios generales de construcción de instalaciones al aire libre para deportes y esparcimiento</t>
        </is>
      </c>
      <c r="K289" t="inlineStr">
        <is>
          <t>00</t>
        </is>
      </c>
      <c r="L289" t="inlineStr">
        <is>
          <t>SIN ATRIBUTO</t>
        </is>
      </c>
      <c r="N289" t="inlineStr">
        <is>
          <t>2.3.2.02.02.005.43.09</t>
        </is>
      </c>
      <c r="O289" t="inlineStr">
        <is>
          <t>Estudios y diseño y adecuación polideportivo barrio santa barbara</t>
        </is>
      </c>
      <c r="P289" t="inlineStr">
        <is>
          <t>1.2.4.3.04</t>
        </is>
      </c>
      <c r="Q289" t="inlineStr">
        <is>
          <t>SGP-PROPOSITO GENERAL-LIBRE DESTINACION MUNICIPIOS CATEGORIAS 4, 5 Y 6</t>
        </is>
      </c>
      <c r="R289" t="n">
        <v>0</v>
      </c>
      <c r="S289" t="n">
        <v>245984866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245984866</v>
      </c>
      <c r="Z289" t="n">
        <v>245984866</v>
      </c>
      <c r="AA289" t="n">
        <v>0</v>
      </c>
      <c r="AB289" t="n">
        <v>0</v>
      </c>
      <c r="AC289" t="n">
        <v>0</v>
      </c>
      <c r="AD289" t="n">
        <v>245984866</v>
      </c>
      <c r="AE289" t="n">
        <v>0</v>
      </c>
    </row>
    <row r="290">
      <c r="A290" t="inlineStr">
        <is>
          <t>1 - ADMINISTRACIÓN CENTRAL</t>
        </is>
      </c>
      <c r="B290" t="inlineStr">
        <is>
          <t>43 - DEPORTE Y RECREACIÓN</t>
        </is>
      </c>
      <c r="C290" t="inlineStr">
        <is>
          <t>1604</t>
        </is>
      </c>
      <c r="D290" t="inlineStr">
        <is>
          <t>4301</t>
        </is>
      </c>
      <c r="E290" t="inlineStr">
        <is>
          <t>4301004</t>
        </is>
      </c>
      <c r="F290" t="inlineStr">
        <is>
          <t>SERVICIO DE MANTENIMIENTO A LA INFRAESTRUCTURA DEPORTIVA</t>
        </is>
      </c>
      <c r="G290" t="inlineStr">
        <is>
          <t>2024548740026</t>
        </is>
      </c>
      <c r="H290" t="inlineStr">
        <is>
          <t>APOYO PARA EL FOMENTO A LA RECREACIÓN LA ACTIVIDAD FISICA Y EL DEPORTE  PARA DESARROLLAR ENTORNOS DE CONVIVENCIA Y PAZ EN EL MUNICIPIO DE VILLA DEL ROSARIO.VILLA DEL ROSARIO UNA CIUDAD POSIBLE</t>
        </is>
      </c>
      <c r="I290" t="inlineStr">
        <is>
          <t>54270</t>
        </is>
      </c>
      <c r="J290" t="inlineStr">
        <is>
          <t>Servicios generales de construcción de instalaciones al aire libre para deportes y esparcimiento</t>
        </is>
      </c>
      <c r="K290" t="inlineStr">
        <is>
          <t>00</t>
        </is>
      </c>
      <c r="L290" t="inlineStr">
        <is>
          <t>SIN ATRIBUTO</t>
        </is>
      </c>
      <c r="N290" t="inlineStr">
        <is>
          <t>2.3.2.02.02.005.43.12</t>
        </is>
      </c>
      <c r="O290" t="inlineStr">
        <is>
          <t>Construcción cancha deportiva en el corregimiento de juan frio</t>
        </is>
      </c>
      <c r="P290" t="inlineStr">
        <is>
          <t>1.3.3.11.08</t>
        </is>
      </c>
      <c r="Q290" t="inlineStr">
        <is>
          <t>R.B. OTRAS TRANSFERENCIAS DE CAPITAL</t>
        </is>
      </c>
      <c r="R290" t="n">
        <v>0</v>
      </c>
      <c r="S290" t="n">
        <v>189862867.98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189862867.98</v>
      </c>
      <c r="Z290" t="n">
        <v>189862867.98</v>
      </c>
      <c r="AA290" t="n">
        <v>189862867.98</v>
      </c>
      <c r="AB290" t="n">
        <v>0</v>
      </c>
      <c r="AC290" t="n">
        <v>0</v>
      </c>
      <c r="AD290" t="n">
        <v>0</v>
      </c>
      <c r="AE290" t="n">
        <v>100</v>
      </c>
    </row>
    <row r="291">
      <c r="A291" t="inlineStr">
        <is>
          <t>1 - ADMINISTRACIÓN CENTRAL</t>
        </is>
      </c>
      <c r="B291" t="inlineStr">
        <is>
          <t>43 - DEPORTE Y RECREACIÓN</t>
        </is>
      </c>
      <c r="C291" t="inlineStr">
        <is>
          <t>1604</t>
        </is>
      </c>
      <c r="D291" t="inlineStr">
        <is>
          <t>4302</t>
        </is>
      </c>
      <c r="E291" t="inlineStr">
        <is>
          <t>4302064</t>
        </is>
      </c>
      <c r="F291" t="inlineStr">
        <is>
          <t>POLIDEPORTIVOS CONSTRUIDOS</t>
        </is>
      </c>
      <c r="G291" t="inlineStr">
        <is>
          <t>2024548740056</t>
        </is>
      </c>
      <c r="H291" t="inlineStr">
        <is>
          <t>APOYO PARA LA FORMACIÓN Y PREPARACIÓN DE DEPORTISTAS EN EL MUNICIPIO DE VILLA DEL ROSARIO.VILLA DEL ROSARIO UNA CIUDAD POSIBLE</t>
        </is>
      </c>
      <c r="I291" t="inlineStr">
        <is>
          <t>54270</t>
        </is>
      </c>
      <c r="J291" t="inlineStr">
        <is>
          <t>Servicios generales de construcción de instalaciones al aire libre para deportes y esparcimiento</t>
        </is>
      </c>
      <c r="K291" t="inlineStr">
        <is>
          <t>00</t>
        </is>
      </c>
      <c r="L291" t="inlineStr">
        <is>
          <t>SIN ATRIBUTO</t>
        </is>
      </c>
      <c r="N291" t="inlineStr">
        <is>
          <t>2.3.2.02.02.005.43.13</t>
        </is>
      </c>
      <c r="O291" t="inlineStr">
        <is>
          <t>Construcción polideportivos</t>
        </is>
      </c>
      <c r="P291" t="inlineStr">
        <is>
          <t>1.3.3.8.03</t>
        </is>
      </c>
      <c r="Q291" t="inlineStr">
        <is>
          <t>R.B. SGP-PROPOSITO GENERAL LIBRE INVERSIÓN</t>
        </is>
      </c>
      <c r="R291" t="n">
        <v>0</v>
      </c>
      <c r="S291" t="n">
        <v>199206276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199206276</v>
      </c>
      <c r="Z291" t="n">
        <v>0</v>
      </c>
      <c r="AA291" t="n">
        <v>0</v>
      </c>
      <c r="AB291" t="n">
        <v>0</v>
      </c>
      <c r="AC291" t="n">
        <v>0</v>
      </c>
      <c r="AD291" t="n">
        <v>199206276</v>
      </c>
      <c r="AE291" t="n">
        <v>0</v>
      </c>
    </row>
    <row r="292">
      <c r="A292" t="inlineStr">
        <is>
          <t>1 - ADMINISTRACIÓN CENTRAL</t>
        </is>
      </c>
      <c r="B292" t="inlineStr">
        <is>
          <t>43 - DEPORTE Y RECREACIÓN</t>
        </is>
      </c>
      <c r="C292" t="inlineStr">
        <is>
          <t>1604</t>
        </is>
      </c>
      <c r="D292" t="inlineStr">
        <is>
          <t>4302</t>
        </is>
      </c>
      <c r="E292" t="inlineStr">
        <is>
          <t>4302064</t>
        </is>
      </c>
      <c r="F292" t="inlineStr">
        <is>
          <t>POLIDEPORTIVOS CONSTRUIDOS</t>
        </is>
      </c>
      <c r="G292" t="inlineStr">
        <is>
          <t>2024548740056</t>
        </is>
      </c>
      <c r="H292" t="inlineStr">
        <is>
          <t>APOYO PARA LA FORMACIÓN Y PREPARACIÓN DE DEPORTISTAS EN EL MUNICIPIO DE VILLA DEL ROSARIO.VILLA DEL ROSARIO UNA CIUDAD POSIBLE</t>
        </is>
      </c>
      <c r="I292" t="inlineStr">
        <is>
          <t>54270</t>
        </is>
      </c>
      <c r="J292" t="inlineStr">
        <is>
          <t>Servicios generales de construcción de instalaciones al aire libre para deportes y esparcimiento</t>
        </is>
      </c>
      <c r="K292" t="inlineStr">
        <is>
          <t>00</t>
        </is>
      </c>
      <c r="L292" t="inlineStr">
        <is>
          <t>SIN ATRIBUTO</t>
        </is>
      </c>
      <c r="N292" t="inlineStr">
        <is>
          <t>2.3.2.02.02.005.43.14</t>
        </is>
      </c>
      <c r="O292" t="inlineStr">
        <is>
          <t>Construcción polideportivos</t>
        </is>
      </c>
      <c r="P292" t="inlineStr">
        <is>
          <t>1.3.3.4.15</t>
        </is>
      </c>
      <c r="Q292" t="inlineStr">
        <is>
          <t>R.B. DERECHOS DE TRANSITO</t>
        </is>
      </c>
      <c r="R292" t="n">
        <v>0</v>
      </c>
      <c r="S292" t="n">
        <v>354039033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354039033</v>
      </c>
      <c r="Z292" t="n">
        <v>0</v>
      </c>
      <c r="AA292" t="n">
        <v>0</v>
      </c>
      <c r="AB292" t="n">
        <v>0</v>
      </c>
      <c r="AC292" t="n">
        <v>0</v>
      </c>
      <c r="AD292" t="n">
        <v>354039033</v>
      </c>
      <c r="AE292" t="n">
        <v>0</v>
      </c>
    </row>
    <row r="293">
      <c r="A293" t="inlineStr">
        <is>
          <t>1 - ADMINISTRACIÓN CENTRAL</t>
        </is>
      </c>
      <c r="B293" t="inlineStr">
        <is>
          <t>43 - DEPORTE Y RECREACIÓN</t>
        </is>
      </c>
      <c r="C293" t="inlineStr">
        <is>
          <t>1604</t>
        </is>
      </c>
      <c r="D293" t="inlineStr">
        <is>
          <t>4302</t>
        </is>
      </c>
      <c r="E293" t="inlineStr">
        <is>
          <t>4302064</t>
        </is>
      </c>
      <c r="F293" t="inlineStr">
        <is>
          <t>POLIDEPORTIVOS CONSTRUIDOS</t>
        </is>
      </c>
      <c r="G293" t="inlineStr">
        <is>
          <t>2024548740056</t>
        </is>
      </c>
      <c r="H293" t="inlineStr">
        <is>
          <t>APOYO PARA LA FORMACIÓN Y PREPARACIÓN DE DEPORTISTAS EN EL MUNICIPIO DE VILLA DEL ROSARIO.VILLA DEL ROSARIO UNA CIUDAD POSIBLE</t>
        </is>
      </c>
      <c r="I293" t="inlineStr">
        <is>
          <t>54270</t>
        </is>
      </c>
      <c r="J293" t="inlineStr">
        <is>
          <t>Servicios generales de construcción de instalaciones al aire libre para deportes y esparcimiento</t>
        </is>
      </c>
      <c r="K293" t="inlineStr">
        <is>
          <t>00</t>
        </is>
      </c>
      <c r="L293" t="inlineStr">
        <is>
          <t>SIN ATRIBUTO</t>
        </is>
      </c>
      <c r="N293" t="inlineStr">
        <is>
          <t>2.3.2.02.02.005.43.15</t>
        </is>
      </c>
      <c r="O293" t="inlineStr">
        <is>
          <t>Construcción polideportivos</t>
        </is>
      </c>
      <c r="P293" t="inlineStr">
        <is>
          <t>1.3.2.2.08</t>
        </is>
      </c>
      <c r="Q293" t="inlineStr">
        <is>
          <t>R.F. SGP - PROPOSITO GENERAL</t>
        </is>
      </c>
      <c r="R293" t="n">
        <v>0</v>
      </c>
      <c r="S293" t="n">
        <v>49766290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49766290</v>
      </c>
      <c r="Z293" t="n">
        <v>0</v>
      </c>
      <c r="AA293" t="n">
        <v>0</v>
      </c>
      <c r="AB293" t="n">
        <v>0</v>
      </c>
      <c r="AC293" t="n">
        <v>0</v>
      </c>
      <c r="AD293" t="n">
        <v>49766290</v>
      </c>
      <c r="AE293" t="n">
        <v>0</v>
      </c>
    </row>
    <row r="294">
      <c r="A294" t="inlineStr">
        <is>
          <t>1 - ADMINISTRACIÓN CENTRAL</t>
        </is>
      </c>
      <c r="B294" t="inlineStr">
        <is>
          <t>43 - DEPORTE Y RECREACIÓN</t>
        </is>
      </c>
      <c r="C294" t="inlineStr">
        <is>
          <t>1604</t>
        </is>
      </c>
      <c r="D294" t="inlineStr">
        <is>
          <t>4302</t>
        </is>
      </c>
      <c r="E294" t="inlineStr">
        <is>
          <t>4302064</t>
        </is>
      </c>
      <c r="F294" t="inlineStr">
        <is>
          <t>POLIDEPORTIVOS CONSTRUIDOS</t>
        </is>
      </c>
      <c r="G294" t="inlineStr">
        <is>
          <t>2024548740056</t>
        </is>
      </c>
      <c r="H294" t="inlineStr">
        <is>
          <t>APOYO PARA LA FORMACIÓN Y PREPARACIÓN DE DEPORTISTAS EN EL MUNICIPIO DE VILLA DEL ROSARIO.VILLA DEL ROSARIO UNA CIUDAD POSIBLE</t>
        </is>
      </c>
      <c r="I294" t="inlineStr">
        <is>
          <t>54270</t>
        </is>
      </c>
      <c r="J294" t="inlineStr">
        <is>
          <t>Servicios generales de construcción de instalaciones al aire libre para deportes y esparcimiento</t>
        </is>
      </c>
      <c r="K294" t="inlineStr">
        <is>
          <t>00</t>
        </is>
      </c>
      <c r="L294" t="inlineStr">
        <is>
          <t>SIN ATRIBUTO</t>
        </is>
      </c>
      <c r="N294" t="inlineStr">
        <is>
          <t>2.3.2.02.02.005.43.16</t>
        </is>
      </c>
      <c r="O294" t="inlineStr">
        <is>
          <t>Construcción polideportivos (acuerdo 025 de 2024 10%  sobretasa a la gasolina proyectos deporte y recreación)</t>
        </is>
      </c>
      <c r="P294" t="inlineStr">
        <is>
          <t>1.3.3.2.00.11</t>
        </is>
      </c>
      <c r="Q294" t="inlineStr">
        <is>
          <t>R.B. 2024 SOBRETASA A LA GASOLINA</t>
        </is>
      </c>
      <c r="R294" t="n">
        <v>0</v>
      </c>
      <c r="S294" t="n">
        <v>418557336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418557336</v>
      </c>
      <c r="Z294" t="n">
        <v>0</v>
      </c>
      <c r="AA294" t="n">
        <v>0</v>
      </c>
      <c r="AB294" t="n">
        <v>0</v>
      </c>
      <c r="AC294" t="n">
        <v>0</v>
      </c>
      <c r="AD294" t="n">
        <v>418557336</v>
      </c>
      <c r="AE294" t="n">
        <v>0</v>
      </c>
    </row>
    <row r="295">
      <c r="A295" t="inlineStr">
        <is>
          <t>1 - ADMINISTRACIÓN CENTRAL</t>
        </is>
      </c>
      <c r="B295" t="inlineStr">
        <is>
          <t>43 - DEPORTE Y RECREACIÓN</t>
        </is>
      </c>
      <c r="C295" t="inlineStr">
        <is>
          <t>1604</t>
        </is>
      </c>
      <c r="D295" t="inlineStr">
        <is>
          <t>4302</t>
        </is>
      </c>
      <c r="E295" t="inlineStr">
        <is>
          <t>4302064</t>
        </is>
      </c>
      <c r="F295" t="inlineStr">
        <is>
          <t>POLIDEPORTIVOS CONSTRUIDOS</t>
        </is>
      </c>
      <c r="G295" t="inlineStr">
        <is>
          <t>2024548740056</t>
        </is>
      </c>
      <c r="H295" t="inlineStr">
        <is>
          <t>APOYO PARA LA FORMACIÓN Y PREPARACIÓN DE DEPORTISTAS EN EL MUNICIPIO DE VILLA DEL ROSARIO.VILLA DEL ROSARIO UNA CIUDAD POSIBLE</t>
        </is>
      </c>
      <c r="I295" t="inlineStr">
        <is>
          <t>54270</t>
        </is>
      </c>
      <c r="J295" t="inlineStr">
        <is>
          <t>Servicios generales de construcción de instalaciones al aire libre para deportes y esparcimiento</t>
        </is>
      </c>
      <c r="K295" t="inlineStr">
        <is>
          <t>00</t>
        </is>
      </c>
      <c r="L295" t="inlineStr">
        <is>
          <t>SIN ATRIBUTO</t>
        </is>
      </c>
      <c r="N295" t="inlineStr">
        <is>
          <t>2.3.2.02.02.005.43.17</t>
        </is>
      </c>
      <c r="O295" t="inlineStr">
        <is>
          <t>Construcción polideportivos (acuerdo 025 de 2024 10%  sobretasa a la gasolina proyectos deporte y recreación)</t>
        </is>
      </c>
      <c r="P295" t="inlineStr">
        <is>
          <t>1.3.3.2.00.11</t>
        </is>
      </c>
      <c r="Q295" t="inlineStr">
        <is>
          <t>R.B. 2024 SOBRETASA A LA GASOLINA</t>
        </is>
      </c>
      <c r="R295" t="n">
        <v>0</v>
      </c>
      <c r="S295" t="n">
        <v>83711467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83711467</v>
      </c>
      <c r="Z295" t="n">
        <v>0</v>
      </c>
      <c r="AA295" t="n">
        <v>0</v>
      </c>
      <c r="AB295" t="n">
        <v>0</v>
      </c>
      <c r="AC295" t="n">
        <v>0</v>
      </c>
      <c r="AD295" t="n">
        <v>83711467</v>
      </c>
      <c r="AE295" t="n">
        <v>0</v>
      </c>
    </row>
    <row r="296">
      <c r="A296" t="inlineStr">
        <is>
          <t>1 - ADMINISTRACIÓN CENTRAL</t>
        </is>
      </c>
      <c r="B296" t="inlineStr">
        <is>
          <t>43 - DEPORTE Y RECREACIÓN</t>
        </is>
      </c>
      <c r="C296" t="inlineStr">
        <is>
          <t>1604</t>
        </is>
      </c>
      <c r="D296" t="inlineStr">
        <is>
          <t>4302</t>
        </is>
      </c>
      <c r="E296" t="inlineStr">
        <is>
          <t>4302064</t>
        </is>
      </c>
      <c r="F296" t="inlineStr">
        <is>
          <t>POLIDEPORTIVOS CONSTRUIDOS</t>
        </is>
      </c>
      <c r="G296" t="inlineStr">
        <is>
          <t>2024548740056</t>
        </is>
      </c>
      <c r="H296" t="inlineStr">
        <is>
          <t>APOYO PARA LA FORMACIÓN Y PREPARACIÓN DE DEPORTISTAS EN EL MUNICIPIO DE VILLA DEL ROSARIO.VILLA DEL ROSARIO UNA CIUDAD POSIBLE</t>
        </is>
      </c>
      <c r="I296" t="inlineStr">
        <is>
          <t>54270</t>
        </is>
      </c>
      <c r="J296" t="inlineStr">
        <is>
          <t>Servicios generales de construcción de instalaciones al aire libre para deportes y esparcimiento</t>
        </is>
      </c>
      <c r="K296" t="inlineStr">
        <is>
          <t>00</t>
        </is>
      </c>
      <c r="L296" t="inlineStr">
        <is>
          <t>SIN ATRIBUTO</t>
        </is>
      </c>
      <c r="N296" t="inlineStr">
        <is>
          <t>2.3.2.02.02.005.43.18</t>
        </is>
      </c>
      <c r="O296" t="inlineStr">
        <is>
          <t>Construcción polideportivos (acuerdo 025 de 2024 10%  sobretasa a la gasolina proyectos deporte y recreación)</t>
        </is>
      </c>
      <c r="P296" t="inlineStr">
        <is>
          <t>1.3.3.2.00.10</t>
        </is>
      </c>
      <c r="Q296" t="inlineStr">
        <is>
          <t>R.B. 2025 SOBRETASA A LA GASOLINA</t>
        </is>
      </c>
      <c r="R296" t="n">
        <v>0</v>
      </c>
      <c r="S296" t="n">
        <v>120961794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120961794</v>
      </c>
      <c r="Z296" t="n">
        <v>0</v>
      </c>
      <c r="AA296" t="n">
        <v>0</v>
      </c>
      <c r="AB296" t="n">
        <v>0</v>
      </c>
      <c r="AC296" t="n">
        <v>0</v>
      </c>
      <c r="AD296" t="n">
        <v>120961794</v>
      </c>
      <c r="AE296" t="n">
        <v>0</v>
      </c>
    </row>
    <row r="297">
      <c r="A297" t="inlineStr">
        <is>
          <t>1 - ADMINISTRACIÓN CENTRAL</t>
        </is>
      </c>
      <c r="B297" t="inlineStr">
        <is>
          <t>43 - DEPORTE Y RECREACIÓN</t>
        </is>
      </c>
      <c r="C297" t="inlineStr">
        <is>
          <t>1604</t>
        </is>
      </c>
      <c r="D297" t="inlineStr">
        <is>
          <t>4302</t>
        </is>
      </c>
      <c r="E297" t="inlineStr">
        <is>
          <t>4302064</t>
        </is>
      </c>
      <c r="F297" t="inlineStr">
        <is>
          <t>POLIDEPORTIVOS CONSTRUIDOS</t>
        </is>
      </c>
      <c r="G297" t="inlineStr">
        <is>
          <t>2024548740056</t>
        </is>
      </c>
      <c r="H297" t="inlineStr">
        <is>
          <t>APOYO PARA LA FORMACIÓN Y PREPARACIÓN DE DEPORTISTAS EN EL MUNICIPIO DE VILLA DEL ROSARIO.VILLA DEL ROSARIO UNA CIUDAD POSIBLE</t>
        </is>
      </c>
      <c r="I297" t="inlineStr">
        <is>
          <t>54270</t>
        </is>
      </c>
      <c r="J297" t="inlineStr">
        <is>
          <t>Servicios generales de construcción de instalaciones al aire libre para deportes y esparcimiento</t>
        </is>
      </c>
      <c r="K297" t="inlineStr">
        <is>
          <t>00</t>
        </is>
      </c>
      <c r="L297" t="inlineStr">
        <is>
          <t>SIN ATRIBUTO</t>
        </is>
      </c>
      <c r="N297" t="inlineStr">
        <is>
          <t>2.3.2.02.02.005.43.19</t>
        </is>
      </c>
      <c r="O297" t="inlineStr">
        <is>
          <t>Construcción polideportivos (acuerdo 025 de 2024 10%  sobretasa a la gasolina proyectos deporte y recreación)</t>
        </is>
      </c>
      <c r="P297" t="inlineStr">
        <is>
          <t>1.3.3.2.00.10</t>
        </is>
      </c>
      <c r="Q297" t="inlineStr">
        <is>
          <t>R.B. 2025 SOBRETASA A LA GASOLINA</t>
        </is>
      </c>
      <c r="R297" t="n">
        <v>0</v>
      </c>
      <c r="S297" t="n">
        <v>24192359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24192359</v>
      </c>
      <c r="Z297" t="n">
        <v>0</v>
      </c>
      <c r="AA297" t="n">
        <v>0</v>
      </c>
      <c r="AB297" t="n">
        <v>0</v>
      </c>
      <c r="AC297" t="n">
        <v>0</v>
      </c>
      <c r="AD297" t="n">
        <v>24192359</v>
      </c>
      <c r="AE297" t="n">
        <v>0</v>
      </c>
    </row>
    <row r="298">
      <c r="A298" t="inlineStr">
        <is>
          <t>1 - ADMINISTRACIÓN CENTRAL</t>
        </is>
      </c>
      <c r="B298" t="inlineStr">
        <is>
          <t>45 - GOBIERNO TERRITORIAL</t>
        </is>
      </c>
      <c r="C298" t="inlineStr">
        <is>
          <t>1000</t>
        </is>
      </c>
      <c r="D298" t="inlineStr">
        <is>
          <t>4503</t>
        </is>
      </c>
      <c r="E298" t="inlineStr">
        <is>
          <t>4503022</t>
        </is>
      </c>
      <c r="F298" t="inlineStr">
        <is>
          <t>OBRAS DE INFRAESTRUCTURA PARA LA REDUCCIÓN DEL RIESGO DE DESASTRES</t>
        </is>
      </c>
      <c r="G298" t="inlineStr">
        <is>
          <t>2024548740025</t>
        </is>
      </c>
      <c r="H298" t="inlineStr">
        <is>
          <t>FORTALECIMIENTO EN LA GESTIÓN DEL RIESGO DE DESASTRES Y EMERGENCIAS EN EL MUNICIPIO DE VILLA DEL ROSARIO. VILLA DEL ROSARIO UNA CIUDAD POSIBLE</t>
        </is>
      </c>
      <c r="I298" t="inlineStr">
        <is>
          <t>54290</t>
        </is>
      </c>
      <c r="J298" t="inlineStr">
        <is>
          <t>Servicios generales de construcción de otras obras de ingeniería civil</t>
        </is>
      </c>
      <c r="K298" t="inlineStr">
        <is>
          <t>00</t>
        </is>
      </c>
      <c r="L298" t="inlineStr">
        <is>
          <t>SIN ATRIBUTO</t>
        </is>
      </c>
      <c r="N298" t="inlineStr">
        <is>
          <t>2.3.2.02.02.005.45.01</t>
        </is>
      </c>
      <c r="O298" t="inlineStr">
        <is>
          <t>Obras de infraestructura para la reducción del riesgo de desastres</t>
        </is>
      </c>
      <c r="P298" t="inlineStr">
        <is>
          <t>1.2.2.0.00.02</t>
        </is>
      </c>
      <c r="Q298" t="inlineStr">
        <is>
          <t>TASA GESTION DEL RIESGO</t>
        </is>
      </c>
      <c r="R298" t="n">
        <v>2250000000</v>
      </c>
      <c r="S298" t="n">
        <v>0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2250000000</v>
      </c>
      <c r="Z298" t="n">
        <v>1556865026</v>
      </c>
      <c r="AA298" t="n">
        <v>0</v>
      </c>
      <c r="AB298" t="n">
        <v>0</v>
      </c>
      <c r="AC298" t="n">
        <v>0</v>
      </c>
      <c r="AD298" t="n">
        <v>2250000000</v>
      </c>
      <c r="AE298" t="n">
        <v>0</v>
      </c>
    </row>
    <row r="299">
      <c r="A299" t="inlineStr">
        <is>
          <t>1 - ADMINISTRACIÓN CENTRAL</t>
        </is>
      </c>
      <c r="B299" t="inlineStr">
        <is>
          <t>45 - GOBIERNO TERRITORIAL</t>
        </is>
      </c>
      <c r="C299" t="inlineStr">
        <is>
          <t>1000</t>
        </is>
      </c>
      <c r="D299" t="inlineStr">
        <is>
          <t>4501</t>
        </is>
      </c>
      <c r="E299" t="inlineStr">
        <is>
          <t>4501029</t>
        </is>
      </c>
      <c r="F299" t="inlineStr">
        <is>
          <t>SERVICIO DE APOYO FINANCIERO PARA PROYECTOS DE CONVIVENCIA Y SEGURIDAD CIUDADANA</t>
        </is>
      </c>
      <c r="G299" t="inlineStr">
        <is>
          <t>2024548740027</t>
        </is>
      </c>
      <c r="H299" t="inlineStr">
        <is>
          <t>FORTALECIMIENTO DE LA CONVIVENCIA Y LA SEGURIDAD CIUDADANA EN EL MUNICIPIO DE VILLA DEL ROSARIO. VILLA DEL ROSARIO UNA CIUDAD POSIBLE</t>
        </is>
      </c>
      <c r="I299" t="inlineStr">
        <is>
          <t>00</t>
        </is>
      </c>
      <c r="J299" t="inlineStr">
        <is>
          <t>SIN PRODUCTO DANE</t>
        </is>
      </c>
      <c r="K299" t="inlineStr">
        <is>
          <t>VIGENCIA FUTURA</t>
        </is>
      </c>
      <c r="L299" t="inlineStr">
        <is>
          <t>VIGENCIA FUTURA</t>
        </is>
      </c>
      <c r="N299" t="inlineStr">
        <is>
          <t>2.3.2.02.02.005.45.02</t>
        </is>
      </c>
      <c r="O299" t="inlineStr">
        <is>
          <t>Estudio,diseño y construcción del centro de convivencia ciudadana PAZ A LO BIEN tipo 1 en el municipio de Villa del Rosario corregimiento de palogordo- Norte de Santander.</t>
        </is>
      </c>
      <c r="P299" t="inlineStr">
        <is>
          <t>1.3.1.1.07.01</t>
        </is>
      </c>
      <c r="Q299" t="inlineStr">
        <is>
          <t>CONVENIOS NACIONALES</t>
        </is>
      </c>
      <c r="R299" t="n">
        <v>0</v>
      </c>
      <c r="S299" t="n">
        <v>2450000000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2450000000</v>
      </c>
      <c r="Z299" t="n">
        <v>2450000000</v>
      </c>
      <c r="AA299" t="n">
        <v>2364361169</v>
      </c>
      <c r="AB299" t="n">
        <v>0</v>
      </c>
      <c r="AC299" t="n">
        <v>0</v>
      </c>
      <c r="AD299" t="n">
        <v>85638831</v>
      </c>
      <c r="AE299" t="n">
        <v>96.5</v>
      </c>
    </row>
    <row r="300">
      <c r="A300" t="inlineStr">
        <is>
          <t>1 - ADMINISTRACIÓN CENTRAL</t>
        </is>
      </c>
      <c r="B300" t="inlineStr">
        <is>
          <t>45 - GOBIERNO TERRITORIAL</t>
        </is>
      </c>
      <c r="C300" t="inlineStr">
        <is>
          <t>1000</t>
        </is>
      </c>
      <c r="D300" t="inlineStr">
        <is>
          <t>4503</t>
        </is>
      </c>
      <c r="E300" t="inlineStr">
        <is>
          <t>4503022</t>
        </is>
      </c>
      <c r="F300" t="inlineStr">
        <is>
          <t>OBRAS DE INFRAESTRUCTURA PARA LA REDUCCIÓN DEL RIESGO DE DESASTRES</t>
        </is>
      </c>
      <c r="G300" t="inlineStr">
        <is>
          <t>2024548740025</t>
        </is>
      </c>
      <c r="H300" t="inlineStr">
        <is>
          <t>FORTALECIMIENTO EN LA GESTIÓN DEL RIESGO DE DESASTRES Y EMERGENCIAS EN EL MUNICIPIO DE VILLA DEL ROSARIO. VILLA DEL ROSARIO UNA CIUDAD POSIBLE</t>
        </is>
      </c>
      <c r="I300" t="inlineStr">
        <is>
          <t>54290</t>
        </is>
      </c>
      <c r="J300" t="inlineStr">
        <is>
          <t>Servicios generales de construcción de otras obras de ingeniería civil</t>
        </is>
      </c>
      <c r="K300" t="inlineStr">
        <is>
          <t>00</t>
        </is>
      </c>
      <c r="L300" t="inlineStr">
        <is>
          <t>SIN ATRIBUTO</t>
        </is>
      </c>
      <c r="N300" t="inlineStr">
        <is>
          <t>2.3.2.02.02.005.45.04</t>
        </is>
      </c>
      <c r="O300" t="inlineStr">
        <is>
          <t>Obras de infraestructura para la reducción del riesgo de desastres</t>
        </is>
      </c>
      <c r="P300" t="inlineStr">
        <is>
          <t>1.3.3.2.00</t>
        </is>
      </c>
      <c r="Q300" t="inlineStr">
        <is>
          <t>RECURSOS DEL BALANCE DE DESTINACION ESPECIFICA POR ACTO ADMINISTRATIVO</t>
        </is>
      </c>
      <c r="R300" t="n">
        <v>0</v>
      </c>
      <c r="S300" t="n">
        <v>68391754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68391754</v>
      </c>
      <c r="Z300" t="n">
        <v>0</v>
      </c>
      <c r="AA300" t="n">
        <v>0</v>
      </c>
      <c r="AB300" t="n">
        <v>0</v>
      </c>
      <c r="AC300" t="n">
        <v>0</v>
      </c>
      <c r="AD300" t="n">
        <v>68391754</v>
      </c>
      <c r="AE300" t="n">
        <v>0</v>
      </c>
    </row>
    <row r="301">
      <c r="A301" t="inlineStr">
        <is>
          <t>1 - ADMINISTRACIÓN CENTRAL</t>
        </is>
      </c>
      <c r="B301" t="inlineStr">
        <is>
          <t>45 - GOBIERNO TERRITORIAL</t>
        </is>
      </c>
      <c r="C301" t="inlineStr">
        <is>
          <t>1000</t>
        </is>
      </c>
      <c r="D301" t="inlineStr">
        <is>
          <t>4503</t>
        </is>
      </c>
      <c r="E301" t="inlineStr">
        <is>
          <t>4503022</t>
        </is>
      </c>
      <c r="F301" t="inlineStr">
        <is>
          <t>OBRAS DE INFRAESTRUCTURA PARA LA REDUCCIÓN DEL RIESGO DE DESASTRES</t>
        </is>
      </c>
      <c r="G301" t="inlineStr">
        <is>
          <t>2024548740025</t>
        </is>
      </c>
      <c r="H301" t="inlineStr">
        <is>
          <t>FORTALECIMIENTO EN LA GESTIÓN DEL RIESGO DE DESASTRES Y EMERGENCIAS EN EL MUNICIPIO DE VILLA DEL ROSARIO. VILLA DEL ROSARIO UNA CIUDAD POSIBLE</t>
        </is>
      </c>
      <c r="I301" t="inlineStr">
        <is>
          <t>54290</t>
        </is>
      </c>
      <c r="J301" t="inlineStr">
        <is>
          <t>Servicios generales de construcción de otras obras de ingeniería civil</t>
        </is>
      </c>
      <c r="K301" t="inlineStr">
        <is>
          <t>00</t>
        </is>
      </c>
      <c r="L301" t="inlineStr">
        <is>
          <t>SIN ATRIBUTO</t>
        </is>
      </c>
      <c r="N301" t="inlineStr">
        <is>
          <t>2.3.2.02.02.005.45.05</t>
        </is>
      </c>
      <c r="O301" t="inlineStr">
        <is>
          <t>Obras de infraestructura para la reducción del riesgo de desastres</t>
        </is>
      </c>
      <c r="P301" t="inlineStr">
        <is>
          <t>1.3.2.3.01.06</t>
        </is>
      </c>
      <c r="Q301" t="inlineStr">
        <is>
          <t>R.F. DISTINTOS AL SGP - GESTION DEL RIESGO</t>
        </is>
      </c>
      <c r="R301" t="n">
        <v>0</v>
      </c>
      <c r="S301" t="n">
        <v>10461000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10461000</v>
      </c>
      <c r="Z301" t="n">
        <v>0</v>
      </c>
      <c r="AA301" t="n">
        <v>0</v>
      </c>
      <c r="AB301" t="n">
        <v>0</v>
      </c>
      <c r="AC301" t="n">
        <v>0</v>
      </c>
      <c r="AD301" t="n">
        <v>10461000</v>
      </c>
      <c r="AE301" t="n">
        <v>0</v>
      </c>
    </row>
    <row r="302">
      <c r="A302" t="inlineStr">
        <is>
          <t>1 - ADMINISTRACIÓN CENTRAL</t>
        </is>
      </c>
      <c r="B302" t="inlineStr">
        <is>
          <t>45 - GOBIERNO TERRITORIAL</t>
        </is>
      </c>
      <c r="C302" t="inlineStr">
        <is>
          <t>1000</t>
        </is>
      </c>
      <c r="D302" t="inlineStr">
        <is>
          <t>4599</t>
        </is>
      </c>
      <c r="E302" t="inlineStr">
        <is>
          <t>4599009</t>
        </is>
      </c>
      <c r="F302" t="inlineStr">
        <is>
          <t>SEDES CONSTRUIDAS</t>
        </is>
      </c>
      <c r="G302" t="inlineStr">
        <is>
          <t>2024548740017</t>
        </is>
      </c>
      <c r="H302" t="inlineStr">
        <is>
          <t>FORTALECIMIENTO A LA GESTION Y DIRECCION DE LA ADMINISTRACION PUBLICA TERRITORIAL EN EL MUNICIPIO DE VILLA DEL ROSARIO</t>
        </is>
      </c>
      <c r="I302" t="inlineStr">
        <is>
          <t>54290</t>
        </is>
      </c>
      <c r="J302" t="inlineStr">
        <is>
          <t>Servicios generales de construcción de otras obras de ingeniería civil</t>
        </is>
      </c>
      <c r="K302" t="inlineStr">
        <is>
          <t>00</t>
        </is>
      </c>
      <c r="L302" t="inlineStr">
        <is>
          <t>SIN ATRIBUTO</t>
        </is>
      </c>
      <c r="N302" t="inlineStr">
        <is>
          <t>2.3.2.02.02.005.45.05</t>
        </is>
      </c>
      <c r="O302" t="inlineStr">
        <is>
          <t>sedes contruidas</t>
        </is>
      </c>
      <c r="P302" t="inlineStr">
        <is>
          <t>1.3.3.8.03</t>
        </is>
      </c>
      <c r="Q302" t="inlineStr">
        <is>
          <t>R.B. SGP-PROPOSITO GENERAL LIBRE INVERSIÓN</t>
        </is>
      </c>
      <c r="R302" t="n">
        <v>0</v>
      </c>
      <c r="S302" t="n">
        <v>300000000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300000000</v>
      </c>
      <c r="Z302" t="n">
        <v>0</v>
      </c>
      <c r="AA302" t="n">
        <v>0</v>
      </c>
      <c r="AB302" t="n">
        <v>0</v>
      </c>
      <c r="AC302" t="n">
        <v>0</v>
      </c>
      <c r="AD302" t="n">
        <v>300000000</v>
      </c>
      <c r="AE302" t="n">
        <v>0</v>
      </c>
    </row>
    <row r="303">
      <c r="A303" t="inlineStr">
        <is>
          <t>1 - ADMINISTRACIÓN CENTRAL</t>
        </is>
      </c>
      <c r="B303" t="inlineStr">
        <is>
          <t>00 - SIN SECTOR</t>
        </is>
      </c>
      <c r="C303" t="inlineStr">
        <is>
          <t>00</t>
        </is>
      </c>
      <c r="D303" t="inlineStr">
        <is>
          <t>0000</t>
        </is>
      </c>
      <c r="E303" t="inlineStr">
        <is>
          <t>0000000</t>
        </is>
      </c>
      <c r="F303" t="inlineStr">
        <is>
          <t>SIN PRODUCTO</t>
        </is>
      </c>
      <c r="G303" t="inlineStr">
        <is>
          <t>00</t>
        </is>
      </c>
      <c r="H303" t="inlineStr">
        <is>
          <t>SIN CODIGO BPIN</t>
        </is>
      </c>
      <c r="I303" t="inlineStr">
        <is>
          <t>00</t>
        </is>
      </c>
      <c r="J303" t="inlineStr">
        <is>
          <t>SIN PRODUCTO DANE</t>
        </is>
      </c>
      <c r="K303" t="inlineStr">
        <is>
          <t>00</t>
        </is>
      </c>
      <c r="L303" t="inlineStr">
        <is>
          <t>SIN ATRIBUTO</t>
        </is>
      </c>
      <c r="N303" t="inlineStr">
        <is>
          <t>2.3.2.02.02.006</t>
        </is>
      </c>
      <c r="O303" t="inlineStr">
        <is>
          <t>Comercio Y Distribucion; Alojamiento; Servicios De Suministro De Comidas Y Bebidas; Servicios De Transporte; Y Servicios De Distribucion De Electricidad, Gas Y Agua</t>
        </is>
      </c>
      <c r="P303" t="inlineStr">
        <is>
          <t>00</t>
        </is>
      </c>
      <c r="Q303" t="inlineStr">
        <is>
          <t>RECURSO PROPIOS</t>
        </is>
      </c>
      <c r="R303" t="n">
        <v>1403098728</v>
      </c>
      <c r="S303" t="n">
        <v>48885998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1451984726</v>
      </c>
      <c r="Z303" t="n">
        <v>1428856476</v>
      </c>
      <c r="AA303" t="n">
        <v>839256200</v>
      </c>
      <c r="AB303" t="n">
        <v>298461200</v>
      </c>
      <c r="AC303" t="n">
        <v>298461200</v>
      </c>
      <c r="AD303" t="n">
        <v>612728526</v>
      </c>
      <c r="AE303" t="n">
        <v>57.8</v>
      </c>
    </row>
    <row r="304">
      <c r="A304" t="inlineStr">
        <is>
          <t>1 - ADMINISTRACIÓN CENTRAL</t>
        </is>
      </c>
      <c r="B304" t="inlineStr">
        <is>
          <t>22 - EDUCACIÓN</t>
        </is>
      </c>
      <c r="C304" t="inlineStr">
        <is>
          <t>0700</t>
        </is>
      </c>
      <c r="D304" t="inlineStr">
        <is>
          <t>2201</t>
        </is>
      </c>
      <c r="E304" t="inlineStr">
        <is>
          <t>2201028</t>
        </is>
      </c>
      <c r="F304" t="inlineStr">
        <is>
          <t>SERVICIO DE APOYO A LA PERMANENCIA CON ALIMENTACIÓN ESCOLAR</t>
        </is>
      </c>
      <c r="G304" t="inlineStr">
        <is>
          <t>2024548740022</t>
        </is>
      </c>
      <c r="H304" t="inlineStr">
        <is>
          <t>FORTALECIMIENTO DE LA CALIDAD Y COBERTURA DE LA EDUCACIÓN INICIAL PREESCOLAR BASICA Y MEDIA EN EL MUNICIPIO DE VILLA DEL ROSARIO.VILLA DEL ROSARIO UNA CIUDAD POSIBLE</t>
        </is>
      </c>
      <c r="I304" t="inlineStr">
        <is>
          <t>63399</t>
        </is>
      </c>
      <c r="J304" t="inlineStr">
        <is>
          <t>Otros servicios de suministro de comidas</t>
        </is>
      </c>
      <c r="K304" t="inlineStr">
        <is>
          <t>00</t>
        </is>
      </c>
      <c r="L304" t="inlineStr">
        <is>
          <t>SIN ATRIBUTO</t>
        </is>
      </c>
      <c r="N304" t="inlineStr">
        <is>
          <t>2.3.2.02.02.006.22.01</t>
        </is>
      </c>
      <c r="O304" t="inlineStr">
        <is>
          <t>Servicio de apoyo a la permanencia con alimentación escolar</t>
        </is>
      </c>
      <c r="P304" t="inlineStr">
        <is>
          <t>1.3.2.2.09</t>
        </is>
      </c>
      <c r="Q304" t="inlineStr">
        <is>
          <t>R.F. SGP - ASIGNACION ESPECIAL-PROGRAMAS DE ALIMENTACION ESCOLAR</t>
        </is>
      </c>
      <c r="R304" t="n">
        <v>100000</v>
      </c>
      <c r="S304" t="n">
        <v>0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100000</v>
      </c>
      <c r="Z304" t="n">
        <v>0</v>
      </c>
      <c r="AA304" t="n">
        <v>0</v>
      </c>
      <c r="AB304" t="n">
        <v>0</v>
      </c>
      <c r="AC304" t="n">
        <v>0</v>
      </c>
      <c r="AD304" t="n">
        <v>100000</v>
      </c>
      <c r="AE304" t="n">
        <v>0</v>
      </c>
    </row>
    <row r="305">
      <c r="A305" t="inlineStr">
        <is>
          <t>1 - ADMINISTRACIÓN CENTRAL</t>
        </is>
      </c>
      <c r="B305" t="inlineStr">
        <is>
          <t>22 - EDUCACIÓN</t>
        </is>
      </c>
      <c r="C305" t="inlineStr">
        <is>
          <t>0700</t>
        </is>
      </c>
      <c r="D305" t="inlineStr">
        <is>
          <t>2201</t>
        </is>
      </c>
      <c r="E305" t="inlineStr">
        <is>
          <t>2201028</t>
        </is>
      </c>
      <c r="F305" t="inlineStr">
        <is>
          <t>SERVICIO DE APOYO A LA PERMANENCIA CON ALIMENTACIÓN ESCOLAR</t>
        </is>
      </c>
      <c r="G305" t="inlineStr">
        <is>
          <t>2024548740022</t>
        </is>
      </c>
      <c r="H305" t="inlineStr">
        <is>
          <t>FORTALECIMIENTO DE LA CALIDAD Y COBERTURA DE LA EDUCACIÓN INICIAL PREESCOLAR BASICA Y MEDIA EN EL MUNICIPIO DE VILLA DEL ROSARIO.VILLA DEL ROSARIO UNA CIUDAD POSIBLE</t>
        </is>
      </c>
      <c r="I305" t="inlineStr">
        <is>
          <t>63399</t>
        </is>
      </c>
      <c r="J305" t="inlineStr">
        <is>
          <t>Otros servicios de suministro de comidas</t>
        </is>
      </c>
      <c r="K305" t="inlineStr">
        <is>
          <t>00</t>
        </is>
      </c>
      <c r="L305" t="inlineStr">
        <is>
          <t>SIN ATRIBUTO</t>
        </is>
      </c>
      <c r="N305" t="inlineStr">
        <is>
          <t>2.3.2.02.02.006.22.02</t>
        </is>
      </c>
      <c r="O305" t="inlineStr">
        <is>
          <t>Servicio de apoyo a la permanencia con alimentación escolar</t>
        </is>
      </c>
      <c r="P305" t="inlineStr">
        <is>
          <t>1.2.4.4.01</t>
        </is>
      </c>
      <c r="Q305" t="inlineStr">
        <is>
          <t>SGP-ASIGNACION ESPECIAL-PROGRAMAS DE ALIMENTACION ESCOLAR</t>
        </is>
      </c>
      <c r="R305" t="n">
        <v>552998728</v>
      </c>
      <c r="S305" t="n">
        <v>33174948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586173676</v>
      </c>
      <c r="Z305" t="n">
        <v>586173676</v>
      </c>
      <c r="AA305" t="n">
        <v>0</v>
      </c>
      <c r="AB305" t="n">
        <v>0</v>
      </c>
      <c r="AC305" t="n">
        <v>0</v>
      </c>
      <c r="AD305" t="n">
        <v>586173676</v>
      </c>
      <c r="AE305" t="n">
        <v>0</v>
      </c>
    </row>
    <row r="306">
      <c r="A306" t="inlineStr">
        <is>
          <t>1 - ADMINISTRACIÓN CENTRAL</t>
        </is>
      </c>
      <c r="B306" t="inlineStr">
        <is>
          <t>22 - EDUCACIÓN</t>
        </is>
      </c>
      <c r="C306" t="inlineStr">
        <is>
          <t>0700</t>
        </is>
      </c>
      <c r="D306" t="inlineStr">
        <is>
          <t>2201</t>
        </is>
      </c>
      <c r="E306" t="inlineStr">
        <is>
          <t>2201029</t>
        </is>
      </c>
      <c r="F306" t="inlineStr">
        <is>
          <t>SERVICIO DE APOYO A LA PERMANENCIA CON TRANSPORTE ESCOLAR</t>
        </is>
      </c>
      <c r="G306" t="inlineStr">
        <is>
          <t>2024548740022</t>
        </is>
      </c>
      <c r="H306" t="inlineStr">
        <is>
          <t>FORTALECIMIENTO DE LA CALIDAD Y COBERTURA DE LA EDUCACIÓN INICIAL PREESCOLAR BASICA Y MEDIA EN EL MUNICIPIO DE VILLA DEL ROSARIO.VILLA DEL ROSARIO UNA CIUDAD POSIBLE</t>
        </is>
      </c>
      <c r="I306" t="inlineStr">
        <is>
          <t>64114</t>
        </is>
      </c>
      <c r="J306" t="inlineStr">
        <is>
          <t>Servicios de transporte terrestre especial local de pasajeros</t>
        </is>
      </c>
      <c r="K306" t="inlineStr">
        <is>
          <t>00</t>
        </is>
      </c>
      <c r="L306" t="inlineStr">
        <is>
          <t>SIN ATRIBUTO</t>
        </is>
      </c>
      <c r="N306" t="inlineStr">
        <is>
          <t>2.3.2.02.02.006.22.03</t>
        </is>
      </c>
      <c r="O306" t="inlineStr">
        <is>
          <t>Servicio de apoyo a la permanencia con transporte escolar</t>
        </is>
      </c>
      <c r="P306" t="inlineStr">
        <is>
          <t>1.2.4.1.03</t>
        </is>
      </c>
      <c r="Q306" t="inlineStr">
        <is>
          <t>SGP-EDUCACION-CALIDAD  POR MATRICULA OFICIAL</t>
        </is>
      </c>
      <c r="R306" t="n">
        <v>156656431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156656431</v>
      </c>
      <c r="Z306" t="n">
        <v>156656431</v>
      </c>
      <c r="AA306" t="n">
        <v>156656431</v>
      </c>
      <c r="AB306" t="n">
        <v>104670000</v>
      </c>
      <c r="AC306" t="n">
        <v>104670000</v>
      </c>
      <c r="AD306" t="n">
        <v>0</v>
      </c>
      <c r="AE306" t="n">
        <v>100</v>
      </c>
    </row>
    <row r="307">
      <c r="A307" t="inlineStr">
        <is>
          <t>1 - ADMINISTRACIÓN CENTRAL</t>
        </is>
      </c>
      <c r="B307" t="inlineStr">
        <is>
          <t>22 - EDUCACIÓN</t>
        </is>
      </c>
      <c r="C307" t="inlineStr">
        <is>
          <t>0700</t>
        </is>
      </c>
      <c r="D307" t="inlineStr">
        <is>
          <t>2201</t>
        </is>
      </c>
      <c r="E307" t="inlineStr">
        <is>
          <t>2201029</t>
        </is>
      </c>
      <c r="F307" t="inlineStr">
        <is>
          <t>SERVICIO DE APOYO A LA PERMANENCIA CON TRANSPORTE ESCOLAR</t>
        </is>
      </c>
      <c r="G307" t="inlineStr">
        <is>
          <t>2024548740022</t>
        </is>
      </c>
      <c r="H307" t="inlineStr">
        <is>
          <t>FORTALECIMIENTO DE LA CALIDAD Y COBERTURA DE LA EDUCACIÓN INICIAL PREESCOLAR BASICA Y MEDIA EN EL MUNICIPIO DE VILLA DEL ROSARIO.VILLA DEL ROSARIO UNA CIUDAD POSIBLE</t>
        </is>
      </c>
      <c r="I307" t="inlineStr">
        <is>
          <t>64114</t>
        </is>
      </c>
      <c r="J307" t="inlineStr">
        <is>
          <t>Servicios de transporte terrestre especial local de pasajeros</t>
        </is>
      </c>
      <c r="K307" t="inlineStr">
        <is>
          <t>00</t>
        </is>
      </c>
      <c r="L307" t="inlineStr">
        <is>
          <t>SIN ATRIBUTO</t>
        </is>
      </c>
      <c r="N307" t="inlineStr">
        <is>
          <t>2.3.2.02.02.006.22.04</t>
        </is>
      </c>
      <c r="O307" t="inlineStr">
        <is>
          <t>Servicio de apoyo a la permanencia con transporte escolar</t>
        </is>
      </c>
      <c r="P307" t="inlineStr">
        <is>
          <t>1.2.4.3.03</t>
        </is>
      </c>
      <c r="Q307" t="inlineStr">
        <is>
          <t>SGP-PROPOSITO GENERAL-PROPOSITO GENERAL LIBRE INVERSION</t>
        </is>
      </c>
      <c r="R307" t="n">
        <v>693343569</v>
      </c>
      <c r="S307" t="n">
        <v>0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693343569</v>
      </c>
      <c r="Z307" t="n">
        <v>686026369</v>
      </c>
      <c r="AA307" t="n">
        <v>682599769</v>
      </c>
      <c r="AB307" t="n">
        <v>193791200</v>
      </c>
      <c r="AC307" t="n">
        <v>193791200</v>
      </c>
      <c r="AD307" t="n">
        <v>10743800</v>
      </c>
      <c r="AE307" t="n">
        <v>98.45</v>
      </c>
    </row>
    <row r="308">
      <c r="A308" t="inlineStr">
        <is>
          <t>1 - ADMINISTRACIÓN CENTRAL</t>
        </is>
      </c>
      <c r="B308" t="inlineStr">
        <is>
          <t>22 - EDUCACIÓN</t>
        </is>
      </c>
      <c r="C308" t="inlineStr">
        <is>
          <t>0700</t>
        </is>
      </c>
      <c r="D308" t="inlineStr">
        <is>
          <t>2201</t>
        </is>
      </c>
      <c r="E308" t="inlineStr">
        <is>
          <t>2201028</t>
        </is>
      </c>
      <c r="F308" t="inlineStr">
        <is>
          <t>SERVICIO DE APOYO A LA PERMANENCIA CON ALIMENTACIÓN ESCOLAR</t>
        </is>
      </c>
      <c r="G308" t="inlineStr">
        <is>
          <t>2024548740022</t>
        </is>
      </c>
      <c r="H308" t="inlineStr">
        <is>
          <t>FORTALECIMIENTO DE LA CALIDAD Y COBERTURA DE LA EDUCACIÓN INICIAL PREESCOLAR BASICA Y MEDIA EN EL MUNICIPIO DE VILLA DEL ROSARIO.VILLA DEL ROSARIO UNA CIUDAD POSIBLE</t>
        </is>
      </c>
      <c r="I308" t="inlineStr">
        <is>
          <t>63399</t>
        </is>
      </c>
      <c r="J308" t="inlineStr">
        <is>
          <t>Otros servicios de suministro de comidas</t>
        </is>
      </c>
      <c r="K308" t="inlineStr">
        <is>
          <t>00</t>
        </is>
      </c>
      <c r="L308" t="inlineStr">
        <is>
          <t>SIN ATRIBUTO</t>
        </is>
      </c>
      <c r="N308" t="inlineStr">
        <is>
          <t>2.3.2.02.02.006.22.05</t>
        </is>
      </c>
      <c r="O308" t="inlineStr">
        <is>
          <t>Servicio de apoyo a la permanencia con alimentación escolar</t>
        </is>
      </c>
      <c r="P308" t="inlineStr">
        <is>
          <t>1.3.3.9.01</t>
        </is>
      </c>
      <c r="Q308" t="inlineStr">
        <is>
          <t>R.B. SGP - ASIGNACIÓN ESPECIAL PROGRAMAS DE ALIMENTACIÓN ESCOLAR</t>
        </is>
      </c>
      <c r="R308" t="n">
        <v>0</v>
      </c>
      <c r="S308" t="n">
        <v>15711050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15711050</v>
      </c>
      <c r="Z308" t="n">
        <v>0</v>
      </c>
      <c r="AA308" t="n">
        <v>0</v>
      </c>
      <c r="AB308" t="n">
        <v>0</v>
      </c>
      <c r="AC308" t="n">
        <v>0</v>
      </c>
      <c r="AD308" t="n">
        <v>15711050</v>
      </c>
      <c r="AE308" t="n">
        <v>0</v>
      </c>
    </row>
    <row r="309">
      <c r="A309" t="inlineStr">
        <is>
          <t>1 - ADMINISTRACIÓN CENTRAL</t>
        </is>
      </c>
      <c r="B309" t="inlineStr">
        <is>
          <t>00 - SIN SECTOR</t>
        </is>
      </c>
      <c r="C309" t="inlineStr">
        <is>
          <t>00</t>
        </is>
      </c>
      <c r="D309" t="inlineStr">
        <is>
          <t>0000</t>
        </is>
      </c>
      <c r="E309" t="inlineStr">
        <is>
          <t>0000000</t>
        </is>
      </c>
      <c r="F309" t="inlineStr">
        <is>
          <t>SIN PRODUCTO</t>
        </is>
      </c>
      <c r="G309" t="inlineStr">
        <is>
          <t>00</t>
        </is>
      </c>
      <c r="H309" t="inlineStr">
        <is>
          <t>SIN CODIGO BPIN</t>
        </is>
      </c>
      <c r="I309" t="inlineStr">
        <is>
          <t>00</t>
        </is>
      </c>
      <c r="J309" t="inlineStr">
        <is>
          <t>SIN PRODUCTO DANE</t>
        </is>
      </c>
      <c r="K309" t="inlineStr">
        <is>
          <t>00</t>
        </is>
      </c>
      <c r="L309" t="inlineStr">
        <is>
          <t>SIN ATRIBUTO</t>
        </is>
      </c>
      <c r="N309" t="inlineStr">
        <is>
          <t>2.3.2.02.02.008</t>
        </is>
      </c>
      <c r="O309" t="inlineStr">
        <is>
          <t xml:space="preserve">Servicios Prestados A Las Empresas Y Servicios De Produccion </t>
        </is>
      </c>
      <c r="P309" t="inlineStr">
        <is>
          <t>00</t>
        </is>
      </c>
      <c r="Q309" t="inlineStr">
        <is>
          <t>RECURSO PROPIOS</t>
        </is>
      </c>
      <c r="R309" t="n">
        <v>1100000000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1100000000</v>
      </c>
      <c r="Z309" t="n">
        <v>198389054</v>
      </c>
      <c r="AA309" t="n">
        <v>198389054</v>
      </c>
      <c r="AB309" t="n">
        <v>198389054</v>
      </c>
      <c r="AC309" t="n">
        <v>198389054</v>
      </c>
      <c r="AD309" t="n">
        <v>901610946</v>
      </c>
      <c r="AE309" t="n">
        <v>18.04</v>
      </c>
    </row>
    <row r="310">
      <c r="A310" t="inlineStr">
        <is>
          <t>1 - ADMINISTRACIÓN CENTRAL</t>
        </is>
      </c>
      <c r="B310" t="inlineStr">
        <is>
          <t>21 - MINAS Y ENERGÍA</t>
        </is>
      </c>
      <c r="C310" t="inlineStr">
        <is>
          <t>1900</t>
        </is>
      </c>
      <c r="D310" t="inlineStr">
        <is>
          <t>2102</t>
        </is>
      </c>
      <c r="E310" t="inlineStr">
        <is>
          <t>2102011</t>
        </is>
      </c>
      <c r="F310" t="inlineStr">
        <is>
          <t>REDES DE ALUMBRADO PÚBLICO CON MANTENIMIENTO</t>
        </is>
      </c>
      <c r="G310" t="inlineStr">
        <is>
          <t>2024548740043</t>
        </is>
      </c>
      <c r="H310" t="inlineStr">
        <is>
          <t>APOYO A LA CONSOLIDACIÓN PRODUCTIVA DEL SECTOR DE ENERGIA ELECTRICA EN EL MUNICIPIO DE VILLA DEL ROSARIO.VILLA DEL ROSARIO UNA CIUDAD POSIBLE</t>
        </is>
      </c>
      <c r="I310" t="inlineStr">
        <is>
          <t>83324</t>
        </is>
      </c>
      <c r="J310" t="inlineStr">
        <is>
          <t>Servicios de ingeniería en proyectos energéticos</t>
        </is>
      </c>
      <c r="K310" t="inlineStr">
        <is>
          <t>00</t>
        </is>
      </c>
      <c r="L310" t="inlineStr">
        <is>
          <t>SIN ATRIBUTO</t>
        </is>
      </c>
      <c r="N310" t="inlineStr">
        <is>
          <t>2.3.2.02.02.008.21.01</t>
        </is>
      </c>
      <c r="O310" t="inlineStr">
        <is>
          <t>Interventoria del Servicio de alumbrado público</t>
        </is>
      </c>
      <c r="P310" t="inlineStr">
        <is>
          <t>1.2.3.1.05</t>
        </is>
      </c>
      <c r="Q310" t="inlineStr">
        <is>
          <t>IMPUESTO - SOBRETASA POR EL ALUMBRADO PUBLICO</t>
        </is>
      </c>
      <c r="R310" t="n">
        <v>800000000</v>
      </c>
      <c r="S310" t="n">
        <v>0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800000000</v>
      </c>
      <c r="Z310" t="n">
        <v>198389054</v>
      </c>
      <c r="AA310" t="n">
        <v>198389054</v>
      </c>
      <c r="AB310" t="n">
        <v>198389054</v>
      </c>
      <c r="AC310" t="n">
        <v>198389054</v>
      </c>
      <c r="AD310" t="n">
        <v>601610946</v>
      </c>
      <c r="AE310" t="n">
        <v>24.8</v>
      </c>
    </row>
    <row r="311">
      <c r="A311" t="inlineStr">
        <is>
          <t>1 - ADMINISTRACIÓN CENTRAL</t>
        </is>
      </c>
      <c r="B311" t="inlineStr">
        <is>
          <t>24 - TRANSPORTE</t>
        </is>
      </c>
      <c r="C311" t="inlineStr">
        <is>
          <t>0600</t>
        </is>
      </c>
      <c r="D311" t="inlineStr">
        <is>
          <t>2402</t>
        </is>
      </c>
      <c r="E311" t="inlineStr">
        <is>
          <t>2402118</t>
        </is>
      </c>
      <c r="F311" t="inlineStr">
        <is>
          <t>ESTUDIOS DE PREINVERSIÓN PARA LA RED VIAL REGIONAL</t>
        </is>
      </c>
      <c r="G311" t="inlineStr">
        <is>
          <t>2024548740038</t>
        </is>
      </c>
      <c r="H311" t="inlineStr">
        <is>
          <t>MODERNIZACIÓN DE LA INFRAESTRUCTURA VIAL MUNICIPAL URBANA Y RURAL EN EL MUNICIPIO DE VILLA DEL ROSARIO VILLA DEL ROSARIO UNA CIUDAD POSIBLE</t>
        </is>
      </c>
      <c r="I311" t="inlineStr">
        <is>
          <t>83939</t>
        </is>
      </c>
      <c r="J311" t="inlineStr">
        <is>
          <t>Otros servicios de consultoría científica y técnica n.c.p.</t>
        </is>
      </c>
      <c r="K311" t="inlineStr">
        <is>
          <t>00</t>
        </is>
      </c>
      <c r="L311" t="inlineStr">
        <is>
          <t>SIN ATRIBUTO</t>
        </is>
      </c>
      <c r="N311" t="inlineStr">
        <is>
          <t>2.3.2.02.02.008.24.04</t>
        </is>
      </c>
      <c r="O311" t="inlineStr">
        <is>
          <t>Estudios de preinversión para la red vial regional</t>
        </is>
      </c>
      <c r="P311" t="inlineStr">
        <is>
          <t>1.2.3.1.03</t>
        </is>
      </c>
      <c r="Q311" t="inlineStr">
        <is>
          <t>IMPUESTO SOBRE VEHICULOS AUTOMOTORES CON DESTINACION ESPECIFICA LEGAL</t>
        </is>
      </c>
      <c r="R311" t="n">
        <v>300000000</v>
      </c>
      <c r="S311" t="n">
        <v>0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300000000</v>
      </c>
      <c r="Z311" t="n">
        <v>0</v>
      </c>
      <c r="AA311" t="n">
        <v>0</v>
      </c>
      <c r="AB311" t="n">
        <v>0</v>
      </c>
      <c r="AC311" t="n">
        <v>0</v>
      </c>
      <c r="AD311" t="n">
        <v>300000000</v>
      </c>
      <c r="AE311" t="n">
        <v>0</v>
      </c>
    </row>
    <row r="312">
      <c r="A312" t="inlineStr">
        <is>
          <t>1 - ADMINISTRACIÓN CENTRAL</t>
        </is>
      </c>
      <c r="B312" t="inlineStr">
        <is>
          <t>00 - SIN SECTOR</t>
        </is>
      </c>
      <c r="C312" t="inlineStr">
        <is>
          <t>00</t>
        </is>
      </c>
      <c r="D312" t="inlineStr">
        <is>
          <t>0000</t>
        </is>
      </c>
      <c r="E312" t="inlineStr">
        <is>
          <t>0000000</t>
        </is>
      </c>
      <c r="F312" t="inlineStr">
        <is>
          <t>SIN PRODUCTO</t>
        </is>
      </c>
      <c r="G312" t="inlineStr">
        <is>
          <t>00</t>
        </is>
      </c>
      <c r="H312" t="inlineStr">
        <is>
          <t>SIN CODIGO BPIN</t>
        </is>
      </c>
      <c r="I312" t="inlineStr">
        <is>
          <t>00</t>
        </is>
      </c>
      <c r="J312" t="inlineStr">
        <is>
          <t>SIN PRODUCTO DANE</t>
        </is>
      </c>
      <c r="K312" t="inlineStr">
        <is>
          <t>00</t>
        </is>
      </c>
      <c r="L312" t="inlineStr">
        <is>
          <t>SIN ATRIBUTO</t>
        </is>
      </c>
      <c r="N312" t="inlineStr">
        <is>
          <t>2.3.2.02.02.009</t>
        </is>
      </c>
      <c r="O312" t="inlineStr">
        <is>
          <t>Servicios Para La Comunidad, Sociales Y Personales</t>
        </is>
      </c>
      <c r="P312" t="inlineStr">
        <is>
          <t>00</t>
        </is>
      </c>
      <c r="Q312" t="inlineStr">
        <is>
          <t>RECURSO PROPIOS</t>
        </is>
      </c>
      <c r="R312" t="n">
        <v>24555038330</v>
      </c>
      <c r="S312" t="n">
        <v>2353818991.42</v>
      </c>
      <c r="T312" t="n">
        <v>0</v>
      </c>
      <c r="U312" t="n">
        <v>100000000</v>
      </c>
      <c r="V312" t="n">
        <v>1069200000</v>
      </c>
      <c r="W312" t="n">
        <v>0</v>
      </c>
      <c r="X312" t="n">
        <v>0</v>
      </c>
      <c r="Y312" t="n">
        <v>25939657321.42</v>
      </c>
      <c r="Z312" t="n">
        <v>12393425512</v>
      </c>
      <c r="AA312" t="n">
        <v>12087158619</v>
      </c>
      <c r="AB312" t="n">
        <v>10596208460</v>
      </c>
      <c r="AC312" t="n">
        <v>10531508460</v>
      </c>
      <c r="AD312" t="n">
        <v>13852498702.42</v>
      </c>
      <c r="AE312" t="n">
        <v>46.6</v>
      </c>
    </row>
    <row r="313">
      <c r="A313" t="inlineStr">
        <is>
          <t>1 - ADMINISTRACIÓN CENTRAL</t>
        </is>
      </c>
      <c r="B313" t="inlineStr">
        <is>
          <t>04 - INFORMACIÓN ESTADÍSTICA</t>
        </is>
      </c>
      <c r="C313" t="inlineStr">
        <is>
          <t>1003</t>
        </is>
      </c>
      <c r="D313" t="inlineStr">
        <is>
          <t>0401</t>
        </is>
      </c>
      <c r="E313" t="inlineStr">
        <is>
          <t>0401105</t>
        </is>
      </c>
      <c r="F313" t="inlineStr">
        <is>
          <t>SERVICIO DE ESTRATIFICACION SOCIOECONOMICA</t>
        </is>
      </c>
      <c r="G313" t="inlineStr">
        <is>
          <t>2024548740030</t>
        </is>
      </c>
      <c r="H313" t="inlineStr">
        <is>
          <t>SERVICIOS DE LEVANTAMIENTO Y ACTUALIZACION DE LA INFORMACION ESTADISTICA DE CALIDAD. VILLA DEL ROSARIO UNA CIUDAD POSIBLE</t>
        </is>
      </c>
      <c r="I313" t="inlineStr">
        <is>
          <t>91119</t>
        </is>
      </c>
      <c r="J313" t="inlineStr">
        <is>
          <t>Otros servicios de la administración pública n.c.p.</t>
        </is>
      </c>
      <c r="K313" t="inlineStr">
        <is>
          <t>00</t>
        </is>
      </c>
      <c r="L313" t="inlineStr">
        <is>
          <t>SIN ATRIBUTO</t>
        </is>
      </c>
      <c r="N313" t="inlineStr">
        <is>
          <t>2.3.2.02.02.009.04.01</t>
        </is>
      </c>
      <c r="O313" t="inlineStr">
        <is>
          <t>Servicio de estratificación socioeconómica</t>
        </is>
      </c>
      <c r="P313" t="inlineStr">
        <is>
          <t>1.2.3.2.09.02</t>
        </is>
      </c>
      <c r="Q313" t="inlineStr">
        <is>
          <t>CONCURSO ECONOMICO ESTRATIFICACION</t>
        </is>
      </c>
      <c r="R313" t="n">
        <v>189720000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189720000</v>
      </c>
      <c r="Z313" t="n">
        <v>10500000</v>
      </c>
      <c r="AA313" t="n">
        <v>10500000</v>
      </c>
      <c r="AB313" t="n">
        <v>10500000</v>
      </c>
      <c r="AC313" t="n">
        <v>10500000</v>
      </c>
      <c r="AD313" t="n">
        <v>179220000</v>
      </c>
      <c r="AE313" t="n">
        <v>5.53</v>
      </c>
    </row>
    <row r="314">
      <c r="A314" t="inlineStr">
        <is>
          <t>1 - ADMINISTRACIÓN CENTRAL</t>
        </is>
      </c>
      <c r="B314" t="inlineStr">
        <is>
          <t>04 - INFORMACIÓN ESTADÍSTICA</t>
        </is>
      </c>
      <c r="C314" t="inlineStr">
        <is>
          <t>1003</t>
        </is>
      </c>
      <c r="D314" t="inlineStr">
        <is>
          <t>0401</t>
        </is>
      </c>
      <c r="E314" t="inlineStr">
        <is>
          <t>0401105</t>
        </is>
      </c>
      <c r="F314" t="inlineStr">
        <is>
          <t>SERVICIO DE ESTRATIFICACION SOCIOECONOMICA</t>
        </is>
      </c>
      <c r="G314" t="inlineStr">
        <is>
          <t>2024548740030</t>
        </is>
      </c>
      <c r="H314" t="inlineStr">
        <is>
          <t>SERVICIOS DE LEVANTAMIENTO Y ACTUALIZACION DE LA INFORMACION ESTADISTICA DE CALIDAD. VILLA DEL ROSARIO UNA CIUDAD POSIBLE</t>
        </is>
      </c>
      <c r="I314" t="inlineStr">
        <is>
          <t>91119</t>
        </is>
      </c>
      <c r="J314" t="inlineStr">
        <is>
          <t>Otros servicios de la administración pública n.c.p.</t>
        </is>
      </c>
      <c r="K314" t="inlineStr">
        <is>
          <t>00</t>
        </is>
      </c>
      <c r="L314" t="inlineStr">
        <is>
          <t>SIN ATRIBUTO</t>
        </is>
      </c>
      <c r="N314" t="inlineStr">
        <is>
          <t>2.3.2.02.02.009.04.02</t>
        </is>
      </c>
      <c r="O314" t="inlineStr">
        <is>
          <t>Servicio de estratificación socioeconómica</t>
        </is>
      </c>
      <c r="P314" t="inlineStr">
        <is>
          <t>1.2.1.0.00</t>
        </is>
      </c>
      <c r="Q314" t="inlineStr">
        <is>
          <t>INGRESOS CORRIENTES DE LIBRE DESTINACION</t>
        </is>
      </c>
      <c r="R314" t="n">
        <v>37944000</v>
      </c>
      <c r="S314" t="n">
        <v>0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37944000</v>
      </c>
      <c r="Z314" t="n">
        <v>0</v>
      </c>
      <c r="AA314" t="n">
        <v>0</v>
      </c>
      <c r="AB314" t="n">
        <v>0</v>
      </c>
      <c r="AC314" t="n">
        <v>0</v>
      </c>
      <c r="AD314" t="n">
        <v>37944000</v>
      </c>
      <c r="AE314" t="n">
        <v>0</v>
      </c>
    </row>
    <row r="315">
      <c r="A315" t="inlineStr">
        <is>
          <t>1 - ADMINISTRACIÓN CENTRAL</t>
        </is>
      </c>
      <c r="B315" t="inlineStr">
        <is>
          <t>04 - INFORMACIÓN ESTADÍSTICA</t>
        </is>
      </c>
      <c r="C315" t="inlineStr">
        <is>
          <t>1003</t>
        </is>
      </c>
      <c r="D315" t="inlineStr">
        <is>
          <t>0401</t>
        </is>
      </c>
      <c r="E315" t="inlineStr">
        <is>
          <t>0401105</t>
        </is>
      </c>
      <c r="F315" t="inlineStr">
        <is>
          <t>SERVICIO DE ESTRATIFICACION SOCIOECONOMICA</t>
        </is>
      </c>
      <c r="G315" t="inlineStr">
        <is>
          <t>2024548740030</t>
        </is>
      </c>
      <c r="H315" t="inlineStr">
        <is>
          <t>SERVICIOS DE LEVANTAMIENTO Y ACTUALIZACION DE LA INFORMACION ESTADISTICA DE CALIDAD. VILLA DEL ROSARIO UNA CIUDAD POSIBLE</t>
        </is>
      </c>
      <c r="I315" t="inlineStr">
        <is>
          <t>91119</t>
        </is>
      </c>
      <c r="J315" t="inlineStr">
        <is>
          <t>Otros servicios de la administración pública n.c.p.</t>
        </is>
      </c>
      <c r="K315" t="inlineStr">
        <is>
          <t>00</t>
        </is>
      </c>
      <c r="L315" t="inlineStr">
        <is>
          <t>SIN ATRIBUTO</t>
        </is>
      </c>
      <c r="N315" t="inlineStr">
        <is>
          <t>2.3.2.02.02.009.04.03</t>
        </is>
      </c>
      <c r="O315" t="inlineStr">
        <is>
          <t>Servicio de estratificación socioeconómica</t>
        </is>
      </c>
      <c r="P315" t="inlineStr">
        <is>
          <t>1.3.2.3.11.33</t>
        </is>
      </c>
      <c r="Q315" t="inlineStr">
        <is>
          <t>OTROS RENDIMIENTOS FINANCIEROS - COMITE PERMANENTE DE ESTRATIFICACIÓN</t>
        </is>
      </c>
      <c r="R315" t="n">
        <v>50000</v>
      </c>
      <c r="S315" t="n">
        <v>160345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210345</v>
      </c>
      <c r="Z315" t="n">
        <v>0</v>
      </c>
      <c r="AA315" t="n">
        <v>0</v>
      </c>
      <c r="AB315" t="n">
        <v>0</v>
      </c>
      <c r="AC315" t="n">
        <v>0</v>
      </c>
      <c r="AD315" t="n">
        <v>210345</v>
      </c>
      <c r="AE315" t="n">
        <v>0</v>
      </c>
    </row>
    <row r="316">
      <c r="A316" t="inlineStr">
        <is>
          <t>1 - ADMINISTRACIÓN CENTRAL</t>
        </is>
      </c>
      <c r="B316" t="inlineStr">
        <is>
          <t>17 - AGRICULTURA Y DESARROLLO RURAL</t>
        </is>
      </c>
      <c r="C316" t="inlineStr">
        <is>
          <t>1100</t>
        </is>
      </c>
      <c r="D316" t="inlineStr">
        <is>
          <t>1708</t>
        </is>
      </c>
      <c r="E316" t="inlineStr">
        <is>
          <t>1708041</t>
        </is>
      </c>
      <c r="F316" t="inlineStr">
        <is>
          <t>SERVICIO DE EXTENSIÓN AGROPECUARIA</t>
        </is>
      </c>
      <c r="G316" t="inlineStr">
        <is>
          <t>2024548740039</t>
        </is>
      </c>
      <c r="H316" t="inlineStr">
        <is>
          <t>FORTALECIMIENTO DE LA CIENCIA TECNOLOGÍA E INNOVACIÓN AGROPECUARIA VILLA DEL ROSARIO UNA CIUDAD POSIBLE EN EL MUNICIPIO DE VILLA DEL ROSARIO</t>
        </is>
      </c>
      <c r="I316" t="inlineStr">
        <is>
          <t>91131</t>
        </is>
      </c>
      <c r="J316" t="inlineStr">
        <is>
          <t>Servicios de la administración pública relacionados con la agricultura, silvicultura, pesca y caza</t>
        </is>
      </c>
      <c r="K316" t="inlineStr">
        <is>
          <t>00</t>
        </is>
      </c>
      <c r="L316" t="inlineStr">
        <is>
          <t>SIN ATRIBUTO</t>
        </is>
      </c>
      <c r="N316" t="inlineStr">
        <is>
          <t>2.3.2.02.02.009.17.01</t>
        </is>
      </c>
      <c r="O316" t="inlineStr">
        <is>
          <t>Servicio de extensión agropecuaria</t>
        </is>
      </c>
      <c r="P316" t="inlineStr">
        <is>
          <t>1.2.2.0.00.00</t>
        </is>
      </c>
      <c r="Q316" t="inlineStr">
        <is>
          <t>50% SOBRETASA A LA GASOLINA PROYECTOS PLAN DE DESARROLLO 2024-2027</t>
        </is>
      </c>
      <c r="R316" t="n">
        <v>65000000</v>
      </c>
      <c r="S316" t="n">
        <v>0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65000000</v>
      </c>
      <c r="Z316" t="n">
        <v>0</v>
      </c>
      <c r="AA316" t="n">
        <v>0</v>
      </c>
      <c r="AB316" t="n">
        <v>0</v>
      </c>
      <c r="AC316" t="n">
        <v>0</v>
      </c>
      <c r="AD316" t="n">
        <v>65000000</v>
      </c>
      <c r="AE316" t="n">
        <v>0</v>
      </c>
    </row>
    <row r="317">
      <c r="A317" t="inlineStr">
        <is>
          <t>1 - ADMINISTRACIÓN CENTRAL</t>
        </is>
      </c>
      <c r="B317" t="inlineStr">
        <is>
          <t>17 - AGRICULTURA Y DESARROLLO RURAL</t>
        </is>
      </c>
      <c r="C317" t="inlineStr">
        <is>
          <t>1100</t>
        </is>
      </c>
      <c r="D317" t="inlineStr">
        <is>
          <t>1709</t>
        </is>
      </c>
      <c r="E317" t="inlineStr">
        <is>
          <t>1709105</t>
        </is>
      </c>
      <c r="F317" t="inlineStr">
        <is>
          <t>SERVICIO DE APOYO A LA PRODUCCIÓN DE LAS CADENAS AGRÍCOLAS, FORESTALES, PECUARIAS, PESQUERAS Y ACUÍCOLAS</t>
        </is>
      </c>
      <c r="G317" t="inlineStr">
        <is>
          <t>2024548740049</t>
        </is>
      </c>
      <c r="H317" t="inlineStr">
        <is>
          <t>"FORTALECIMIENTO DE LA INFRAESTRUCTURA PRODUCTIVA Y COMERCIALIZACIÓN DE PRODUCTOS AGROPECUARIOS VILLA DEL ROSARIO UNA CIUDAD POSIBLE EN EL
MUNICIPIO DE VILLA DEL ROSARIO"</t>
        </is>
      </c>
      <c r="I317" t="inlineStr">
        <is>
          <t>91131</t>
        </is>
      </c>
      <c r="J317" t="inlineStr">
        <is>
          <t>Servicios de la administración pública relacionados con la agricultura, silvicultura, pesca y caza</t>
        </is>
      </c>
      <c r="K317" t="inlineStr">
        <is>
          <t>00</t>
        </is>
      </c>
      <c r="L317" t="inlineStr">
        <is>
          <t>SIN ATRIBUTO</t>
        </is>
      </c>
      <c r="N317" t="inlineStr">
        <is>
          <t>2.3.2.02.02.009.17.02</t>
        </is>
      </c>
      <c r="O317" t="inlineStr">
        <is>
          <t>Servicio de apoyo a la producción de las cadenas agrícolas, forestales, pecuarias, pesqueras y acuícolas</t>
        </is>
      </c>
      <c r="P317" t="inlineStr">
        <is>
          <t>1.2.2.0.00.00</t>
        </is>
      </c>
      <c r="Q317" t="inlineStr">
        <is>
          <t>50% SOBRETASA A LA GASOLINA PROYECTOS PLAN DE DESARROLLO 2024-2027</t>
        </is>
      </c>
      <c r="R317" t="n">
        <v>50000000</v>
      </c>
      <c r="S317" t="n">
        <v>0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50000000</v>
      </c>
      <c r="Z317" t="n">
        <v>0</v>
      </c>
      <c r="AA317" t="n">
        <v>0</v>
      </c>
      <c r="AB317" t="n">
        <v>0</v>
      </c>
      <c r="AC317" t="n">
        <v>0</v>
      </c>
      <c r="AD317" t="n">
        <v>50000000</v>
      </c>
      <c r="AE317" t="n">
        <v>0</v>
      </c>
    </row>
    <row r="318">
      <c r="A318" t="inlineStr">
        <is>
          <t>1 - ADMINISTRACIÓN CENTRAL</t>
        </is>
      </c>
      <c r="B318" t="inlineStr">
        <is>
          <t>17 - AGRICULTURA Y DESARROLLO RURAL</t>
        </is>
      </c>
      <c r="C318" t="inlineStr">
        <is>
          <t>1100</t>
        </is>
      </c>
      <c r="D318" t="inlineStr">
        <is>
          <t>1702</t>
        </is>
      </c>
      <c r="E318" t="inlineStr">
        <is>
          <t>1702037</t>
        </is>
      </c>
      <c r="F318" t="inlineStr">
        <is>
          <t>SERVICIO DE FORTALECIMIENTO DE CAPACIDADES LOCALES</t>
        </is>
      </c>
      <c r="G318" t="inlineStr">
        <is>
          <t>2024548740020</t>
        </is>
      </c>
      <c r="H318" t="inlineStr">
        <is>
          <t>FORTALECIMIENTO EN LA INCLUSIÓN PRODUCTIVA DE PEQUEÑOS PRODUCTORES RURALES EN EL MUNICIPIO DE VILLA DEL ROSARIO.VILLA DEL ROSARIO UNA CIUDAD POSIBLE</t>
        </is>
      </c>
      <c r="I318" t="inlineStr">
        <is>
          <t>91131</t>
        </is>
      </c>
      <c r="J318" t="inlineStr">
        <is>
          <t>Servicios de la administración pública relacionados con la agricultura, silvicultura, pesca y caza</t>
        </is>
      </c>
      <c r="K318" t="inlineStr">
        <is>
          <t>00</t>
        </is>
      </c>
      <c r="L318" t="inlineStr">
        <is>
          <t>SIN ATRIBUTO</t>
        </is>
      </c>
      <c r="N318" t="inlineStr">
        <is>
          <t>2.3.2.02.02.009.17.03</t>
        </is>
      </c>
      <c r="O318" t="inlineStr">
        <is>
          <t>Servicio de fortalecimiento de capacidades locales</t>
        </is>
      </c>
      <c r="P318" t="inlineStr">
        <is>
          <t>1.2.2.0.00.00</t>
        </is>
      </c>
      <c r="Q318" t="inlineStr">
        <is>
          <t>50% SOBRETASA A LA GASOLINA PROYECTOS PLAN DE DESARROLLO 2024-2027</t>
        </is>
      </c>
      <c r="R318" t="n">
        <v>71000000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71000000</v>
      </c>
      <c r="Z318" t="n">
        <v>48500000</v>
      </c>
      <c r="AA318" t="n">
        <v>48500000</v>
      </c>
      <c r="AB318" t="n">
        <v>43500000</v>
      </c>
      <c r="AC318" t="n">
        <v>43500000</v>
      </c>
      <c r="AD318" t="n">
        <v>22500000</v>
      </c>
      <c r="AE318" t="n">
        <v>68.31</v>
      </c>
    </row>
    <row r="319">
      <c r="A319" t="inlineStr">
        <is>
          <t>1 - ADMINISTRACIÓN CENTRAL</t>
        </is>
      </c>
      <c r="B319" t="inlineStr">
        <is>
          <t>17 - AGRICULTURA Y DESARROLLO RURAL</t>
        </is>
      </c>
      <c r="C319" t="inlineStr">
        <is>
          <t>1100</t>
        </is>
      </c>
      <c r="D319" t="inlineStr">
        <is>
          <t>1702</t>
        </is>
      </c>
      <c r="E319" t="inlineStr">
        <is>
          <t>1702038</t>
        </is>
      </c>
      <c r="F319" t="inlineStr">
        <is>
          <t>SERVICIO DE APOYO A LA COMERCIALIZACIÓN</t>
        </is>
      </c>
      <c r="G319" t="inlineStr">
        <is>
          <t>2024548740020</t>
        </is>
      </c>
      <c r="H319" t="inlineStr">
        <is>
          <t>FORTALECIMIENTO EN LA INCLUSIÓN PRODUCTIVA DE PEQUEÑOS PRODUCTORES RURALES EN EL MUNICIPIO DE VILLA DEL ROSARIO.VILLA DEL ROSARIO UNA CIUDAD POSIBLE</t>
        </is>
      </c>
      <c r="I319" t="inlineStr">
        <is>
          <t>91131</t>
        </is>
      </c>
      <c r="J319" t="inlineStr">
        <is>
          <t>Servicios de la administración pública relacionados con la agricultura, silvicultura, pesca y caza</t>
        </is>
      </c>
      <c r="K319" t="inlineStr">
        <is>
          <t>00</t>
        </is>
      </c>
      <c r="L319" t="inlineStr">
        <is>
          <t>SIN ATRIBUTO</t>
        </is>
      </c>
      <c r="N319" t="inlineStr">
        <is>
          <t>2.3.2.02.02.009.17.04</t>
        </is>
      </c>
      <c r="O319" t="inlineStr">
        <is>
          <t>Servicio de apoyo a la comercialización</t>
        </is>
      </c>
      <c r="P319" t="inlineStr">
        <is>
          <t>1.2.4.3.03</t>
        </is>
      </c>
      <c r="Q319" t="inlineStr">
        <is>
          <t>SGP-PROPOSITO GENERAL-PROPOSITO GENERAL LIBRE INVERSION</t>
        </is>
      </c>
      <c r="R319" t="n">
        <v>100000000</v>
      </c>
      <c r="S319" t="n">
        <v>0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100000000</v>
      </c>
      <c r="Z319" t="n">
        <v>78000000</v>
      </c>
      <c r="AA319" t="n">
        <v>78000000</v>
      </c>
      <c r="AB319" t="n">
        <v>24163000</v>
      </c>
      <c r="AC319" t="n">
        <v>24163000</v>
      </c>
      <c r="AD319" t="n">
        <v>22000000</v>
      </c>
      <c r="AE319" t="n">
        <v>78</v>
      </c>
    </row>
    <row r="320">
      <c r="A320" t="inlineStr">
        <is>
          <t>1 - ADMINISTRACIÓN CENTRAL</t>
        </is>
      </c>
      <c r="B320" t="inlineStr">
        <is>
          <t>21 - MINAS Y ENERGÍA</t>
        </is>
      </c>
      <c r="C320" t="inlineStr">
        <is>
          <t>1900</t>
        </is>
      </c>
      <c r="D320" t="inlineStr">
        <is>
          <t>2102</t>
        </is>
      </c>
      <c r="E320" t="inlineStr">
        <is>
          <t>2102011</t>
        </is>
      </c>
      <c r="F320" t="inlineStr">
        <is>
          <t>REDES DE ALUMBRADO PÚBLICO CON MANTENIMIENTO</t>
        </is>
      </c>
      <c r="G320" t="inlineStr">
        <is>
          <t>2024548740043</t>
        </is>
      </c>
      <c r="H320" t="inlineStr">
        <is>
          <t>APOYO A LA CONSOLIDACIÓN PRODUCTIVA DEL SECTOR DE ENERGIA ELECTRICA EN EL MUNICIPIO DE VILLA DEL ROSARIO.VILLA DEL ROSARIO UNA CIUDAD POSIBLE</t>
        </is>
      </c>
      <c r="I320" t="inlineStr">
        <is>
          <t>91123</t>
        </is>
      </c>
      <c r="J320" t="inlineStr">
        <is>
          <t>Servicios de la administración pública relacionados con la vivienda e infraestructura de servicios públicos</t>
        </is>
      </c>
      <c r="K320" t="inlineStr">
        <is>
          <t>00</t>
        </is>
      </c>
      <c r="L320" t="inlineStr">
        <is>
          <t>SIN ATRIBUTO</t>
        </is>
      </c>
      <c r="N320" t="inlineStr">
        <is>
          <t>2.3.2.02.02.009.21.02</t>
        </is>
      </c>
      <c r="O320" t="inlineStr">
        <is>
          <t>Servicio de alumbrado público</t>
        </is>
      </c>
      <c r="P320" t="inlineStr">
        <is>
          <t>1.2.3.1.05</t>
        </is>
      </c>
      <c r="Q320" t="inlineStr">
        <is>
          <t>IMPUESTO - SOBRETASA POR EL ALUMBRADO PUBLICO</t>
        </is>
      </c>
      <c r="R320" t="n">
        <v>8200000000</v>
      </c>
      <c r="S320" t="n">
        <v>0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8200000000</v>
      </c>
      <c r="Z320" t="n">
        <v>4204948909</v>
      </c>
      <c r="AA320" t="n">
        <v>4204948909</v>
      </c>
      <c r="AB320" t="n">
        <v>4204948909</v>
      </c>
      <c r="AC320" t="n">
        <v>4204948909</v>
      </c>
      <c r="AD320" t="n">
        <v>3995051091</v>
      </c>
      <c r="AE320" t="n">
        <v>51.28</v>
      </c>
    </row>
    <row r="321">
      <c r="A321" t="inlineStr">
        <is>
          <t>1 - ADMINISTRACIÓN CENTRAL</t>
        </is>
      </c>
      <c r="B321" t="inlineStr">
        <is>
          <t>21 - MINAS Y ENERGÍA</t>
        </is>
      </c>
      <c r="C321" t="inlineStr">
        <is>
          <t>1900</t>
        </is>
      </c>
      <c r="D321" t="inlineStr">
        <is>
          <t>2102</t>
        </is>
      </c>
      <c r="E321" t="inlineStr">
        <is>
          <t>2102011</t>
        </is>
      </c>
      <c r="F321" t="inlineStr">
        <is>
          <t>REDES DE ALUMBRADO PÚBLICO CON MANTENIMIENTO</t>
        </is>
      </c>
      <c r="G321" t="inlineStr">
        <is>
          <t>2024548740043</t>
        </is>
      </c>
      <c r="H321" t="inlineStr">
        <is>
          <t>APOYO A LA CONSOLIDACIÓN PRODUCTIVA DEL SECTOR DE ENERGIA ELECTRICA EN EL MUNICIPIO DE VILLA DEL ROSARIO.VILLA DEL ROSARIO UNA CIUDAD POSIBLE</t>
        </is>
      </c>
      <c r="I321" t="inlineStr">
        <is>
          <t>54252</t>
        </is>
      </c>
      <c r="J321" t="inlineStr">
        <is>
          <t>Servicios generales de construcción de cables locales y obras conexas</t>
        </is>
      </c>
      <c r="K321" t="inlineStr">
        <is>
          <t>00</t>
        </is>
      </c>
      <c r="L321" t="inlineStr">
        <is>
          <t>SIN ATRIBUTO</t>
        </is>
      </c>
      <c r="N321" t="inlineStr">
        <is>
          <t>2.3.2.02.02.009.21.04</t>
        </is>
      </c>
      <c r="O321" t="inlineStr">
        <is>
          <t>Servicio de alumbrado público</t>
        </is>
      </c>
      <c r="P321" t="inlineStr">
        <is>
          <t>1.3.2.3.11.27</t>
        </is>
      </c>
      <c r="Q321" t="inlineStr">
        <is>
          <t>OTROS RENDIMIENTOS FINANCIEROS - FIDUCIA ALUMBRADO PUBLICO S.S.F. 2025</t>
        </is>
      </c>
      <c r="R321" t="n">
        <v>10000000</v>
      </c>
      <c r="S321" t="n">
        <v>0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10000000</v>
      </c>
      <c r="Z321" t="n">
        <v>0</v>
      </c>
      <c r="AA321" t="n">
        <v>0</v>
      </c>
      <c r="AB321" t="n">
        <v>0</v>
      </c>
      <c r="AC321" t="n">
        <v>0</v>
      </c>
      <c r="AD321" t="n">
        <v>10000000</v>
      </c>
      <c r="AE321" t="n">
        <v>0</v>
      </c>
    </row>
    <row r="322">
      <c r="A322" t="inlineStr">
        <is>
          <t>1 - ADMINISTRACIÓN CENTRAL</t>
        </is>
      </c>
      <c r="B322" t="inlineStr">
        <is>
          <t>21 - MINAS Y ENERGÍA</t>
        </is>
      </c>
      <c r="C322" t="inlineStr">
        <is>
          <t>1900</t>
        </is>
      </c>
      <c r="D322" t="inlineStr">
        <is>
          <t>2102</t>
        </is>
      </c>
      <c r="E322" t="inlineStr">
        <is>
          <t>2102011</t>
        </is>
      </c>
      <c r="F322" t="inlineStr">
        <is>
          <t>REDES DE ALUMBRADO PÚBLICO CON MANTENIMIENTO</t>
        </is>
      </c>
      <c r="G322" t="inlineStr">
        <is>
          <t>2024548740043</t>
        </is>
      </c>
      <c r="H322" t="inlineStr">
        <is>
          <t>APOYO A LA CONSOLIDACIÓN PRODUCTIVA DEL SECTOR DE ENERGIA ELECTRICA EN EL MUNICIPIO DE VILLA DEL ROSARIO.VILLA DEL ROSARIO UNA CIUDAD POSIBLE</t>
        </is>
      </c>
      <c r="I322" t="inlineStr">
        <is>
          <t>54252</t>
        </is>
      </c>
      <c r="J322" t="inlineStr">
        <is>
          <t>Servicios generales de construcción de cables locales y obras conexas</t>
        </is>
      </c>
      <c r="K322" t="inlineStr">
        <is>
          <t>00</t>
        </is>
      </c>
      <c r="L322" t="inlineStr">
        <is>
          <t>SIN ATRIBUTO</t>
        </is>
      </c>
      <c r="N322" t="inlineStr">
        <is>
          <t>2.3.2.02.02.009.21.05</t>
        </is>
      </c>
      <c r="O322" t="inlineStr">
        <is>
          <t>Servicio de alumbrado público</t>
        </is>
      </c>
      <c r="P322" t="inlineStr">
        <is>
          <t>1.3.3.3.14.02</t>
        </is>
      </c>
      <c r="Q322" t="inlineStr">
        <is>
          <t>R.B. IMPUESTO DE ALUMBRADO PUBLICO 2024</t>
        </is>
      </c>
      <c r="R322" t="n">
        <v>1000000</v>
      </c>
      <c r="S322" t="n">
        <v>0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1000000</v>
      </c>
      <c r="Z322" t="n">
        <v>0</v>
      </c>
      <c r="AA322" t="n">
        <v>0</v>
      </c>
      <c r="AB322" t="n">
        <v>0</v>
      </c>
      <c r="AC322" t="n">
        <v>0</v>
      </c>
      <c r="AD322" t="n">
        <v>1000000</v>
      </c>
      <c r="AE322" t="n">
        <v>0</v>
      </c>
    </row>
    <row r="323">
      <c r="A323" t="inlineStr">
        <is>
          <t>1 - ADMINISTRACIÓN CENTRAL</t>
        </is>
      </c>
      <c r="B323" t="inlineStr">
        <is>
          <t>21 - MINAS Y ENERGÍA</t>
        </is>
      </c>
      <c r="C323" t="inlineStr">
        <is>
          <t>1900</t>
        </is>
      </c>
      <c r="D323" t="inlineStr">
        <is>
          <t>2102</t>
        </is>
      </c>
      <c r="E323" t="inlineStr">
        <is>
          <t>2102011</t>
        </is>
      </c>
      <c r="F323" t="inlineStr">
        <is>
          <t>REDES DE ALUMBRADO PÚBLICO CON MANTENIMIENTO</t>
        </is>
      </c>
      <c r="G323" t="inlineStr">
        <is>
          <t>2024548740043</t>
        </is>
      </c>
      <c r="H323" t="inlineStr">
        <is>
          <t>APOYO A LA CONSOLIDACIÓN PRODUCTIVA DEL SECTOR DE ENERGIA ELECTRICA EN EL MUNICIPIO DE VILLA DEL ROSARIO.VILLA DEL ROSARIO UNA CIUDAD POSIBLE</t>
        </is>
      </c>
      <c r="I323" t="inlineStr">
        <is>
          <t>54252</t>
        </is>
      </c>
      <c r="J323" t="inlineStr">
        <is>
          <t>Servicios generales de construcción de cables locales y obras conexas</t>
        </is>
      </c>
      <c r="K323" t="inlineStr">
        <is>
          <t>00</t>
        </is>
      </c>
      <c r="L323" t="inlineStr">
        <is>
          <t>SIN ATRIBUTO</t>
        </is>
      </c>
      <c r="N323" t="inlineStr">
        <is>
          <t>2.3.2.02.02.009.21.06</t>
        </is>
      </c>
      <c r="O323" t="inlineStr">
        <is>
          <t>Servicio de alumbrado público</t>
        </is>
      </c>
      <c r="P323" t="inlineStr">
        <is>
          <t>1.3.2.3.11.16</t>
        </is>
      </c>
      <c r="Q323" t="inlineStr">
        <is>
          <t>RENDIMIENTOS FINANCIEROS ALUMBRADO PUBLICO 2024 S.S.F.</t>
        </is>
      </c>
      <c r="R323" t="n">
        <v>100000000</v>
      </c>
      <c r="S323" t="n">
        <v>0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100000000</v>
      </c>
      <c r="Z323" t="n">
        <v>0</v>
      </c>
      <c r="AA323" t="n">
        <v>0</v>
      </c>
      <c r="AB323" t="n">
        <v>0</v>
      </c>
      <c r="AC323" t="n">
        <v>0</v>
      </c>
      <c r="AD323" t="n">
        <v>100000000</v>
      </c>
      <c r="AE323" t="n">
        <v>0</v>
      </c>
    </row>
    <row r="324">
      <c r="A324" t="inlineStr">
        <is>
          <t>1 - ADMINISTRACIÓN CENTRAL</t>
        </is>
      </c>
      <c r="B324" t="inlineStr">
        <is>
          <t>22 - EDUCACIÓN</t>
        </is>
      </c>
      <c r="C324" t="inlineStr">
        <is>
          <t>0700</t>
        </is>
      </c>
      <c r="D324" t="inlineStr">
        <is>
          <t>2201</t>
        </is>
      </c>
      <c r="E324" t="inlineStr">
        <is>
          <t>2201071</t>
        </is>
      </c>
      <c r="F324" t="inlineStr">
        <is>
          <t>SERVICIO EDUCATIVO</t>
        </is>
      </c>
      <c r="G324" t="inlineStr">
        <is>
          <t>2024548740022</t>
        </is>
      </c>
      <c r="H324" t="inlineStr">
        <is>
          <t>FORTALECIMIENTO DE LA CALIDAD Y COBERTURA DE LA EDUCACIÓN INICIAL PREESCOLAR BASICA Y MEDIA EN EL MUNICIPIO DE VILLA DEL ROSARIO.VILLA DEL ROSARIO UNA CIUDAD POSIBLE</t>
        </is>
      </c>
      <c r="I324" t="inlineStr">
        <is>
          <t>91121</t>
        </is>
      </c>
      <c r="J324" t="inlineStr">
        <is>
          <t>Servicios de la administración pública relacionados con la educación</t>
        </is>
      </c>
      <c r="K324" t="inlineStr">
        <is>
          <t>00</t>
        </is>
      </c>
      <c r="L324" t="inlineStr">
        <is>
          <t>SIN ATRIBUTO</t>
        </is>
      </c>
      <c r="N324" t="inlineStr">
        <is>
          <t>2.3.2.02.02.009.22.01</t>
        </is>
      </c>
      <c r="O324" t="inlineStr">
        <is>
          <t>Pago de servicios públicos Instituciones Educativas</t>
        </is>
      </c>
      <c r="P324" t="inlineStr">
        <is>
          <t>1.3.2.2.03</t>
        </is>
      </c>
      <c r="Q324" t="inlineStr">
        <is>
          <t>R.F. SGP - EDUCACION-CALIDAD  POR MATRICULA OFICIAL</t>
        </is>
      </c>
      <c r="R324" t="n">
        <v>2500000</v>
      </c>
      <c r="S324" t="n">
        <v>0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2500000</v>
      </c>
      <c r="Z324" t="n">
        <v>0</v>
      </c>
      <c r="AA324" t="n">
        <v>0</v>
      </c>
      <c r="AB324" t="n">
        <v>0</v>
      </c>
      <c r="AC324" t="n">
        <v>0</v>
      </c>
      <c r="AD324" t="n">
        <v>2500000</v>
      </c>
      <c r="AE324" t="n">
        <v>0</v>
      </c>
    </row>
    <row r="325">
      <c r="A325" t="inlineStr">
        <is>
          <t>1 - ADMINISTRACIÓN CENTRAL</t>
        </is>
      </c>
      <c r="B325" t="inlineStr">
        <is>
          <t>22 - EDUCACIÓN</t>
        </is>
      </c>
      <c r="C325" t="inlineStr">
        <is>
          <t>0700</t>
        </is>
      </c>
      <c r="D325" t="inlineStr">
        <is>
          <t>2201</t>
        </is>
      </c>
      <c r="E325" t="inlineStr">
        <is>
          <t>2201083</t>
        </is>
      </c>
      <c r="F325" t="inlineStr">
        <is>
          <t>SERVICIO DE APOYO AL ACCESO A LA EDUCACION INHERENTE A LA PRESTACION DEL SERVICIO EDUCATIVO</t>
        </is>
      </c>
      <c r="G325" t="inlineStr">
        <is>
          <t>2024548740022</t>
        </is>
      </c>
      <c r="H325" t="inlineStr">
        <is>
          <t>FORTALECIMIENTO DE LA CALIDAD Y COBERTURA DE LA EDUCACIÓN INICIAL PREESCOLAR BASICA Y MEDIA EN EL MUNICIPIO DE VILLA DEL ROSARIO.VILLA DEL ROSARIO UNA CIUDAD POSIBLE</t>
        </is>
      </c>
      <c r="I325" t="inlineStr">
        <is>
          <t>91121</t>
        </is>
      </c>
      <c r="J325" t="inlineStr">
        <is>
          <t>Servicios de la administración pública relacionados con la educación</t>
        </is>
      </c>
      <c r="K325" t="inlineStr">
        <is>
          <t>00</t>
        </is>
      </c>
      <c r="L325" t="inlineStr">
        <is>
          <t>SIN ATRIBUTO</t>
        </is>
      </c>
      <c r="N325" t="inlineStr">
        <is>
          <t>2.3.2.02.02.009.22.02</t>
        </is>
      </c>
      <c r="O325" t="inlineStr">
        <is>
          <t>Gratuidad educativa</t>
        </is>
      </c>
      <c r="P325" t="inlineStr">
        <is>
          <t>1.2.4.1.04</t>
        </is>
      </c>
      <c r="Q325" t="inlineStr">
        <is>
          <t>SGP-EDUCACION-CALIDAD  POR GRATUIDAD</t>
        </is>
      </c>
      <c r="R325" t="n">
        <v>1922472278</v>
      </c>
      <c r="S325" t="n">
        <v>0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1922472278</v>
      </c>
      <c r="Z325" t="n">
        <v>1487660677</v>
      </c>
      <c r="AA325" t="n">
        <v>1487660677</v>
      </c>
      <c r="AB325" t="n">
        <v>1487660677</v>
      </c>
      <c r="AC325" t="n">
        <v>1487660677</v>
      </c>
      <c r="AD325" t="n">
        <v>434811601</v>
      </c>
      <c r="AE325" t="n">
        <v>77.38</v>
      </c>
    </row>
    <row r="326">
      <c r="A326" t="inlineStr">
        <is>
          <t>1 - ADMINISTRACIÓN CENTRAL</t>
        </is>
      </c>
      <c r="B326" t="inlineStr">
        <is>
          <t>22 - EDUCACIÓN</t>
        </is>
      </c>
      <c r="C326" t="inlineStr">
        <is>
          <t>0700</t>
        </is>
      </c>
      <c r="D326" t="inlineStr">
        <is>
          <t>2201</t>
        </is>
      </c>
      <c r="E326" t="inlineStr">
        <is>
          <t>2201071</t>
        </is>
      </c>
      <c r="F326" t="inlineStr">
        <is>
          <t>SERVICIO EDUCATIVO</t>
        </is>
      </c>
      <c r="G326" t="inlineStr">
        <is>
          <t>2024548740022</t>
        </is>
      </c>
      <c r="H326" t="inlineStr">
        <is>
          <t>FORTALECIMIENTO DE LA CALIDAD Y COBERTURA DE LA EDUCACIÓN INICIAL PREESCOLAR BASICA Y MEDIA EN EL MUNICIPIO DE VILLA DEL ROSARIO.VILLA DEL ROSARIO UNA CIUDAD POSIBLE</t>
        </is>
      </c>
      <c r="I326" t="inlineStr">
        <is>
          <t>91121</t>
        </is>
      </c>
      <c r="J326" t="inlineStr">
        <is>
          <t>Servicios de la administración pública relacionados con la educación</t>
        </is>
      </c>
      <c r="K326" t="inlineStr">
        <is>
          <t>00</t>
        </is>
      </c>
      <c r="L326" t="inlineStr">
        <is>
          <t>SIN ATRIBUTO</t>
        </is>
      </c>
      <c r="N326" t="inlineStr">
        <is>
          <t>2.3.2.02.02.009.22.03</t>
        </is>
      </c>
      <c r="O326" t="inlineStr">
        <is>
          <t>Pago de servicios públicos Instituciones Educativas</t>
        </is>
      </c>
      <c r="P326" t="inlineStr">
        <is>
          <t>1.2.4.1.03</t>
        </is>
      </c>
      <c r="Q326" t="inlineStr">
        <is>
          <t>SGP-EDUCACION-CALIDAD  POR MATRICULA OFICIAL</t>
        </is>
      </c>
      <c r="R326" t="n">
        <v>1270000000</v>
      </c>
      <c r="S326" t="n">
        <v>0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1270000000</v>
      </c>
      <c r="Z326" t="n">
        <v>358576501</v>
      </c>
      <c r="AA326" t="n">
        <v>358576501</v>
      </c>
      <c r="AB326" t="n">
        <v>358576501</v>
      </c>
      <c r="AC326" t="n">
        <v>358576501</v>
      </c>
      <c r="AD326" t="n">
        <v>911423499</v>
      </c>
      <c r="AE326" t="n">
        <v>28.23</v>
      </c>
    </row>
    <row r="327">
      <c r="A327" t="inlineStr">
        <is>
          <t>1 - ADMINISTRACIÓN CENTRAL</t>
        </is>
      </c>
      <c r="B327" t="inlineStr">
        <is>
          <t>32 - AMBIENTE Y DESARROLLO SOSTENIBLE</t>
        </is>
      </c>
      <c r="C327" t="inlineStr">
        <is>
          <t>0900</t>
        </is>
      </c>
      <c r="D327" t="inlineStr">
        <is>
          <t>3205</t>
        </is>
      </c>
      <c r="E327" t="inlineStr">
        <is>
          <t>3205023</t>
        </is>
      </c>
      <c r="F327" t="inlineStr">
        <is>
          <t>SERVICIO DE EDUCACIÓN INFORMAL EN EL MARCO DE LA REDUCCIÓN Y MITIGACIÓN DEL RIESGO DE DESASTRES</t>
        </is>
      </c>
      <c r="G327" t="inlineStr">
        <is>
          <t>2024548740054</t>
        </is>
      </c>
      <c r="H327" t="inlineStr">
        <is>
          <t>APOYO PARA EL ORDENAMIENTO AMBIENTAL TERRITORIAL EN EL MUNICIPIO DE VILLA DEL ROSARIO. VILLA DEL ROSARIO UNA CIUDAD POSIBLE</t>
        </is>
      </c>
      <c r="I327" t="inlineStr">
        <is>
          <t>94900</t>
        </is>
      </c>
      <c r="J327" t="inlineStr">
        <is>
          <t>Otros servicios de protección del medio ambiente n.c.p.</t>
        </is>
      </c>
      <c r="K327" t="inlineStr">
        <is>
          <t>00</t>
        </is>
      </c>
      <c r="L327" t="inlineStr">
        <is>
          <t>SIN ATRIBUTO</t>
        </is>
      </c>
      <c r="N327" t="inlineStr">
        <is>
          <t>2.3.2.02.02.009.32.01</t>
        </is>
      </c>
      <c r="O327" t="inlineStr">
        <is>
          <t>Servicio de educación informal en el marco de la reducción y mitigación del riesgo de desastres</t>
        </is>
      </c>
      <c r="P327" t="inlineStr">
        <is>
          <t>1.2.4.3.03</t>
        </is>
      </c>
      <c r="Q327" t="inlineStr">
        <is>
          <t>SGP-PROPOSITO GENERAL-PROPOSITO GENERAL LIBRE INVERSION</t>
        </is>
      </c>
      <c r="R327" t="n">
        <v>30000000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30000000</v>
      </c>
      <c r="Z327" t="n">
        <v>0</v>
      </c>
      <c r="AA327" t="n">
        <v>0</v>
      </c>
      <c r="AB327" t="n">
        <v>0</v>
      </c>
      <c r="AC327" t="n">
        <v>0</v>
      </c>
      <c r="AD327" t="n">
        <v>30000000</v>
      </c>
      <c r="AE327" t="n">
        <v>0</v>
      </c>
    </row>
    <row r="328">
      <c r="A328" t="inlineStr">
        <is>
          <t>1 - ADMINISTRACIÓN CENTRAL</t>
        </is>
      </c>
      <c r="B328" t="inlineStr">
        <is>
          <t>32 - AMBIENTE Y DESARROLLO SOSTENIBLE</t>
        </is>
      </c>
      <c r="C328" t="inlineStr">
        <is>
          <t>0900</t>
        </is>
      </c>
      <c r="D328" t="inlineStr">
        <is>
          <t>3202</t>
        </is>
      </c>
      <c r="E328" t="inlineStr">
        <is>
          <t>3202014</t>
        </is>
      </c>
      <c r="F328" t="inlineStr">
        <is>
          <t>SERVICIO DE EDUCACIÓN INFORMAL EN EL MARCO DE LA CONSERVACIÓN DE LA BIODIVERSIDAD Y LOS SERVICIO ECOSTÉMICOS</t>
        </is>
      </c>
      <c r="G328" t="inlineStr">
        <is>
          <t>2024548740051</t>
        </is>
      </c>
      <c r="H328" t="inlineStr">
        <is>
          <t>CONSERVACIÓN DE LA BIODIVERSIDAD Y SUS SERVICIOS ECOSISTÉMICOS VILLA DEL ROSARIO UNA CIUDAD POSIBLE EN EL MUNICIPIO DE VILLA DEL ROSARIO</t>
        </is>
      </c>
      <c r="I328" t="inlineStr">
        <is>
          <t>94900</t>
        </is>
      </c>
      <c r="J328" t="inlineStr">
        <is>
          <t>Otros servicios de protección del medio ambiente n.c.p.</t>
        </is>
      </c>
      <c r="K328" t="inlineStr">
        <is>
          <t>00</t>
        </is>
      </c>
      <c r="L328" t="inlineStr">
        <is>
          <t>SIN ATRIBUTO</t>
        </is>
      </c>
      <c r="N328" t="inlineStr">
        <is>
          <t>2.3.2.02.02.009.32.02</t>
        </is>
      </c>
      <c r="O328" t="inlineStr">
        <is>
          <t>Servicio de educación informal en el marco de la conservación de la biodiversidad y los Servicio ecostémicos</t>
        </is>
      </c>
      <c r="P328" t="inlineStr">
        <is>
          <t>1.2.4.3.03</t>
        </is>
      </c>
      <c r="Q328" t="inlineStr">
        <is>
          <t>SGP-PROPOSITO GENERAL-PROPOSITO GENERAL LIBRE INVERSION</t>
        </is>
      </c>
      <c r="R328" t="n">
        <v>32000000</v>
      </c>
      <c r="S328" t="n">
        <v>0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32000000</v>
      </c>
      <c r="Z328" t="n">
        <v>9200000</v>
      </c>
      <c r="AA328" t="n">
        <v>9200000</v>
      </c>
      <c r="AB328" t="n">
        <v>9200000</v>
      </c>
      <c r="AC328" t="n">
        <v>5700000</v>
      </c>
      <c r="AD328" t="n">
        <v>22800000</v>
      </c>
      <c r="AE328" t="n">
        <v>28.75</v>
      </c>
    </row>
    <row r="329">
      <c r="A329" t="inlineStr">
        <is>
          <t>1 - ADMINISTRACIÓN CENTRAL</t>
        </is>
      </c>
      <c r="B329" t="inlineStr">
        <is>
          <t>32 - AMBIENTE Y DESARROLLO SOSTENIBLE</t>
        </is>
      </c>
      <c r="C329" t="inlineStr">
        <is>
          <t>0900</t>
        </is>
      </c>
      <c r="D329" t="inlineStr">
        <is>
          <t>3203</t>
        </is>
      </c>
      <c r="E329" t="inlineStr">
        <is>
          <t>3203001</t>
        </is>
      </c>
      <c r="F329" t="inlineStr">
        <is>
          <t>DOCUMENTOS DE LINEAMIENTOS TÉCNICOS PARA LA GESTIÓN INTEGRAL DEL RECURSO HÍDRICO</t>
        </is>
      </c>
      <c r="G329" t="inlineStr">
        <is>
          <t>2024548740052</t>
        </is>
      </c>
      <c r="H329" t="inlineStr">
        <is>
          <t>FORTALECIMIENTO PARA LA GESTION INTEGRAL DEL RECURSO HIDRICO EN EL MUNICIPIO DE VILLA DEL ROSARIO.VILLA DE LROSARIO UNA CIUDAD POSIBLE</t>
        </is>
      </c>
      <c r="I329" t="inlineStr">
        <is>
          <t>94900</t>
        </is>
      </c>
      <c r="J329" t="inlineStr">
        <is>
          <t>Otros servicios de protección del medio ambiente n.c.p.</t>
        </is>
      </c>
      <c r="K329" t="inlineStr">
        <is>
          <t>00</t>
        </is>
      </c>
      <c r="L329" t="inlineStr">
        <is>
          <t>SIN ATRIBUTO</t>
        </is>
      </c>
      <c r="N329" t="inlineStr">
        <is>
          <t>2.3.2.02.02.009.32.03</t>
        </is>
      </c>
      <c r="O329" t="inlineStr">
        <is>
          <t>Documentos de lineamientos técnicos para la gestión integral del recurso hídrico</t>
        </is>
      </c>
      <c r="P329" t="inlineStr">
        <is>
          <t>1.2.4.3.03</t>
        </is>
      </c>
      <c r="Q329" t="inlineStr">
        <is>
          <t>SGP-PROPOSITO GENERAL-PROPOSITO GENERAL LIBRE INVERSION</t>
        </is>
      </c>
      <c r="R329" t="n">
        <v>70000000</v>
      </c>
      <c r="S329" t="n">
        <v>0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70000000</v>
      </c>
      <c r="Z329" t="n">
        <v>0</v>
      </c>
      <c r="AA329" t="n">
        <v>0</v>
      </c>
      <c r="AB329" t="n">
        <v>0</v>
      </c>
      <c r="AC329" t="n">
        <v>0</v>
      </c>
      <c r="AD329" t="n">
        <v>70000000</v>
      </c>
      <c r="AE329" t="n">
        <v>0</v>
      </c>
    </row>
    <row r="330">
      <c r="A330" t="inlineStr">
        <is>
          <t>1 - ADMINISTRACIÓN CENTRAL</t>
        </is>
      </c>
      <c r="B330" t="inlineStr">
        <is>
          <t>33 - CULTURA</t>
        </is>
      </c>
      <c r="C330" t="inlineStr">
        <is>
          <t>1603</t>
        </is>
      </c>
      <c r="D330" t="inlineStr">
        <is>
          <t>3301</t>
        </is>
      </c>
      <c r="E330" t="inlineStr">
        <is>
          <t>3301053</t>
        </is>
      </c>
      <c r="F330" t="inlineStr">
        <is>
          <t>SERVICIO DE PROMOCIÓN DE ACTIVIDADES CULTURALES</t>
        </is>
      </c>
      <c r="G330" t="inlineStr">
        <is>
          <t>2024548740040</t>
        </is>
      </c>
      <c r="H330" t="inlineStr">
        <is>
          <t>FORTALECIMIENTO EN LA PROMOCIÓN Y ACCESO EFECTIVO A PROCESOS CULTURALES Y ARTISTICOS EN EL MUNICIPIO DE VILLA DEL ROSARIO VILLA DEL ROSARIO UNA CIUDAD POSIBLE</t>
        </is>
      </c>
      <c r="I330" t="inlineStr">
        <is>
          <t>96210</t>
        </is>
      </c>
      <c r="J330" t="inlineStr">
        <is>
          <t>Servicios de promoción y gestión de actividades de artes escénicas</t>
        </is>
      </c>
      <c r="K330" t="inlineStr">
        <is>
          <t>00</t>
        </is>
      </c>
      <c r="L330" t="inlineStr">
        <is>
          <t>SIN ATRIBUTO</t>
        </is>
      </c>
      <c r="N330" t="inlineStr">
        <is>
          <t>2.3.2.02.02.009.33.01</t>
        </is>
      </c>
      <c r="O330" t="inlineStr">
        <is>
          <t>Servicio de promoción de actividades culturales</t>
        </is>
      </c>
      <c r="P330" t="inlineStr">
        <is>
          <t>1.3.2.3.01.04</t>
        </is>
      </c>
      <c r="Q330" t="inlineStr">
        <is>
          <t>R.F. DISTINTOS AL SGP - ESTAMPILLA PROCULTURA</t>
        </is>
      </c>
      <c r="R330" t="n">
        <v>1000000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1000000</v>
      </c>
      <c r="Z330" t="n">
        <v>0</v>
      </c>
      <c r="AA330" t="n">
        <v>0</v>
      </c>
      <c r="AB330" t="n">
        <v>0</v>
      </c>
      <c r="AC330" t="n">
        <v>0</v>
      </c>
      <c r="AD330" t="n">
        <v>1000000</v>
      </c>
      <c r="AE330" t="n">
        <v>0</v>
      </c>
    </row>
    <row r="331">
      <c r="A331" t="inlineStr">
        <is>
          <t>1 - ADMINISTRACIÓN CENTRAL</t>
        </is>
      </c>
      <c r="B331" t="inlineStr">
        <is>
          <t>33 - CULTURA</t>
        </is>
      </c>
      <c r="C331" t="inlineStr">
        <is>
          <t>1603</t>
        </is>
      </c>
      <c r="D331" t="inlineStr">
        <is>
          <t>3301</t>
        </is>
      </c>
      <c r="E331" t="inlineStr">
        <is>
          <t>3301053</t>
        </is>
      </c>
      <c r="F331" t="inlineStr">
        <is>
          <t>SERVICIO DE PROMOCIÓN DE ACTIVIDADES CULTURALES</t>
        </is>
      </c>
      <c r="G331" t="inlineStr">
        <is>
          <t>2024548740040</t>
        </is>
      </c>
      <c r="H331" t="inlineStr">
        <is>
          <t>FORTALECIMIENTO EN LA PROMOCIÓN Y ACCESO EFECTIVO A PROCESOS CULTURALES Y ARTISTICOS EN EL MUNICIPIO DE VILLA DEL ROSARIO VILLA DEL ROSARIO UNA CIUDAD POSIBLE</t>
        </is>
      </c>
      <c r="I331" t="inlineStr">
        <is>
          <t>96210</t>
        </is>
      </c>
      <c r="J331" t="inlineStr">
        <is>
          <t>Servicios de promoción y gestión de actividades de artes escénicas</t>
        </is>
      </c>
      <c r="K331" t="inlineStr">
        <is>
          <t>00</t>
        </is>
      </c>
      <c r="L331" t="inlineStr">
        <is>
          <t>SIN ATRIBUTO</t>
        </is>
      </c>
      <c r="N331" t="inlineStr">
        <is>
          <t>2.3.2.02.02.009.33.02</t>
        </is>
      </c>
      <c r="O331" t="inlineStr">
        <is>
          <t>Servicio de promoción de actividades culturales</t>
        </is>
      </c>
      <c r="P331" t="inlineStr">
        <is>
          <t>1.2.2.0.00.11</t>
        </is>
      </c>
      <c r="Q331" t="inlineStr">
        <is>
          <t>10% SOBRETASA A LA GASOLINA PROYECTOS RELACIONADOS CON EL SECTOR DE LA CULTURA Y LAS ARTES</t>
        </is>
      </c>
      <c r="R331" t="n">
        <v>450000000</v>
      </c>
      <c r="S331" t="n">
        <v>0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450000000</v>
      </c>
      <c r="Z331" t="n">
        <v>0</v>
      </c>
      <c r="AA331" t="n">
        <v>0</v>
      </c>
      <c r="AB331" t="n">
        <v>0</v>
      </c>
      <c r="AC331" t="n">
        <v>0</v>
      </c>
      <c r="AD331" t="n">
        <v>450000000</v>
      </c>
      <c r="AE331" t="n">
        <v>0</v>
      </c>
    </row>
    <row r="332">
      <c r="A332" t="inlineStr">
        <is>
          <t>1 - ADMINISTRACIÓN CENTRAL</t>
        </is>
      </c>
      <c r="B332" t="inlineStr">
        <is>
          <t>33 - CULTURA</t>
        </is>
      </c>
      <c r="C332" t="inlineStr">
        <is>
          <t>1603</t>
        </is>
      </c>
      <c r="D332" t="inlineStr">
        <is>
          <t>3301</t>
        </is>
      </c>
      <c r="E332" t="inlineStr">
        <is>
          <t>3301053</t>
        </is>
      </c>
      <c r="F332" t="inlineStr">
        <is>
          <t>SERVICIO DE PROMOCIÓN DE ACTIVIDADES CULTURALES</t>
        </is>
      </c>
      <c r="G332" t="inlineStr">
        <is>
          <t>2024548740040</t>
        </is>
      </c>
      <c r="H332" t="inlineStr">
        <is>
          <t>FORTALECIMIENTO EN LA PROMOCIÓN Y ACCESO EFECTIVO A PROCESOS CULTURALES Y ARTISTICOS EN EL MUNICIPIO DE VILLA DEL ROSARIO VILLA DEL ROSARIO UNA CIUDAD POSIBLE</t>
        </is>
      </c>
      <c r="I332" t="inlineStr">
        <is>
          <t>96210</t>
        </is>
      </c>
      <c r="J332" t="inlineStr">
        <is>
          <t>Servicios de promoción y gestión de actividades de artes escénicas</t>
        </is>
      </c>
      <c r="K332" t="inlineStr">
        <is>
          <t>00</t>
        </is>
      </c>
      <c r="L332" t="inlineStr">
        <is>
          <t>SIN ATRIBUTO</t>
        </is>
      </c>
      <c r="N332" t="inlineStr">
        <is>
          <t>2.3.2.02.02.009.33.02</t>
        </is>
      </c>
      <c r="O332" t="inlineStr">
        <is>
          <t>Servicio de promoción de actividades culturales</t>
        </is>
      </c>
      <c r="P332" t="inlineStr">
        <is>
          <t>1.3.2.2.08.01</t>
        </is>
      </c>
      <c r="Q332" t="inlineStr">
        <is>
          <t>R.F. SGP - PROPOSITO GENERAL CULTURA</t>
        </is>
      </c>
      <c r="R332" t="n">
        <v>200000</v>
      </c>
      <c r="S332" t="n">
        <v>0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200000</v>
      </c>
      <c r="Z332" t="n">
        <v>0</v>
      </c>
      <c r="AA332" t="n">
        <v>0</v>
      </c>
      <c r="AB332" t="n">
        <v>0</v>
      </c>
      <c r="AC332" t="n">
        <v>0</v>
      </c>
      <c r="AD332" t="n">
        <v>200000</v>
      </c>
      <c r="AE332" t="n">
        <v>0</v>
      </c>
    </row>
    <row r="333">
      <c r="A333" t="inlineStr">
        <is>
          <t>1 - ADMINISTRACIÓN CENTRAL</t>
        </is>
      </c>
      <c r="B333" t="inlineStr">
        <is>
          <t>33 - CULTURA</t>
        </is>
      </c>
      <c r="C333" t="inlineStr">
        <is>
          <t>1603</t>
        </is>
      </c>
      <c r="D333" t="inlineStr">
        <is>
          <t>3301</t>
        </is>
      </c>
      <c r="E333" t="inlineStr">
        <is>
          <t>3301053</t>
        </is>
      </c>
      <c r="F333" t="inlineStr">
        <is>
          <t>SERVICIO DE PROMOCIÓN DE ACTIVIDADES CULTURALES</t>
        </is>
      </c>
      <c r="G333" t="inlineStr">
        <is>
          <t>2024548740040</t>
        </is>
      </c>
      <c r="H333" t="inlineStr">
        <is>
          <t>FORTALECIMIENTO EN LA PROMOCIÓN Y ACCESO EFECTIVO A PROCESOS CULTURALES Y ARTISTICOS EN EL MUNICIPIO DE VILLA DEL ROSARIO VILLA DEL ROSARIO UNA CIUDAD POSIBLE</t>
        </is>
      </c>
      <c r="I333" t="inlineStr">
        <is>
          <t>96210</t>
        </is>
      </c>
      <c r="J333" t="inlineStr">
        <is>
          <t>Servicios de promoción y gestión de actividades de artes escénicas</t>
        </is>
      </c>
      <c r="K333" t="inlineStr">
        <is>
          <t>00</t>
        </is>
      </c>
      <c r="L333" t="inlineStr">
        <is>
          <t>SIN ATRIBUTO</t>
        </is>
      </c>
      <c r="N333" t="inlineStr">
        <is>
          <t>2.3.2.02.02.009.33.03</t>
        </is>
      </c>
      <c r="O333" t="inlineStr">
        <is>
          <t>Servicio de promoción de actividades culturales</t>
        </is>
      </c>
      <c r="P333" t="inlineStr">
        <is>
          <t>1.2.3.1.19.02</t>
        </is>
      </c>
      <c r="Q333" t="inlineStr">
        <is>
          <t>ESTAMPILLA PRO CULTURA</t>
        </is>
      </c>
      <c r="R333" t="n">
        <v>864384666</v>
      </c>
      <c r="S333" t="n">
        <v>0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864384666</v>
      </c>
      <c r="Z333" t="n">
        <v>63895000</v>
      </c>
      <c r="AA333" t="n">
        <v>63875000</v>
      </c>
      <c r="AB333" t="n">
        <v>63875000</v>
      </c>
      <c r="AC333" t="n">
        <v>63875000</v>
      </c>
      <c r="AD333" t="n">
        <v>800509666</v>
      </c>
      <c r="AE333" t="n">
        <v>7.39</v>
      </c>
    </row>
    <row r="334">
      <c r="A334" t="inlineStr">
        <is>
          <t>1 - ADMINISTRACIÓN CENTRAL</t>
        </is>
      </c>
      <c r="B334" t="inlineStr">
        <is>
          <t>33 - CULTURA</t>
        </is>
      </c>
      <c r="C334" t="inlineStr">
        <is>
          <t>1603</t>
        </is>
      </c>
      <c r="D334" t="inlineStr">
        <is>
          <t>3301</t>
        </is>
      </c>
      <c r="E334" t="inlineStr">
        <is>
          <t>3301087</t>
        </is>
      </c>
      <c r="F334" t="inlineStr">
        <is>
          <t>SERVICIO DE EDUCACIÓN INFORMAL EN ÁREAS ARTÍSTICAS Y CULTURALES</t>
        </is>
      </c>
      <c r="G334" t="inlineStr">
        <is>
          <t>2024548740040</t>
        </is>
      </c>
      <c r="H334" t="inlineStr">
        <is>
          <t>FORTALECIMIENTO EN LA PROMOCIÓN Y ACCESO EFECTIVO A PROCESOS CULTURALES Y ARTISTICOS EN EL MUNICIPIO DE VILLA DEL ROSARIO VILLA DEL ROSARIO UNA CIUDAD POSIBLE</t>
        </is>
      </c>
      <c r="I334" t="inlineStr">
        <is>
          <t>92911</t>
        </is>
      </c>
      <c r="J334" t="inlineStr">
        <is>
          <t>Servicios de educación artística y cultural</t>
        </is>
      </c>
      <c r="K334" t="inlineStr">
        <is>
          <t>00</t>
        </is>
      </c>
      <c r="L334" t="inlineStr">
        <is>
          <t>SIN ATRIBUTO</t>
        </is>
      </c>
      <c r="N334" t="inlineStr">
        <is>
          <t>2.3.2.02.02.009.33.03</t>
        </is>
      </c>
      <c r="O334" t="inlineStr">
        <is>
          <t>Servicio de educación informal en áreas artísticas y culturales</t>
        </is>
      </c>
      <c r="P334" t="inlineStr">
        <is>
          <t>1.2.4.3.02</t>
        </is>
      </c>
      <c r="Q334" t="inlineStr">
        <is>
          <t>SGP-PROPOSITO GENERAL-CULTURA</t>
        </is>
      </c>
      <c r="R334" t="n">
        <v>354384666</v>
      </c>
      <c r="S334" t="n">
        <v>0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354384666</v>
      </c>
      <c r="Z334" t="n">
        <v>73000000</v>
      </c>
      <c r="AA334" t="n">
        <v>73000000</v>
      </c>
      <c r="AB334" t="n">
        <v>66300000</v>
      </c>
      <c r="AC334" t="n">
        <v>61800000</v>
      </c>
      <c r="AD334" t="n">
        <v>281384666</v>
      </c>
      <c r="AE334" t="n">
        <v>20.6</v>
      </c>
    </row>
    <row r="335">
      <c r="A335" t="inlineStr">
        <is>
          <t>1 - ADMINISTRACIÓN CENTRAL</t>
        </is>
      </c>
      <c r="B335" t="inlineStr">
        <is>
          <t>33 - CULTURA</t>
        </is>
      </c>
      <c r="C335" t="inlineStr">
        <is>
          <t>1603</t>
        </is>
      </c>
      <c r="D335" t="inlineStr">
        <is>
          <t>3301</t>
        </is>
      </c>
      <c r="E335" t="inlineStr">
        <is>
          <t>3301087</t>
        </is>
      </c>
      <c r="F335" t="inlineStr">
        <is>
          <t>SERVICIO DE EDUCACIÓN INFORMAL EN ÁREAS ARTÍSTICAS Y CULTURALES</t>
        </is>
      </c>
      <c r="G335" t="inlineStr">
        <is>
          <t>2024548740040</t>
        </is>
      </c>
      <c r="H335" t="inlineStr">
        <is>
          <t>FORTALECIMIENTO EN LA PROMOCIÓN Y ACCESO EFECTIVO A PROCESOS CULTURALES Y ARTISTICOS EN EL MUNICIPIO DE VILLA DEL ROSARIO VILLA DEL ROSARIO UNA CIUDAD POSIBLE</t>
        </is>
      </c>
      <c r="I335" t="inlineStr">
        <is>
          <t>92911</t>
        </is>
      </c>
      <c r="J335" t="inlineStr">
        <is>
          <t>Servicios de educación artística y cultural</t>
        </is>
      </c>
      <c r="K335" t="inlineStr">
        <is>
          <t>00</t>
        </is>
      </c>
      <c r="L335" t="inlineStr">
        <is>
          <t>SIN ATRIBUTO</t>
        </is>
      </c>
      <c r="N335" t="inlineStr">
        <is>
          <t>2.3.2.02.02.009.33.04</t>
        </is>
      </c>
      <c r="O335" t="inlineStr">
        <is>
          <t>Servicio de educación informal en áreas artísticas y culturales</t>
        </is>
      </c>
      <c r="P335" t="inlineStr">
        <is>
          <t>1.2.3.1.19.02</t>
        </is>
      </c>
      <c r="Q335" t="inlineStr">
        <is>
          <t>ESTAMPILLA PRO CULTURA</t>
        </is>
      </c>
      <c r="R335" t="n">
        <v>35615334</v>
      </c>
      <c r="S335" t="n">
        <v>0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35615334</v>
      </c>
      <c r="Z335" t="n">
        <v>0</v>
      </c>
      <c r="AA335" t="n">
        <v>0</v>
      </c>
      <c r="AB335" t="n">
        <v>0</v>
      </c>
      <c r="AC335" t="n">
        <v>0</v>
      </c>
      <c r="AD335" t="n">
        <v>35615334</v>
      </c>
      <c r="AE335" t="n">
        <v>0</v>
      </c>
    </row>
    <row r="336">
      <c r="A336" t="inlineStr">
        <is>
          <t>1 - ADMINISTRACIÓN CENTRAL</t>
        </is>
      </c>
      <c r="B336" t="inlineStr">
        <is>
          <t>33 - CULTURA</t>
        </is>
      </c>
      <c r="C336" t="inlineStr">
        <is>
          <t>1603</t>
        </is>
      </c>
      <c r="D336" t="inlineStr">
        <is>
          <t>3301</t>
        </is>
      </c>
      <c r="E336" t="inlineStr">
        <is>
          <t>3301053</t>
        </is>
      </c>
      <c r="F336" t="inlineStr">
        <is>
          <t>SERVICIO DE PROMOCIÓN DE ACTIVIDADES CULTURALES</t>
        </is>
      </c>
      <c r="G336" t="inlineStr">
        <is>
          <t>2024548740040</t>
        </is>
      </c>
      <c r="H336" t="inlineStr">
        <is>
          <t>FORTALECIMIENTO EN LA PROMOCIÓN Y ACCESO EFECTIVO A PROCESOS CULTURALES Y ARTISTICOS EN EL MUNICIPIO DE VILLA DEL ROSARIO VILLA DEL ROSARIO UNA CIUDAD POSIBLE</t>
        </is>
      </c>
      <c r="I336" t="inlineStr">
        <is>
          <t>96210</t>
        </is>
      </c>
      <c r="J336" t="inlineStr">
        <is>
          <t>Servicios de promoción y gestión de actividades de artes escénicas</t>
        </is>
      </c>
      <c r="K336" t="inlineStr">
        <is>
          <t>00</t>
        </is>
      </c>
      <c r="L336" t="inlineStr">
        <is>
          <t>SIN ATRIBUTO</t>
        </is>
      </c>
      <c r="N336" t="inlineStr">
        <is>
          <t>2.3.2.02.02.009.33.05</t>
        </is>
      </c>
      <c r="O336" t="inlineStr">
        <is>
          <t>Servicio de promoción de actividades culturales</t>
        </is>
      </c>
      <c r="P336" t="inlineStr">
        <is>
          <t>1.2.4.3.02</t>
        </is>
      </c>
      <c r="Q336" t="inlineStr">
        <is>
          <t>SGP-PROPOSITO GENERAL-CULTURA</t>
        </is>
      </c>
      <c r="R336" t="n">
        <v>0</v>
      </c>
      <c r="S336" t="n">
        <v>43772970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43772970</v>
      </c>
      <c r="Z336" t="n">
        <v>0</v>
      </c>
      <c r="AA336" t="n">
        <v>0</v>
      </c>
      <c r="AB336" t="n">
        <v>0</v>
      </c>
      <c r="AC336" t="n">
        <v>0</v>
      </c>
      <c r="AD336" t="n">
        <v>43772970</v>
      </c>
      <c r="AE336" t="n">
        <v>0</v>
      </c>
    </row>
    <row r="337">
      <c r="A337" t="inlineStr">
        <is>
          <t>1 - ADMINISTRACIÓN CENTRAL</t>
        </is>
      </c>
      <c r="B337" t="inlineStr">
        <is>
          <t>33 - CULTURA</t>
        </is>
      </c>
      <c r="C337" t="inlineStr">
        <is>
          <t>1603</t>
        </is>
      </c>
      <c r="D337" t="inlineStr">
        <is>
          <t>3301</t>
        </is>
      </c>
      <c r="E337" t="inlineStr">
        <is>
          <t>3301053</t>
        </is>
      </c>
      <c r="F337" t="inlineStr">
        <is>
          <t>SERVICIO DE PROMOCIÓN DE ACTIVIDADES CULTURALES</t>
        </is>
      </c>
      <c r="G337" t="inlineStr">
        <is>
          <t>2024548740040</t>
        </is>
      </c>
      <c r="H337" t="inlineStr">
        <is>
          <t>FORTALECIMIENTO EN LA PROMOCIÓN Y ACCESO EFECTIVO A PROCESOS CULTURALES Y ARTISTICOS EN EL MUNICIPIO DE VILLA DEL ROSARIO VILLA DEL ROSARIO UNA CIUDAD POSIBLE</t>
        </is>
      </c>
      <c r="I337" t="inlineStr">
        <is>
          <t>96210</t>
        </is>
      </c>
      <c r="J337" t="inlineStr">
        <is>
          <t>Servicios de promoción y gestión de actividades de artes escénicas</t>
        </is>
      </c>
      <c r="K337" t="inlineStr">
        <is>
          <t>00</t>
        </is>
      </c>
      <c r="L337" t="inlineStr">
        <is>
          <t>SIN ATRIBUTO</t>
        </is>
      </c>
      <c r="N337" t="inlineStr">
        <is>
          <t>2.3.2.02.02.009.33.09</t>
        </is>
      </c>
      <c r="O337" t="inlineStr">
        <is>
          <t>Servicio de promoción de actividades culturales</t>
        </is>
      </c>
      <c r="P337" t="inlineStr">
        <is>
          <t>1.3.3.8.02</t>
        </is>
      </c>
      <c r="Q337" t="inlineStr">
        <is>
          <t>R.B. SGP- PROPOSITO GENERAL - CULTURA</t>
        </is>
      </c>
      <c r="R337" t="n">
        <v>0</v>
      </c>
      <c r="S337" t="n">
        <v>105263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105263</v>
      </c>
      <c r="Z337" t="n">
        <v>0</v>
      </c>
      <c r="AA337" t="n">
        <v>0</v>
      </c>
      <c r="AB337" t="n">
        <v>0</v>
      </c>
      <c r="AC337" t="n">
        <v>0</v>
      </c>
      <c r="AD337" t="n">
        <v>105263</v>
      </c>
      <c r="AE337" t="n">
        <v>0</v>
      </c>
    </row>
    <row r="338">
      <c r="A338" t="inlineStr">
        <is>
          <t>1 - ADMINISTRACIÓN CENTRAL</t>
        </is>
      </c>
      <c r="B338" t="inlineStr">
        <is>
          <t>33 - CULTURA</t>
        </is>
      </c>
      <c r="C338" t="inlineStr">
        <is>
          <t>1603</t>
        </is>
      </c>
      <c r="D338" t="inlineStr">
        <is>
          <t>3301</t>
        </is>
      </c>
      <c r="E338" t="inlineStr">
        <is>
          <t>3301053</t>
        </is>
      </c>
      <c r="F338" t="inlineStr">
        <is>
          <t>SERVICIO DE PROMOCIÓN DE ACTIVIDADES CULTURALES</t>
        </is>
      </c>
      <c r="G338" t="inlineStr">
        <is>
          <t>2024548740040</t>
        </is>
      </c>
      <c r="H338" t="inlineStr">
        <is>
          <t>FORTALECIMIENTO EN LA PROMOCIÓN Y ACCESO EFECTIVO A PROCESOS CULTURALES Y ARTISTICOS EN EL MUNICIPIO DE VILLA DEL ROSARIO VILLA DEL ROSARIO UNA CIUDAD POSIBLE</t>
        </is>
      </c>
      <c r="I338" t="inlineStr">
        <is>
          <t>96210</t>
        </is>
      </c>
      <c r="J338" t="inlineStr">
        <is>
          <t>Servicios de promoción y gestión de actividades de artes escénicas</t>
        </is>
      </c>
      <c r="K338" t="inlineStr">
        <is>
          <t>00</t>
        </is>
      </c>
      <c r="L338" t="inlineStr">
        <is>
          <t>SIN ATRIBUTO</t>
        </is>
      </c>
      <c r="N338" t="inlineStr">
        <is>
          <t>2.3.2.02.02.009.33.10</t>
        </is>
      </c>
      <c r="O338" t="inlineStr">
        <is>
          <t>Servicio de promoción de actividades culturales</t>
        </is>
      </c>
      <c r="P338" t="inlineStr">
        <is>
          <t>1.3.2.3.11.43</t>
        </is>
      </c>
      <c r="Q338" t="inlineStr">
        <is>
          <t>OTROS RENDIMIENTOS FINANCIEROS ESTAMPILLA PRO CULTURA</t>
        </is>
      </c>
      <c r="R338" t="n">
        <v>0</v>
      </c>
      <c r="S338" t="n">
        <v>608023</v>
      </c>
      <c r="T338" t="n">
        <v>0</v>
      </c>
      <c r="U338" t="n">
        <v>0</v>
      </c>
      <c r="V338" t="n">
        <v>0</v>
      </c>
      <c r="W338" t="n">
        <v>0</v>
      </c>
      <c r="X338" t="n">
        <v>0</v>
      </c>
      <c r="Y338" t="n">
        <v>608023</v>
      </c>
      <c r="Z338" t="n">
        <v>0</v>
      </c>
      <c r="AA338" t="n">
        <v>0</v>
      </c>
      <c r="AB338" t="n">
        <v>0</v>
      </c>
      <c r="AC338" t="n">
        <v>0</v>
      </c>
      <c r="AD338" t="n">
        <v>608023</v>
      </c>
      <c r="AE338" t="n">
        <v>0</v>
      </c>
    </row>
    <row r="339">
      <c r="A339" t="inlineStr">
        <is>
          <t>1 - ADMINISTRACIÓN CENTRAL</t>
        </is>
      </c>
      <c r="B339" t="inlineStr">
        <is>
          <t>33 - CULTURA</t>
        </is>
      </c>
      <c r="C339" t="inlineStr">
        <is>
          <t>1603</t>
        </is>
      </c>
      <c r="D339" t="inlineStr">
        <is>
          <t>3301</t>
        </is>
      </c>
      <c r="E339" t="inlineStr">
        <is>
          <t>3301053</t>
        </is>
      </c>
      <c r="F339" t="inlineStr">
        <is>
          <t>SERVICIO DE PROMOCIÓN DE ACTIVIDADES CULTURALES</t>
        </is>
      </c>
      <c r="G339" t="inlineStr">
        <is>
          <t>2024548740040</t>
        </is>
      </c>
      <c r="H339" t="inlineStr">
        <is>
          <t>FORTALECIMIENTO EN LA PROMOCIÓN Y ACCESO EFECTIVO A PROCESOS CULTURALES Y ARTISTICOS EN EL MUNICIPIO DE VILLA DEL ROSARIO VILLA DEL ROSARIO UNA CIUDAD POSIBLE</t>
        </is>
      </c>
      <c r="I339" t="inlineStr">
        <is>
          <t>96210</t>
        </is>
      </c>
      <c r="J339" t="inlineStr">
        <is>
          <t>Servicios de promoción y gestión de actividades de artes escénicas</t>
        </is>
      </c>
      <c r="K339" t="inlineStr">
        <is>
          <t>00</t>
        </is>
      </c>
      <c r="L339" t="inlineStr">
        <is>
          <t>SIN ATRIBUTO</t>
        </is>
      </c>
      <c r="N339" t="inlineStr">
        <is>
          <t>2.3.2.02.02.009.33.11</t>
        </is>
      </c>
      <c r="O339" t="inlineStr">
        <is>
          <t>Servicio de promoción de actividades culturales</t>
        </is>
      </c>
      <c r="P339" t="inlineStr">
        <is>
          <t>1.3.3.3.20.14</t>
        </is>
      </c>
      <c r="Q339" t="inlineStr">
        <is>
          <t>R.B. ESTAMPILLA PRO CULTURA</t>
        </is>
      </c>
      <c r="R339" t="n">
        <v>0</v>
      </c>
      <c r="S339" t="n">
        <v>81683143</v>
      </c>
      <c r="T339" t="n">
        <v>0</v>
      </c>
      <c r="U339" t="n">
        <v>0</v>
      </c>
      <c r="V339" t="n">
        <v>0</v>
      </c>
      <c r="W339" t="n">
        <v>0</v>
      </c>
      <c r="X339" t="n">
        <v>0</v>
      </c>
      <c r="Y339" t="n">
        <v>81683143</v>
      </c>
      <c r="Z339" t="n">
        <v>0</v>
      </c>
      <c r="AA339" t="n">
        <v>0</v>
      </c>
      <c r="AB339" t="n">
        <v>0</v>
      </c>
      <c r="AC339" t="n">
        <v>0</v>
      </c>
      <c r="AD339" t="n">
        <v>81683143</v>
      </c>
      <c r="AE339" t="n">
        <v>0</v>
      </c>
    </row>
    <row r="340">
      <c r="A340" t="inlineStr">
        <is>
          <t>1 - ADMINISTRACIÓN CENTRAL</t>
        </is>
      </c>
      <c r="B340" t="inlineStr">
        <is>
          <t>33 - CULTURA</t>
        </is>
      </c>
      <c r="C340" t="inlineStr">
        <is>
          <t>1603</t>
        </is>
      </c>
      <c r="D340" t="inlineStr">
        <is>
          <t>3301</t>
        </is>
      </c>
      <c r="E340" t="inlineStr">
        <is>
          <t>3301053</t>
        </is>
      </c>
      <c r="F340" t="inlineStr">
        <is>
          <t>SERVICIO DE PROMOCIÓN DE ACTIVIDADES CULTURALES</t>
        </is>
      </c>
      <c r="G340" t="inlineStr">
        <is>
          <t>2024548740040</t>
        </is>
      </c>
      <c r="H340" t="inlineStr">
        <is>
          <t>FORTALECIMIENTO EN LA PROMOCIÓN Y ACCESO EFECTIVO A PROCESOS CULTURALES Y ARTISTICOS EN EL MUNICIPIO DE VILLA DEL ROSARIO VILLA DEL ROSARIO UNA CIUDAD POSIBLE</t>
        </is>
      </c>
      <c r="I340" t="inlineStr">
        <is>
          <t>96210</t>
        </is>
      </c>
      <c r="J340" t="inlineStr">
        <is>
          <t>Servicios de promoción y gestión de actividades de artes escénicas</t>
        </is>
      </c>
      <c r="K340" t="inlineStr">
        <is>
          <t>00</t>
        </is>
      </c>
      <c r="L340" t="inlineStr">
        <is>
          <t>SIN ATRIBUTO</t>
        </is>
      </c>
      <c r="N340" t="inlineStr">
        <is>
          <t>2.3.2.02.02.009.33.12</t>
        </is>
      </c>
      <c r="O340" t="inlineStr">
        <is>
          <t>Servicio de promoción de actividades culturales(acuerdo 025 de 2024 10% proyectos culturales)</t>
        </is>
      </c>
      <c r="P340" t="inlineStr">
        <is>
          <t>1.3.3.2.00.11</t>
        </is>
      </c>
      <c r="Q340" t="inlineStr">
        <is>
          <t>R.B. 2024 SOBRETASA A LA GASOLINA</t>
        </is>
      </c>
      <c r="R340" t="n">
        <v>0</v>
      </c>
      <c r="S340" t="n">
        <v>83711467</v>
      </c>
      <c r="T340" t="n">
        <v>0</v>
      </c>
      <c r="U340" t="n">
        <v>0</v>
      </c>
      <c r="V340" t="n">
        <v>0</v>
      </c>
      <c r="W340" t="n">
        <v>0</v>
      </c>
      <c r="X340" t="n">
        <v>0</v>
      </c>
      <c r="Y340" t="n">
        <v>83711467</v>
      </c>
      <c r="Z340" t="n">
        <v>0</v>
      </c>
      <c r="AA340" t="n">
        <v>0</v>
      </c>
      <c r="AB340" t="n">
        <v>0</v>
      </c>
      <c r="AC340" t="n">
        <v>0</v>
      </c>
      <c r="AD340" t="n">
        <v>83711467</v>
      </c>
      <c r="AE340" t="n">
        <v>0</v>
      </c>
    </row>
    <row r="341">
      <c r="A341" t="inlineStr">
        <is>
          <t>1 - ADMINISTRACIÓN CENTRAL</t>
        </is>
      </c>
      <c r="B341" t="inlineStr">
        <is>
          <t>33 - CULTURA</t>
        </is>
      </c>
      <c r="C341" t="inlineStr">
        <is>
          <t>1603</t>
        </is>
      </c>
      <c r="D341" t="inlineStr">
        <is>
          <t>3301</t>
        </is>
      </c>
      <c r="E341" t="inlineStr">
        <is>
          <t>3301053</t>
        </is>
      </c>
      <c r="F341" t="inlineStr">
        <is>
          <t>SERVICIO DE PROMOCIÓN DE ACTIVIDADES CULTURALES</t>
        </is>
      </c>
      <c r="G341" t="inlineStr">
        <is>
          <t>2024548740040</t>
        </is>
      </c>
      <c r="H341" t="inlineStr">
        <is>
          <t>FORTALECIMIENTO EN LA PROMOCIÓN Y ACCESO EFECTIVO A PROCESOS CULTURALES Y ARTISTICOS EN EL MUNICIPIO DE VILLA DEL ROSARIO VILLA DEL ROSARIO UNA CIUDAD POSIBLE</t>
        </is>
      </c>
      <c r="I341" t="inlineStr">
        <is>
          <t>96210</t>
        </is>
      </c>
      <c r="J341" t="inlineStr">
        <is>
          <t>Servicios de promoción y gestión de actividades de artes escénicas</t>
        </is>
      </c>
      <c r="K341" t="inlineStr">
        <is>
          <t>00</t>
        </is>
      </c>
      <c r="L341" t="inlineStr">
        <is>
          <t>SIN ATRIBUTO</t>
        </is>
      </c>
      <c r="N341" t="inlineStr">
        <is>
          <t>2.3.2.02.02.009.33.13</t>
        </is>
      </c>
      <c r="O341" t="inlineStr">
        <is>
          <t>Servicio de promoción de actividades culturales(acuerdo 025 de 2024 10% proyectos culturales)</t>
        </is>
      </c>
      <c r="P341" t="inlineStr">
        <is>
          <t>1.3.3.2.00.10</t>
        </is>
      </c>
      <c r="Q341" t="inlineStr">
        <is>
          <t>R.B. 2025 SOBRETASA A LA GASOLINA</t>
        </is>
      </c>
      <c r="R341" t="n">
        <v>0</v>
      </c>
      <c r="S341" t="n">
        <v>24192359</v>
      </c>
      <c r="T341" t="n">
        <v>0</v>
      </c>
      <c r="U341" t="n">
        <v>0</v>
      </c>
      <c r="V341" t="n">
        <v>0</v>
      </c>
      <c r="W341" t="n">
        <v>0</v>
      </c>
      <c r="X341" t="n">
        <v>0</v>
      </c>
      <c r="Y341" t="n">
        <v>24192359</v>
      </c>
      <c r="Z341" t="n">
        <v>0</v>
      </c>
      <c r="AA341" t="n">
        <v>0</v>
      </c>
      <c r="AB341" t="n">
        <v>0</v>
      </c>
      <c r="AC341" t="n">
        <v>0</v>
      </c>
      <c r="AD341" t="n">
        <v>24192359</v>
      </c>
      <c r="AE341" t="n">
        <v>0</v>
      </c>
    </row>
    <row r="342">
      <c r="A342" t="inlineStr">
        <is>
          <t>1 - ADMINISTRACIÓN CENTRAL</t>
        </is>
      </c>
      <c r="B342" t="inlineStr">
        <is>
          <t>33 - CULTURA</t>
        </is>
      </c>
      <c r="C342" t="inlineStr">
        <is>
          <t>1603</t>
        </is>
      </c>
      <c r="D342" t="inlineStr">
        <is>
          <t>3301</t>
        </is>
      </c>
      <c r="E342" t="inlineStr">
        <is>
          <t>3301053</t>
        </is>
      </c>
      <c r="F342" t="inlineStr">
        <is>
          <t>SERVICIO DE PROMOCIÓN DE ACTIVIDADES CULTURALES</t>
        </is>
      </c>
      <c r="G342" t="inlineStr">
        <is>
          <t>2024548740040</t>
        </is>
      </c>
      <c r="H342" t="inlineStr">
        <is>
          <t>FORTALECIMIENTO EN LA PROMOCIÓN Y ACCESO EFECTIVO A PROCESOS CULTURALES Y ARTISTICOS EN EL MUNICIPIO DE VILLA DEL ROSARIO VILLA DEL ROSARIO UNA CIUDAD POSIBLE</t>
        </is>
      </c>
      <c r="I342" t="inlineStr">
        <is>
          <t>96210</t>
        </is>
      </c>
      <c r="J342" t="inlineStr">
        <is>
          <t>Servicios de promoción y gestión de actividades de artes escénicas</t>
        </is>
      </c>
      <c r="K342" t="inlineStr">
        <is>
          <t>00</t>
        </is>
      </c>
      <c r="L342" t="inlineStr">
        <is>
          <t>SIN ATRIBUTO</t>
        </is>
      </c>
      <c r="N342" t="inlineStr">
        <is>
          <t>2.3.2.02.02.009.33.14</t>
        </is>
      </c>
      <c r="O342" t="inlineStr">
        <is>
          <t>Servicio de promoción de actividades culturales</t>
        </is>
      </c>
      <c r="P342" t="inlineStr">
        <is>
          <t>1.3.2.2.08.01</t>
        </is>
      </c>
      <c r="Q342" t="inlineStr">
        <is>
          <t>R.F. SGP - PROPOSITO GENERAL CULTURA</t>
        </is>
      </c>
      <c r="R342" t="n">
        <v>0</v>
      </c>
      <c r="S342" t="n">
        <v>1884709</v>
      </c>
      <c r="T342" t="n">
        <v>0</v>
      </c>
      <c r="U342" t="n">
        <v>0</v>
      </c>
      <c r="V342" t="n">
        <v>0</v>
      </c>
      <c r="W342" t="n">
        <v>0</v>
      </c>
      <c r="X342" t="n">
        <v>0</v>
      </c>
      <c r="Y342" t="n">
        <v>1884709</v>
      </c>
      <c r="Z342" t="n">
        <v>0</v>
      </c>
      <c r="AA342" t="n">
        <v>0</v>
      </c>
      <c r="AB342" t="n">
        <v>0</v>
      </c>
      <c r="AC342" t="n">
        <v>0</v>
      </c>
      <c r="AD342" t="n">
        <v>1884709</v>
      </c>
      <c r="AE342" t="n">
        <v>0</v>
      </c>
    </row>
    <row r="343">
      <c r="A343" t="inlineStr">
        <is>
          <t>1 - ADMINISTRACIÓN CENTRAL</t>
        </is>
      </c>
      <c r="B343" t="inlineStr">
        <is>
          <t>35 - COMERCIO, INDUSTRIA Y TURISMO</t>
        </is>
      </c>
      <c r="C343" t="inlineStr">
        <is>
          <t>0200</t>
        </is>
      </c>
      <c r="D343" t="inlineStr">
        <is>
          <t>3502</t>
        </is>
      </c>
      <c r="E343" t="inlineStr">
        <is>
          <t>3502036</t>
        </is>
      </c>
      <c r="F343" t="inlineStr">
        <is>
          <t>SERVICIO DE APOYO FINANCIERO PARA LA COMPETITIVIDAD TURÍSTICA</t>
        </is>
      </c>
      <c r="G343" t="inlineStr">
        <is>
          <t>2024548740058</t>
        </is>
      </c>
      <c r="H343" t="inlineStr">
        <is>
          <t>APOYO PARA LA PRODUCTIVIDAD Y COMPETITIVIDAD DE LAS EMPRESAS LOCALES EN EL MUNICIPIO DE VILLA DEL ROSARIO. VILLA DEL ROSARIO UNA CIUDAD POSIBLE</t>
        </is>
      </c>
      <c r="I343" t="inlineStr">
        <is>
          <t>91138</t>
        </is>
      </c>
      <c r="J343" t="inlineStr">
        <is>
          <t>Servicios de la administración pública relacionados con asuntos económicos, comerciales y laborales</t>
        </is>
      </c>
      <c r="K343" t="inlineStr">
        <is>
          <t>00</t>
        </is>
      </c>
      <c r="L343" t="inlineStr">
        <is>
          <t>SIN ATRIBUTO</t>
        </is>
      </c>
      <c r="N343" t="inlineStr">
        <is>
          <t>2.3.2.02.02.009.35.01</t>
        </is>
      </c>
      <c r="O343" t="inlineStr">
        <is>
          <t>Servicio de apoyo financiero para la competitividad turística</t>
        </is>
      </c>
      <c r="P343" t="inlineStr">
        <is>
          <t>1.2.2.0.00.00</t>
        </is>
      </c>
      <c r="Q343" t="inlineStr">
        <is>
          <t>50% SOBRETASA A LA GASOLINA PROYECTOS PLAN DE DESARROLLO 2024-2027</t>
        </is>
      </c>
      <c r="R343" t="n">
        <v>70000000</v>
      </c>
      <c r="S343" t="n">
        <v>0</v>
      </c>
      <c r="T343" t="n">
        <v>0</v>
      </c>
      <c r="U343" t="n">
        <v>0</v>
      </c>
      <c r="V343" t="n">
        <v>0</v>
      </c>
      <c r="W343" t="n">
        <v>0</v>
      </c>
      <c r="X343" t="n">
        <v>0</v>
      </c>
      <c r="Y343" t="n">
        <v>70000000</v>
      </c>
      <c r="Z343" t="n">
        <v>0</v>
      </c>
      <c r="AA343" t="n">
        <v>0</v>
      </c>
      <c r="AB343" t="n">
        <v>0</v>
      </c>
      <c r="AC343" t="n">
        <v>0</v>
      </c>
      <c r="AD343" t="n">
        <v>70000000</v>
      </c>
      <c r="AE343" t="n">
        <v>0</v>
      </c>
    </row>
    <row r="344">
      <c r="A344" t="inlineStr">
        <is>
          <t>1 - ADMINISTRACIÓN CENTRAL</t>
        </is>
      </c>
      <c r="B344" t="inlineStr">
        <is>
          <t>35 - COMERCIO, INDUSTRIA Y TURISMO</t>
        </is>
      </c>
      <c r="C344" t="inlineStr">
        <is>
          <t>0200</t>
        </is>
      </c>
      <c r="D344" t="inlineStr">
        <is>
          <t>3502</t>
        </is>
      </c>
      <c r="E344" t="inlineStr">
        <is>
          <t>3502046</t>
        </is>
      </c>
      <c r="F344" t="inlineStr">
        <is>
          <t>SERVICIO DE PROMOCIÓN TURÍSTICA</t>
        </is>
      </c>
      <c r="G344" t="inlineStr">
        <is>
          <t>2024548740058</t>
        </is>
      </c>
      <c r="H344" t="inlineStr">
        <is>
          <t>APOYO PARA LA PRODUCTIVIDAD Y COMPETITIVIDAD DE LAS EMPRESAS LOCALES EN EL MUNICIPIO DE VILLA DEL ROSARIO. VILLA DEL ROSARIO UNA CIUDAD POSIBLE</t>
        </is>
      </c>
      <c r="I344" t="inlineStr">
        <is>
          <t>91138</t>
        </is>
      </c>
      <c r="J344" t="inlineStr">
        <is>
          <t>Servicios de la administración pública relacionados con asuntos económicos, comerciales y laborales</t>
        </is>
      </c>
      <c r="K344" t="inlineStr">
        <is>
          <t>00</t>
        </is>
      </c>
      <c r="L344" t="inlineStr">
        <is>
          <t>SIN ATRIBUTO</t>
        </is>
      </c>
      <c r="N344" t="inlineStr">
        <is>
          <t>2.3.2.02.02.009.35.02</t>
        </is>
      </c>
      <c r="O344" t="inlineStr">
        <is>
          <t>Servicio de promoción turística</t>
        </is>
      </c>
      <c r="P344" t="inlineStr">
        <is>
          <t>1.2.2.0.00.00</t>
        </is>
      </c>
      <c r="Q344" t="inlineStr">
        <is>
          <t>50% SOBRETASA A LA GASOLINA PROYECTOS PLAN DE DESARROLLO 2024-2027</t>
        </is>
      </c>
      <c r="R344" t="n">
        <v>70000000</v>
      </c>
      <c r="S344" t="n">
        <v>0</v>
      </c>
      <c r="T344" t="n">
        <v>0</v>
      </c>
      <c r="U344" t="n">
        <v>0</v>
      </c>
      <c r="V344" t="n">
        <v>0</v>
      </c>
      <c r="W344" t="n">
        <v>0</v>
      </c>
      <c r="X344" t="n">
        <v>0</v>
      </c>
      <c r="Y344" t="n">
        <v>70000000</v>
      </c>
      <c r="Z344" t="n">
        <v>0</v>
      </c>
      <c r="AA344" t="n">
        <v>0</v>
      </c>
      <c r="AB344" t="n">
        <v>0</v>
      </c>
      <c r="AC344" t="n">
        <v>0</v>
      </c>
      <c r="AD344" t="n">
        <v>70000000</v>
      </c>
      <c r="AE344" t="n">
        <v>0</v>
      </c>
    </row>
    <row r="345">
      <c r="A345" t="inlineStr">
        <is>
          <t>1 - ADMINISTRACIÓN CENTRAL</t>
        </is>
      </c>
      <c r="B345" t="inlineStr">
        <is>
          <t>35 - COMERCIO, INDUSTRIA Y TURISMO</t>
        </is>
      </c>
      <c r="C345" t="inlineStr">
        <is>
          <t>0200</t>
        </is>
      </c>
      <c r="D345" t="inlineStr">
        <is>
          <t>3502</t>
        </is>
      </c>
      <c r="E345" t="inlineStr">
        <is>
          <t>3502019</t>
        </is>
      </c>
      <c r="F345" t="inlineStr">
        <is>
          <t>SERVICIO DE ASISTENCIA TÉCNICA Y ACOMPAÑAMIENTO PRODUCTIVO Y EMPRESARIAL</t>
        </is>
      </c>
      <c r="G345" t="inlineStr">
        <is>
          <t>2024548740058</t>
        </is>
      </c>
      <c r="H345" t="inlineStr">
        <is>
          <t>APOYO PARA LA PRODUCTIVIDAD Y COMPETITIVIDAD DE LAS EMPRESAS LOCALES EN EL MUNICIPIO DE VILLA DEL ROSARIO. VILLA DEL ROSARIO UNA CIUDAD POSIBLE</t>
        </is>
      </c>
      <c r="I345" t="inlineStr">
        <is>
          <t>91138</t>
        </is>
      </c>
      <c r="J345" t="inlineStr">
        <is>
          <t>Servicios de la administración pública relacionados con asuntos económicos, comerciales y laborales</t>
        </is>
      </c>
      <c r="K345" t="inlineStr">
        <is>
          <t>00</t>
        </is>
      </c>
      <c r="L345" t="inlineStr">
        <is>
          <t>SIN ATRIBUTO</t>
        </is>
      </c>
      <c r="N345" t="inlineStr">
        <is>
          <t>2.3.2.02.02.009.35.03</t>
        </is>
      </c>
      <c r="O345" t="inlineStr">
        <is>
          <t>Servicio de asistencia técnica y acompañamiento productivo y empresarial</t>
        </is>
      </c>
      <c r="P345" t="inlineStr">
        <is>
          <t>1.2.2.0.00.00</t>
        </is>
      </c>
      <c r="Q345" t="inlineStr">
        <is>
          <t>50% SOBRETASA A LA GASOLINA PROYECTOS PLAN DE DESARROLLO 2024-2027</t>
        </is>
      </c>
      <c r="R345" t="n">
        <v>120000000</v>
      </c>
      <c r="S345" t="n">
        <v>0</v>
      </c>
      <c r="T345" t="n">
        <v>0</v>
      </c>
      <c r="U345" t="n">
        <v>0</v>
      </c>
      <c r="V345" t="n">
        <v>0</v>
      </c>
      <c r="W345" t="n">
        <v>0</v>
      </c>
      <c r="X345" t="n">
        <v>0</v>
      </c>
      <c r="Y345" t="n">
        <v>120000000</v>
      </c>
      <c r="Z345" t="n">
        <v>0</v>
      </c>
      <c r="AA345" t="n">
        <v>0</v>
      </c>
      <c r="AB345" t="n">
        <v>0</v>
      </c>
      <c r="AC345" t="n">
        <v>0</v>
      </c>
      <c r="AD345" t="n">
        <v>120000000</v>
      </c>
      <c r="AE345" t="n">
        <v>0</v>
      </c>
    </row>
    <row r="346">
      <c r="A346" t="inlineStr">
        <is>
          <t>1 - ADMINISTRACIÓN CENTRAL</t>
        </is>
      </c>
      <c r="B346" t="inlineStr">
        <is>
          <t>40 - VIVIENDA, CIUDAD Y TERRITORIO</t>
        </is>
      </c>
      <c r="C346" t="inlineStr">
        <is>
          <t>1400</t>
        </is>
      </c>
      <c r="D346" t="inlineStr">
        <is>
          <t>4003</t>
        </is>
      </c>
      <c r="E346" t="inlineStr">
        <is>
          <t>4003021</t>
        </is>
      </c>
      <c r="F346" t="inlineStr">
        <is>
          <t>SERVICIOS DE ASISTENCIA TÉCNICA EN MANEJO DE RESIDUOS SOLIDOS</t>
        </is>
      </c>
      <c r="G346" t="inlineStr">
        <is>
          <t>2024548740021</t>
        </is>
      </c>
      <c r="H346" t="inlineStr">
        <is>
          <t>APOYO PARA EL ACCESO DE LA POBLACIÓN A LOS SERVICIOS DE AGUA POTABLE Y SANEAMIENTO BASICO EN EL MUNICIPIO DE VILLA DEL ROSARIO. VILLA DEL ROSARIO UNA CIUDAD POSIBLE</t>
        </is>
      </c>
      <c r="I346" t="inlineStr">
        <is>
          <t>94900</t>
        </is>
      </c>
      <c r="J346" t="inlineStr">
        <is>
          <t>Otros servicios de protección del medio ambiente n.c.p.</t>
        </is>
      </c>
      <c r="K346" t="inlineStr">
        <is>
          <t>00</t>
        </is>
      </c>
      <c r="L346" t="inlineStr">
        <is>
          <t>SIN ATRIBUTO</t>
        </is>
      </c>
      <c r="N346" t="inlineStr">
        <is>
          <t>2.3.2.02.02.009.40.01</t>
        </is>
      </c>
      <c r="O346" t="inlineStr">
        <is>
          <t>Interventoria escombrera</t>
        </is>
      </c>
      <c r="P346" t="inlineStr">
        <is>
          <t>1.2.2.0.00.13</t>
        </is>
      </c>
      <c r="Q346" t="inlineStr">
        <is>
          <t>INGRESOS ESCOMBRERA MUNICIPAL</t>
        </is>
      </c>
      <c r="R346" t="n">
        <v>30000000</v>
      </c>
      <c r="S346" t="n">
        <v>0</v>
      </c>
      <c r="T346" t="n">
        <v>0</v>
      </c>
      <c r="U346" t="n">
        <v>0</v>
      </c>
      <c r="V346" t="n">
        <v>0</v>
      </c>
      <c r="W346" t="n">
        <v>0</v>
      </c>
      <c r="X346" t="n">
        <v>0</v>
      </c>
      <c r="Y346" t="n">
        <v>30000000</v>
      </c>
      <c r="Z346" t="n">
        <v>30000000</v>
      </c>
      <c r="AA346" t="n">
        <v>30000000</v>
      </c>
      <c r="AB346" t="n">
        <v>16139288</v>
      </c>
      <c r="AC346" t="n">
        <v>16139288</v>
      </c>
      <c r="AD346" t="n">
        <v>0</v>
      </c>
      <c r="AE346" t="n">
        <v>100</v>
      </c>
    </row>
    <row r="347">
      <c r="A347" t="inlineStr">
        <is>
          <t>1 - ADMINISTRACIÓN CENTRAL</t>
        </is>
      </c>
      <c r="B347" t="inlineStr">
        <is>
          <t>40 - VIVIENDA, CIUDAD Y TERRITORIO</t>
        </is>
      </c>
      <c r="C347" t="inlineStr">
        <is>
          <t>1400</t>
        </is>
      </c>
      <c r="D347" t="inlineStr">
        <is>
          <t>4003</t>
        </is>
      </c>
      <c r="E347" t="inlineStr">
        <is>
          <t>4003023</t>
        </is>
      </c>
      <c r="F347" t="inlineStr">
        <is>
          <t>SERVICIOS DE SEGUIMIENTO AL PLAN DE GESTIÓN INTEGRAL DE RESIDUOS SOLIDOS PGIRS</t>
        </is>
      </c>
      <c r="G347" t="inlineStr">
        <is>
          <t>2024548740021</t>
        </is>
      </c>
      <c r="H347" t="inlineStr">
        <is>
          <t>APOYO PARA EL ACCESO DE LA POBLACIÓN A LOS SERVICIOS DE AGUA POTABLE Y SANEAMIENTO BASICO EN EL MUNICIPIO DE VILLA DEL ROSARIO. VILLA DEL ROSARIO UNA CIUDAD POSIBLE</t>
        </is>
      </c>
      <c r="I347" t="inlineStr">
        <is>
          <t>94900</t>
        </is>
      </c>
      <c r="J347" t="inlineStr">
        <is>
          <t>Otros servicios de protección del medio ambiente n.c.p.</t>
        </is>
      </c>
      <c r="K347" t="inlineStr">
        <is>
          <t>00</t>
        </is>
      </c>
      <c r="L347" t="inlineStr">
        <is>
          <t>SIN ATRIBUTO</t>
        </is>
      </c>
      <c r="N347" t="inlineStr">
        <is>
          <t>2.3.2.02.02.009.40.02</t>
        </is>
      </c>
      <c r="O347" t="inlineStr">
        <is>
          <t>Servicios de seguimiento al Plan de Gestión Integral de Residuos Solidos PGIRS</t>
        </is>
      </c>
      <c r="P347" t="inlineStr">
        <is>
          <t>1.2.3.2.22</t>
        </is>
      </c>
      <c r="Q347" t="inlineStr">
        <is>
          <t>OTRAS TASAS Y DERECHOS ADMINISTRATIVOS</t>
        </is>
      </c>
      <c r="R347" t="n">
        <v>50000000</v>
      </c>
      <c r="S347" t="n">
        <v>0</v>
      </c>
      <c r="T347" t="n">
        <v>0</v>
      </c>
      <c r="U347" t="n">
        <v>0</v>
      </c>
      <c r="V347" t="n">
        <v>0</v>
      </c>
      <c r="W347" t="n">
        <v>0</v>
      </c>
      <c r="X347" t="n">
        <v>0</v>
      </c>
      <c r="Y347" t="n">
        <v>50000000</v>
      </c>
      <c r="Z347" t="n">
        <v>0</v>
      </c>
      <c r="AA347" t="n">
        <v>0</v>
      </c>
      <c r="AB347" t="n">
        <v>0</v>
      </c>
      <c r="AC347" t="n">
        <v>0</v>
      </c>
      <c r="AD347" t="n">
        <v>50000000</v>
      </c>
      <c r="AE347" t="n">
        <v>0</v>
      </c>
    </row>
    <row r="348">
      <c r="A348" t="inlineStr">
        <is>
          <t>1 - ADMINISTRACIÓN CENTRAL</t>
        </is>
      </c>
      <c r="B348" t="inlineStr">
        <is>
          <t>40 - VIVIENDA, CIUDAD Y TERRITORIO</t>
        </is>
      </c>
      <c r="C348" t="inlineStr">
        <is>
          <t>1400</t>
        </is>
      </c>
      <c r="D348" t="inlineStr">
        <is>
          <t>4003</t>
        </is>
      </c>
      <c r="E348" t="inlineStr">
        <is>
          <t>4003023</t>
        </is>
      </c>
      <c r="F348" t="inlineStr">
        <is>
          <t>SERVICIOS DE SEGUIMIENTO AL PLAN DE GESTIÓN INTEGRAL DE RESIDUOS SOLIDOS PGIRS</t>
        </is>
      </c>
      <c r="G348" t="inlineStr">
        <is>
          <t>2024548740021</t>
        </is>
      </c>
      <c r="H348" t="inlineStr">
        <is>
          <t>APOYO PARA EL ACCESO DE LA POBLACIÓN A LOS SERVICIOS DE AGUA POTABLE Y SANEAMIENTO BASICO EN EL MUNICIPIO DE VILLA DEL ROSARIO. VILLA DEL ROSARIO UNA CIUDAD POSIBLE</t>
        </is>
      </c>
      <c r="I348" t="inlineStr">
        <is>
          <t>94900</t>
        </is>
      </c>
      <c r="J348" t="inlineStr">
        <is>
          <t>Otros servicios de protección del medio ambiente n.c.p.</t>
        </is>
      </c>
      <c r="K348" t="inlineStr">
        <is>
          <t>00</t>
        </is>
      </c>
      <c r="L348" t="inlineStr">
        <is>
          <t>SIN ATRIBUTO</t>
        </is>
      </c>
      <c r="N348" t="inlineStr">
        <is>
          <t>2.3.2.02.02.009.40.03</t>
        </is>
      </c>
      <c r="O348" t="inlineStr">
        <is>
          <t>Servicios de seguimiento al Plan de Gestión Integral de Residuos Solidos PGIRS</t>
        </is>
      </c>
      <c r="P348" t="inlineStr">
        <is>
          <t>1.3.2.3.11.17</t>
        </is>
      </c>
      <c r="Q348" t="inlineStr">
        <is>
          <t>OTROS RENDIMIENTOS FINANCIEROS APROVECHAMIENTO DE RESIDUOS SOLIDOS 2023</t>
        </is>
      </c>
      <c r="R348" t="n">
        <v>560000</v>
      </c>
      <c r="S348" t="n">
        <v>0</v>
      </c>
      <c r="T348" t="n">
        <v>0</v>
      </c>
      <c r="U348" t="n">
        <v>0</v>
      </c>
      <c r="V348" t="n">
        <v>0</v>
      </c>
      <c r="W348" t="n">
        <v>0</v>
      </c>
      <c r="X348" t="n">
        <v>0</v>
      </c>
      <c r="Y348" t="n">
        <v>560000</v>
      </c>
      <c r="Z348" t="n">
        <v>0</v>
      </c>
      <c r="AA348" t="n">
        <v>0</v>
      </c>
      <c r="AB348" t="n">
        <v>0</v>
      </c>
      <c r="AC348" t="n">
        <v>0</v>
      </c>
      <c r="AD348" t="n">
        <v>560000</v>
      </c>
      <c r="AE348" t="n">
        <v>0</v>
      </c>
    </row>
    <row r="349">
      <c r="A349" t="inlineStr">
        <is>
          <t>1 - ADMINISTRACIÓN CENTRAL</t>
        </is>
      </c>
      <c r="B349" t="inlineStr">
        <is>
          <t>40 - VIVIENDA, CIUDAD Y TERRITORIO</t>
        </is>
      </c>
      <c r="C349" t="inlineStr">
        <is>
          <t>1400</t>
        </is>
      </c>
      <c r="D349" t="inlineStr">
        <is>
          <t>4003</t>
        </is>
      </c>
      <c r="E349" t="inlineStr">
        <is>
          <t>4003023</t>
        </is>
      </c>
      <c r="F349" t="inlineStr">
        <is>
          <t>SERVICIOS DE SEGUIMIENTO AL PLAN DE GESTIÓN INTEGRAL DE RESIDUOS SOLIDOS PGIRS</t>
        </is>
      </c>
      <c r="G349" t="inlineStr">
        <is>
          <t>2024548740021</t>
        </is>
      </c>
      <c r="H349" t="inlineStr">
        <is>
          <t>APOYO PARA EL ACCESO DE LA POBLACIÓN A LOS SERVICIOS DE AGUA POTABLE Y SANEAMIENTO BASICO EN EL MUNICIPIO DE VILLA DEL ROSARIO. VILLA DEL ROSARIO UNA CIUDAD POSIBLE</t>
        </is>
      </c>
      <c r="I349" t="inlineStr">
        <is>
          <t>94900</t>
        </is>
      </c>
      <c r="J349" t="inlineStr">
        <is>
          <t>Otros servicios de protección del medio ambiente n.c.p.</t>
        </is>
      </c>
      <c r="K349" t="inlineStr">
        <is>
          <t>00</t>
        </is>
      </c>
      <c r="L349" t="inlineStr">
        <is>
          <t>SIN ATRIBUTO</t>
        </is>
      </c>
      <c r="N349" t="inlineStr">
        <is>
          <t>2.3.2.02.02.009.40.04</t>
        </is>
      </c>
      <c r="O349" t="inlineStr">
        <is>
          <t>Servicios de seguimiento al Plan de Gestión Integral de Residuos Solidos PGIRS</t>
        </is>
      </c>
      <c r="P349" t="inlineStr">
        <is>
          <t>1.3.2.3.11.18</t>
        </is>
      </c>
      <c r="Q349" t="inlineStr">
        <is>
          <t>OTROS RENDIMIENTOS FINANCIEROS APROVECHAMIENTO DE RESIDUOS SOLIDOS 2024</t>
        </is>
      </c>
      <c r="R349" t="n">
        <v>500000</v>
      </c>
      <c r="S349" t="n">
        <v>0</v>
      </c>
      <c r="T349" t="n">
        <v>0</v>
      </c>
      <c r="U349" t="n">
        <v>0</v>
      </c>
      <c r="V349" t="n">
        <v>0</v>
      </c>
      <c r="W349" t="n">
        <v>0</v>
      </c>
      <c r="X349" t="n">
        <v>0</v>
      </c>
      <c r="Y349" t="n">
        <v>500000</v>
      </c>
      <c r="Z349" t="n">
        <v>0</v>
      </c>
      <c r="AA349" t="n">
        <v>0</v>
      </c>
      <c r="AB349" t="n">
        <v>0</v>
      </c>
      <c r="AC349" t="n">
        <v>0</v>
      </c>
      <c r="AD349" t="n">
        <v>500000</v>
      </c>
      <c r="AE349" t="n">
        <v>0</v>
      </c>
    </row>
    <row r="350">
      <c r="A350" t="inlineStr">
        <is>
          <t>1 - ADMINISTRACIÓN CENTRAL</t>
        </is>
      </c>
      <c r="B350" t="inlineStr">
        <is>
          <t>40 - VIVIENDA, CIUDAD Y TERRITORIO</t>
        </is>
      </c>
      <c r="C350" t="inlineStr">
        <is>
          <t>1400</t>
        </is>
      </c>
      <c r="D350" t="inlineStr">
        <is>
          <t>4003</t>
        </is>
      </c>
      <c r="E350" t="inlineStr">
        <is>
          <t>4003023</t>
        </is>
      </c>
      <c r="F350" t="inlineStr">
        <is>
          <t>SERVICIOS DE SEGUIMIENTO AL PLAN DE GESTIÓN INTEGRAL DE RESIDUOS SOLIDOS PGIRS</t>
        </is>
      </c>
      <c r="G350" t="inlineStr">
        <is>
          <t>2024548740021</t>
        </is>
      </c>
      <c r="H350" t="inlineStr">
        <is>
          <t>APOYO PARA EL ACCESO DE LA POBLACIÓN A LOS SERVICIOS DE AGUA POTABLE Y SANEAMIENTO BASICO EN EL MUNICIPIO DE VILLA DEL ROSARIO. VILLA DEL ROSARIO UNA CIUDAD POSIBLE</t>
        </is>
      </c>
      <c r="I350" t="inlineStr">
        <is>
          <t>94900</t>
        </is>
      </c>
      <c r="J350" t="inlineStr">
        <is>
          <t>Otros servicios de protección del medio ambiente n.c.p.</t>
        </is>
      </c>
      <c r="K350" t="inlineStr">
        <is>
          <t>00</t>
        </is>
      </c>
      <c r="L350" t="inlineStr">
        <is>
          <t>SIN ATRIBUTO</t>
        </is>
      </c>
      <c r="N350" t="inlineStr">
        <is>
          <t>2.3.2.02.02.009.40.05</t>
        </is>
      </c>
      <c r="O350" t="inlineStr">
        <is>
          <t>Servicios de seguimiento al Plan de Gestión Integral de Residuos Solidos PGIRS</t>
        </is>
      </c>
      <c r="P350" t="inlineStr">
        <is>
          <t>1.3.3.2.00.06</t>
        </is>
      </c>
      <c r="Q350" t="inlineStr">
        <is>
          <t>R.B. DE DESTINACIÓN ESPECIFICA POR ACTO ADTIVO -APROVECHAMIENTO RESIDUOS SOLIDOS 2023</t>
        </is>
      </c>
      <c r="R350" t="n">
        <v>1000000</v>
      </c>
      <c r="S350" t="n">
        <v>0</v>
      </c>
      <c r="T350" t="n">
        <v>0</v>
      </c>
      <c r="U350" t="n">
        <v>0</v>
      </c>
      <c r="V350" t="n">
        <v>0</v>
      </c>
      <c r="W350" t="n">
        <v>0</v>
      </c>
      <c r="X350" t="n">
        <v>0</v>
      </c>
      <c r="Y350" t="n">
        <v>1000000</v>
      </c>
      <c r="Z350" t="n">
        <v>0</v>
      </c>
      <c r="AA350" t="n">
        <v>0</v>
      </c>
      <c r="AB350" t="n">
        <v>0</v>
      </c>
      <c r="AC350" t="n">
        <v>0</v>
      </c>
      <c r="AD350" t="n">
        <v>1000000</v>
      </c>
      <c r="AE350" t="n">
        <v>0</v>
      </c>
    </row>
    <row r="351">
      <c r="A351" t="inlineStr">
        <is>
          <t>1 - ADMINISTRACIÓN CENTRAL</t>
        </is>
      </c>
      <c r="B351" t="inlineStr">
        <is>
          <t>40 - VIVIENDA, CIUDAD Y TERRITORIO</t>
        </is>
      </c>
      <c r="C351" t="inlineStr">
        <is>
          <t>1400</t>
        </is>
      </c>
      <c r="D351" t="inlineStr">
        <is>
          <t>4003</t>
        </is>
      </c>
      <c r="E351" t="inlineStr">
        <is>
          <t>4003023</t>
        </is>
      </c>
      <c r="F351" t="inlineStr">
        <is>
          <t>SERVICIOS DE SEGUIMIENTO AL PLAN DE GESTIÓN INTEGRAL DE RESIDUOS SOLIDOS PGIRS</t>
        </is>
      </c>
      <c r="G351" t="inlineStr">
        <is>
          <t>2024548740021</t>
        </is>
      </c>
      <c r="H351" t="inlineStr">
        <is>
          <t>APOYO PARA EL ACCESO DE LA POBLACIÓN A LOS SERVICIOS DE AGUA POTABLE Y SANEAMIENTO BASICO EN EL MUNICIPIO DE VILLA DEL ROSARIO. VILLA DEL ROSARIO UNA CIUDAD POSIBLE</t>
        </is>
      </c>
      <c r="I351" t="inlineStr">
        <is>
          <t>94900</t>
        </is>
      </c>
      <c r="J351" t="inlineStr">
        <is>
          <t>Otros servicios de protección del medio ambiente n.c.p.</t>
        </is>
      </c>
      <c r="K351" t="inlineStr">
        <is>
          <t>00</t>
        </is>
      </c>
      <c r="L351" t="inlineStr">
        <is>
          <t>SIN ATRIBUTO</t>
        </is>
      </c>
      <c r="N351" t="inlineStr">
        <is>
          <t>2.3.2.02.02.009.40.06</t>
        </is>
      </c>
      <c r="O351" t="inlineStr">
        <is>
          <t>Servicios de seguimiento al Plan de Gestión Integral de Residuos Solidos PGIRS</t>
        </is>
      </c>
      <c r="P351" t="inlineStr">
        <is>
          <t>1.3.2.3.11.28</t>
        </is>
      </c>
      <c r="Q351" t="inlineStr">
        <is>
          <t>OTROS RENDIMIENTOS FINANCIEROS - ALUMBRADO PUBLICO S.S.F. 2025</t>
        </is>
      </c>
      <c r="R351" t="n">
        <v>100000</v>
      </c>
      <c r="S351" t="n">
        <v>0</v>
      </c>
      <c r="T351" t="n">
        <v>0</v>
      </c>
      <c r="U351" t="n">
        <v>0</v>
      </c>
      <c r="V351" t="n">
        <v>0</v>
      </c>
      <c r="W351" t="n">
        <v>0</v>
      </c>
      <c r="X351" t="n">
        <v>0</v>
      </c>
      <c r="Y351" t="n">
        <v>100000</v>
      </c>
      <c r="Z351" t="n">
        <v>0</v>
      </c>
      <c r="AA351" t="n">
        <v>0</v>
      </c>
      <c r="AB351" t="n">
        <v>0</v>
      </c>
      <c r="AC351" t="n">
        <v>0</v>
      </c>
      <c r="AD351" t="n">
        <v>100000</v>
      </c>
      <c r="AE351" t="n">
        <v>0</v>
      </c>
    </row>
    <row r="352">
      <c r="A352" t="inlineStr">
        <is>
          <t>1 - ADMINISTRACIÓN CENTRAL</t>
        </is>
      </c>
      <c r="B352" t="inlineStr">
        <is>
          <t>40 - VIVIENDA, CIUDAD Y TERRITORIO</t>
        </is>
      </c>
      <c r="C352" t="inlineStr">
        <is>
          <t>1400</t>
        </is>
      </c>
      <c r="D352" t="inlineStr">
        <is>
          <t>4003</t>
        </is>
      </c>
      <c r="E352" t="inlineStr">
        <is>
          <t>4003023</t>
        </is>
      </c>
      <c r="F352" t="inlineStr">
        <is>
          <t>SERVICIOS DE SEGUIMIENTO AL PLAN DE GESTIÓN INTEGRAL DE RESIDUOS SOLIDOS PGIRS</t>
        </is>
      </c>
      <c r="G352" t="inlineStr">
        <is>
          <t>2024548740021</t>
        </is>
      </c>
      <c r="H352" t="inlineStr">
        <is>
          <t>APOYO PARA EL ACCESO DE LA POBLACIÓN A LOS SERVICIOS DE AGUA POTABLE Y SANEAMIENTO BASICO EN EL MUNICIPIO DE VILLA DEL ROSARIO. VILLA DEL ROSARIO UNA CIUDAD POSIBLE</t>
        </is>
      </c>
      <c r="I352" t="inlineStr">
        <is>
          <t>94900</t>
        </is>
      </c>
      <c r="J352" t="inlineStr">
        <is>
          <t>Otros servicios de protección del medio ambiente n.c.p.</t>
        </is>
      </c>
      <c r="K352" t="inlineStr">
        <is>
          <t>00</t>
        </is>
      </c>
      <c r="L352" t="inlineStr">
        <is>
          <t>SIN ATRIBUTO</t>
        </is>
      </c>
      <c r="N352" t="inlineStr">
        <is>
          <t>2.3.2.02.02.009.40.07</t>
        </is>
      </c>
      <c r="O352" t="inlineStr">
        <is>
          <t>Servicios de seguimiento al Plan de Gestión Integral de Residuos Solidos PGIRS</t>
        </is>
      </c>
      <c r="P352" t="inlineStr">
        <is>
          <t>1.3.3.2.00.12</t>
        </is>
      </c>
      <c r="Q352" t="inlineStr">
        <is>
          <t>R.B. DE DESTINACIÓN ESPECIFICA POR ACTO ADTIVO -APROVECHAMIENTO RESIDUOS SOLIDOS 2025</t>
        </is>
      </c>
      <c r="R352" t="n">
        <v>0</v>
      </c>
      <c r="S352" t="n">
        <v>409874464</v>
      </c>
      <c r="T352" t="n">
        <v>0</v>
      </c>
      <c r="U352" t="n">
        <v>0</v>
      </c>
      <c r="V352" t="n">
        <v>0</v>
      </c>
      <c r="W352" t="n">
        <v>0</v>
      </c>
      <c r="X352" t="n">
        <v>0</v>
      </c>
      <c r="Y352" t="n">
        <v>409874464</v>
      </c>
      <c r="Z352" t="n">
        <v>0</v>
      </c>
      <c r="AA352" t="n">
        <v>0</v>
      </c>
      <c r="AB352" t="n">
        <v>0</v>
      </c>
      <c r="AC352" t="n">
        <v>0</v>
      </c>
      <c r="AD352" t="n">
        <v>409874464</v>
      </c>
      <c r="AE352" t="n">
        <v>0</v>
      </c>
    </row>
    <row r="353">
      <c r="A353" t="inlineStr">
        <is>
          <t>1 - ADMINISTRACIÓN CENTRAL</t>
        </is>
      </c>
      <c r="B353" t="inlineStr">
        <is>
          <t>40 - VIVIENDA, CIUDAD Y TERRITORIO</t>
        </is>
      </c>
      <c r="C353" t="inlineStr">
        <is>
          <t>1400</t>
        </is>
      </c>
      <c r="D353" t="inlineStr">
        <is>
          <t>4003</t>
        </is>
      </c>
      <c r="E353" t="inlineStr">
        <is>
          <t>4003023</t>
        </is>
      </c>
      <c r="F353" t="inlineStr">
        <is>
          <t>SERVICIOS DE SEGUIMIENTO AL PLAN DE GESTIÓN INTEGRAL DE RESIDUOS SOLIDOS PGIRS</t>
        </is>
      </c>
      <c r="G353" t="inlineStr">
        <is>
          <t>2024548740021</t>
        </is>
      </c>
      <c r="H353" t="inlineStr">
        <is>
          <t>APOYO PARA EL ACCESO DE LA POBLACIÓN A LOS SERVICIOS DE AGUA POTABLE Y SANEAMIENTO BASICO EN EL MUNICIPIO DE VILLA DEL ROSARIO. VILLA DEL ROSARIO UNA CIUDAD POSIBLE</t>
        </is>
      </c>
      <c r="I353" t="inlineStr">
        <is>
          <t>94900</t>
        </is>
      </c>
      <c r="J353" t="inlineStr">
        <is>
          <t>Otros servicios de protección del medio ambiente n.c.p.</t>
        </is>
      </c>
      <c r="K353" t="inlineStr">
        <is>
          <t>00</t>
        </is>
      </c>
      <c r="L353" t="inlineStr">
        <is>
          <t>SIN ATRIBUTO</t>
        </is>
      </c>
      <c r="N353" t="inlineStr">
        <is>
          <t>2.3.2.02.02.009.40.08</t>
        </is>
      </c>
      <c r="O353" t="inlineStr">
        <is>
          <t>Servicios de seguimiento al Plan de Gestión Integral de Residuos Solidos PGIRS</t>
        </is>
      </c>
      <c r="P353" t="inlineStr">
        <is>
          <t>1.3.3.2.00.07</t>
        </is>
      </c>
      <c r="Q353" t="inlineStr">
        <is>
          <t>R.B. DE DESTINACIÓN ESPECIFICA POR ACTO ADTIVO -APROVECHAMIENTO RESIDUOS SOLIDOS 2024</t>
        </is>
      </c>
      <c r="R353" t="n">
        <v>0</v>
      </c>
      <c r="S353" t="n">
        <v>229649615</v>
      </c>
      <c r="T353" t="n">
        <v>0</v>
      </c>
      <c r="U353" t="n">
        <v>0</v>
      </c>
      <c r="V353" t="n">
        <v>0</v>
      </c>
      <c r="W353" t="n">
        <v>0</v>
      </c>
      <c r="X353" t="n">
        <v>0</v>
      </c>
      <c r="Y353" t="n">
        <v>229649615</v>
      </c>
      <c r="Z353" t="n">
        <v>0</v>
      </c>
      <c r="AA353" t="n">
        <v>0</v>
      </c>
      <c r="AB353" t="n">
        <v>0</v>
      </c>
      <c r="AC353" t="n">
        <v>0</v>
      </c>
      <c r="AD353" t="n">
        <v>229649615</v>
      </c>
      <c r="AE353" t="n">
        <v>0</v>
      </c>
    </row>
    <row r="354">
      <c r="A354" t="inlineStr">
        <is>
          <t>1 - ADMINISTRACIÓN CENTRAL</t>
        </is>
      </c>
      <c r="B354" t="inlineStr">
        <is>
          <t>40 - VIVIENDA, CIUDAD Y TERRITORIO</t>
        </is>
      </c>
      <c r="C354" t="inlineStr">
        <is>
          <t>1400</t>
        </is>
      </c>
      <c r="D354" t="inlineStr">
        <is>
          <t>4003</t>
        </is>
      </c>
      <c r="E354" t="inlineStr">
        <is>
          <t>4003023</t>
        </is>
      </c>
      <c r="F354" t="inlineStr">
        <is>
          <t>SERVICIOS DE SEGUIMIENTO AL PLAN DE GESTIÓN INTEGRAL DE RESIDUOS SOLIDOS PGIRS</t>
        </is>
      </c>
      <c r="G354" t="inlineStr">
        <is>
          <t>2024548740021</t>
        </is>
      </c>
      <c r="H354" t="inlineStr">
        <is>
          <t>APOYO PARA EL ACCESO DE LA POBLACIÓN A LOS SERVICIOS DE AGUA POTABLE Y SANEAMIENTO BASICO EN EL MUNICIPIO DE VILLA DEL ROSARIO. VILLA DEL ROSARIO UNA CIUDAD POSIBLE</t>
        </is>
      </c>
      <c r="I354" t="inlineStr">
        <is>
          <t>94900</t>
        </is>
      </c>
      <c r="J354" t="inlineStr">
        <is>
          <t>Otros servicios de protección del medio ambiente n.c.p.</t>
        </is>
      </c>
      <c r="K354" t="inlineStr">
        <is>
          <t>00</t>
        </is>
      </c>
      <c r="L354" t="inlineStr">
        <is>
          <t>SIN ATRIBUTO</t>
        </is>
      </c>
      <c r="N354" t="inlineStr">
        <is>
          <t>2.3.2.02.02.009.40.09</t>
        </is>
      </c>
      <c r="O354" t="inlineStr">
        <is>
          <t>Servicios de seguimiento al Plan de Gestión Integral de Residuos Solidos PGIRS</t>
        </is>
      </c>
      <c r="P354" t="inlineStr">
        <is>
          <t>1.3.3.2.00.06</t>
        </is>
      </c>
      <c r="Q354" t="inlineStr">
        <is>
          <t>R.B. DE DESTINACIÓN ESPECIFICA POR ACTO ADTIVO -APROVECHAMIENTO RESIDUOS SOLIDOS 2023</t>
        </is>
      </c>
      <c r="R354" t="n">
        <v>0</v>
      </c>
      <c r="S354" t="n">
        <v>159045054</v>
      </c>
      <c r="T354" t="n">
        <v>0</v>
      </c>
      <c r="U354" t="n">
        <v>0</v>
      </c>
      <c r="V354" t="n">
        <v>0</v>
      </c>
      <c r="W354" t="n">
        <v>0</v>
      </c>
      <c r="X354" t="n">
        <v>0</v>
      </c>
      <c r="Y354" t="n">
        <v>159045054</v>
      </c>
      <c r="Z354" t="n">
        <v>0</v>
      </c>
      <c r="AA354" t="n">
        <v>0</v>
      </c>
      <c r="AB354" t="n">
        <v>0</v>
      </c>
      <c r="AC354" t="n">
        <v>0</v>
      </c>
      <c r="AD354" t="n">
        <v>159045054</v>
      </c>
      <c r="AE354" t="n">
        <v>0</v>
      </c>
    </row>
    <row r="355">
      <c r="A355" t="inlineStr">
        <is>
          <t>1 - ADMINISTRACIÓN CENTRAL</t>
        </is>
      </c>
      <c r="B355" t="inlineStr">
        <is>
          <t>40 - VIVIENDA, CIUDAD Y TERRITORIO</t>
        </is>
      </c>
      <c r="C355" t="inlineStr">
        <is>
          <t>1400</t>
        </is>
      </c>
      <c r="D355" t="inlineStr">
        <is>
          <t>4003</t>
        </is>
      </c>
      <c r="E355" t="inlineStr">
        <is>
          <t>4003023</t>
        </is>
      </c>
      <c r="F355" t="inlineStr">
        <is>
          <t>SERVICIOS DE SEGUIMIENTO AL PLAN DE GESTIÓN INTEGRAL DE RESIDUOS SOLIDOS PGIRS</t>
        </is>
      </c>
      <c r="G355" t="inlineStr">
        <is>
          <t>2024548740021</t>
        </is>
      </c>
      <c r="H355" t="inlineStr">
        <is>
          <t>APOYO PARA EL ACCESO DE LA POBLACIÓN A LOS SERVICIOS DE AGUA POTABLE Y SANEAMIENTO BASICO EN EL MUNICIPIO DE VILLA DEL ROSARIO. VILLA DEL ROSARIO UNA CIUDAD POSIBLE</t>
        </is>
      </c>
      <c r="I355" t="inlineStr">
        <is>
          <t>94900</t>
        </is>
      </c>
      <c r="J355" t="inlineStr">
        <is>
          <t>Otros servicios de protección del medio ambiente n.c.p.</t>
        </is>
      </c>
      <c r="K355" t="inlineStr">
        <is>
          <t>00</t>
        </is>
      </c>
      <c r="L355" t="inlineStr">
        <is>
          <t>SIN ATRIBUTO</t>
        </is>
      </c>
      <c r="N355" t="inlineStr">
        <is>
          <t>2.3.2.02.02.009.40.10</t>
        </is>
      </c>
      <c r="O355" t="inlineStr">
        <is>
          <t>Servicios de seguimiento al Plan de Gestión Integral de Residuos Solidos PGIRS</t>
        </is>
      </c>
      <c r="P355" t="inlineStr">
        <is>
          <t>1.3.2.3.11.29</t>
        </is>
      </c>
      <c r="Q355" t="inlineStr">
        <is>
          <t>OTROS RENDIMIENTOS FINANCIEROS - IAT INCENTIVO AL APROVECHAMIENTO DE LOS RESIDUOS SOLIDOS 2025</t>
        </is>
      </c>
      <c r="R355" t="n">
        <v>0</v>
      </c>
      <c r="S355" t="n">
        <v>1445540</v>
      </c>
      <c r="T355" t="n">
        <v>0</v>
      </c>
      <c r="U355" t="n">
        <v>0</v>
      </c>
      <c r="V355" t="n">
        <v>0</v>
      </c>
      <c r="W355" t="n">
        <v>0</v>
      </c>
      <c r="X355" t="n">
        <v>0</v>
      </c>
      <c r="Y355" t="n">
        <v>1445540</v>
      </c>
      <c r="Z355" t="n">
        <v>0</v>
      </c>
      <c r="AA355" t="n">
        <v>0</v>
      </c>
      <c r="AB355" t="n">
        <v>0</v>
      </c>
      <c r="AC355" t="n">
        <v>0</v>
      </c>
      <c r="AD355" t="n">
        <v>1445540</v>
      </c>
      <c r="AE355" t="n">
        <v>0</v>
      </c>
    </row>
    <row r="356">
      <c r="A356" t="inlineStr">
        <is>
          <t>1 - ADMINISTRACIÓN CENTRAL</t>
        </is>
      </c>
      <c r="B356" t="inlineStr">
        <is>
          <t>40 - VIVIENDA, CIUDAD Y TERRITORIO</t>
        </is>
      </c>
      <c r="C356" t="inlineStr">
        <is>
          <t>1400</t>
        </is>
      </c>
      <c r="D356" t="inlineStr">
        <is>
          <t>4003</t>
        </is>
      </c>
      <c r="E356" t="inlineStr">
        <is>
          <t>4003023</t>
        </is>
      </c>
      <c r="F356" t="inlineStr">
        <is>
          <t>SERVICIOS DE SEGUIMIENTO AL PLAN DE GESTIÓN INTEGRAL DE RESIDUOS SOLIDOS PGIRS</t>
        </is>
      </c>
      <c r="G356" t="inlineStr">
        <is>
          <t>2024548740021</t>
        </is>
      </c>
      <c r="H356" t="inlineStr">
        <is>
          <t>APOYO PARA EL ACCESO DE LA POBLACIÓN A LOS SERVICIOS DE AGUA POTABLE Y SANEAMIENTO BASICO EN EL MUNICIPIO DE VILLA DEL ROSARIO. VILLA DEL ROSARIO UNA CIUDAD POSIBLE</t>
        </is>
      </c>
      <c r="I356" t="inlineStr">
        <is>
          <t>94900</t>
        </is>
      </c>
      <c r="J356" t="inlineStr">
        <is>
          <t>Otros servicios de protección del medio ambiente n.c.p.</t>
        </is>
      </c>
      <c r="K356" t="inlineStr">
        <is>
          <t>00</t>
        </is>
      </c>
      <c r="L356" t="inlineStr">
        <is>
          <t>SIN ATRIBUTO</t>
        </is>
      </c>
      <c r="N356" t="inlineStr">
        <is>
          <t>2.3.2.02.02.009.40.11</t>
        </is>
      </c>
      <c r="O356" t="inlineStr">
        <is>
          <t>Servicios de seguimiento al Plan de Gestión Integral de Residuos Solidos PGIRS</t>
        </is>
      </c>
      <c r="P356" t="inlineStr">
        <is>
          <t>1.3.2.3.11.41</t>
        </is>
      </c>
      <c r="Q356" t="inlineStr">
        <is>
          <t>OTROS RENDIMIENTOS FINANCIEROS IAT APROVECHAMIENTO RESIDUOS SOLIDOS VIGENCIAS ANTERIORES</t>
        </is>
      </c>
      <c r="R356" t="n">
        <v>0</v>
      </c>
      <c r="S356" t="n">
        <v>680508</v>
      </c>
      <c r="T356" t="n">
        <v>0</v>
      </c>
      <c r="U356" t="n">
        <v>0</v>
      </c>
      <c r="V356" t="n">
        <v>0</v>
      </c>
      <c r="W356" t="n">
        <v>0</v>
      </c>
      <c r="X356" t="n">
        <v>0</v>
      </c>
      <c r="Y356" t="n">
        <v>680508</v>
      </c>
      <c r="Z356" t="n">
        <v>0</v>
      </c>
      <c r="AA356" t="n">
        <v>0</v>
      </c>
      <c r="AB356" t="n">
        <v>0</v>
      </c>
      <c r="AC356" t="n">
        <v>0</v>
      </c>
      <c r="AD356" t="n">
        <v>680508</v>
      </c>
      <c r="AE356" t="n">
        <v>0</v>
      </c>
    </row>
    <row r="357">
      <c r="A357" t="inlineStr">
        <is>
          <t>1 - ADMINISTRACIÓN CENTRAL</t>
        </is>
      </c>
      <c r="B357" t="inlineStr">
        <is>
          <t>40 - VIVIENDA, CIUDAD Y TERRITORIO</t>
        </is>
      </c>
      <c r="C357" t="inlineStr">
        <is>
          <t>1400</t>
        </is>
      </c>
      <c r="D357" t="inlineStr">
        <is>
          <t>4003</t>
        </is>
      </c>
      <c r="E357" t="inlineStr">
        <is>
          <t>4003023</t>
        </is>
      </c>
      <c r="F357" t="inlineStr">
        <is>
          <t>SERVICIOS DE SEGUIMIENTO AL PLAN DE GESTIÓN INTEGRAL DE RESIDUOS SOLIDOS PGIRS</t>
        </is>
      </c>
      <c r="G357" t="inlineStr">
        <is>
          <t>2024548740021</t>
        </is>
      </c>
      <c r="H357" t="inlineStr">
        <is>
          <t>APOYO PARA EL ACCESO DE LA POBLACIÓN A LOS SERVICIOS DE AGUA POTABLE Y SANEAMIENTO BASICO EN EL MUNICIPIO DE VILLA DEL ROSARIO. VILLA DEL ROSARIO UNA CIUDAD POSIBLE</t>
        </is>
      </c>
      <c r="I357" t="inlineStr">
        <is>
          <t>94900</t>
        </is>
      </c>
      <c r="J357" t="inlineStr">
        <is>
          <t>Otros servicios de protección del medio ambiente n.c.p.</t>
        </is>
      </c>
      <c r="K357" t="inlineStr">
        <is>
          <t>00</t>
        </is>
      </c>
      <c r="L357" t="inlineStr">
        <is>
          <t>SIN ATRIBUTO</t>
        </is>
      </c>
      <c r="N357" t="inlineStr">
        <is>
          <t>2.3.2.02.02.009.40.12</t>
        </is>
      </c>
      <c r="O357" t="inlineStr">
        <is>
          <t>Servicios de seguimiento al Plan de Gestión Integral de Residuos Solidos PGIRS</t>
        </is>
      </c>
      <c r="P357" t="inlineStr">
        <is>
          <t>1.3.2.3.11.42</t>
        </is>
      </c>
      <c r="Q357" t="inlineStr">
        <is>
          <t>OTROS RENDIMIENTOS FINANCIEROS IAT APROVECHAMIENTO RESIDUOS SOLIDOS 2026</t>
        </is>
      </c>
      <c r="R357" t="n">
        <v>0</v>
      </c>
      <c r="S357" t="n">
        <v>181265</v>
      </c>
      <c r="T357" t="n">
        <v>0</v>
      </c>
      <c r="U357" t="n">
        <v>0</v>
      </c>
      <c r="V357" t="n">
        <v>0</v>
      </c>
      <c r="W357" t="n">
        <v>0</v>
      </c>
      <c r="X357" t="n">
        <v>0</v>
      </c>
      <c r="Y357" t="n">
        <v>181265</v>
      </c>
      <c r="Z357" t="n">
        <v>0</v>
      </c>
      <c r="AA357" t="n">
        <v>0</v>
      </c>
      <c r="AB357" t="n">
        <v>0</v>
      </c>
      <c r="AC357" t="n">
        <v>0</v>
      </c>
      <c r="AD357" t="n">
        <v>181265</v>
      </c>
      <c r="AE357" t="n">
        <v>0</v>
      </c>
    </row>
    <row r="358">
      <c r="A358" t="inlineStr">
        <is>
          <t>1 - ADMINISTRACIÓN CENTRAL</t>
        </is>
      </c>
      <c r="B358" t="inlineStr">
        <is>
          <t>41 - INCLUSIÓN SOCIAL Y RECONCILIACIÓN</t>
        </is>
      </c>
      <c r="C358" t="inlineStr">
        <is>
          <t>1500</t>
        </is>
      </c>
      <c r="D358" t="inlineStr">
        <is>
          <t>4101</t>
        </is>
      </c>
      <c r="E358" t="inlineStr">
        <is>
          <t>4101011</t>
        </is>
      </c>
      <c r="F358" t="inlineStr">
        <is>
          <t>SERVICIO DE ASISTENCIA TÉCNICA PARA LA REALIZACIÓN DE INICIATIVAS DE MEMORIA HISTÓRICA</t>
        </is>
      </c>
      <c r="G358" t="inlineStr">
        <is>
          <t>2024548740062</t>
        </is>
      </c>
      <c r="H358" t="inlineStr">
        <is>
          <t>FORTALECIMIENTO PARA LA ATENCIÓN ASISTENCIA Y REPARACIÓN INTEGRAL A LAS VICTIMAS EN EL MUNICIPIO DE VILLA DEL ROSARIO.VILLA DEL ROSARIO UNA CIUDAD POSIBLE.</t>
        </is>
      </c>
      <c r="I358" t="inlineStr">
        <is>
          <t>91119</t>
        </is>
      </c>
      <c r="J358" t="inlineStr">
        <is>
          <t>Otros servicios de la administración pública n.c.p.</t>
        </is>
      </c>
      <c r="K358" t="inlineStr">
        <is>
          <t>00</t>
        </is>
      </c>
      <c r="L358" t="inlineStr">
        <is>
          <t>SIN ATRIBUTO</t>
        </is>
      </c>
      <c r="N358" t="inlineStr">
        <is>
          <t>2.3.2.02.02.009.41.01</t>
        </is>
      </c>
      <c r="O358" t="inlineStr">
        <is>
          <t>Servicio de asistencia técnica para la realización de iniciativas de memoria histórica</t>
        </is>
      </c>
      <c r="P358" t="inlineStr">
        <is>
          <t>1.2.2.0.00.00</t>
        </is>
      </c>
      <c r="Q358" t="inlineStr">
        <is>
          <t>50% SOBRETASA A LA GASOLINA PROYECTOS PLAN DE DESARROLLO 2024-2027</t>
        </is>
      </c>
      <c r="R358" t="n">
        <v>10000000</v>
      </c>
      <c r="S358" t="n">
        <v>0</v>
      </c>
      <c r="T358" t="n">
        <v>0</v>
      </c>
      <c r="U358" t="n">
        <v>0</v>
      </c>
      <c r="V358" t="n">
        <v>0</v>
      </c>
      <c r="W358" t="n">
        <v>0</v>
      </c>
      <c r="X358" t="n">
        <v>0</v>
      </c>
      <c r="Y358" t="n">
        <v>10000000</v>
      </c>
      <c r="Z358" t="n">
        <v>10000000</v>
      </c>
      <c r="AA358" t="n">
        <v>9991000</v>
      </c>
      <c r="AB358" t="n">
        <v>9091000</v>
      </c>
      <c r="AC358" t="n">
        <v>9091000</v>
      </c>
      <c r="AD358" t="n">
        <v>9000</v>
      </c>
      <c r="AE358" t="n">
        <v>99.91</v>
      </c>
    </row>
    <row r="359">
      <c r="A359" t="inlineStr">
        <is>
          <t>1 - ADMINISTRACIÓN CENTRAL</t>
        </is>
      </c>
      <c r="B359" t="inlineStr">
        <is>
          <t>41 - INCLUSIÓN SOCIAL Y RECONCILIACIÓN</t>
        </is>
      </c>
      <c r="C359" t="inlineStr">
        <is>
          <t>1500</t>
        </is>
      </c>
      <c r="D359" t="inlineStr">
        <is>
          <t>4101</t>
        </is>
      </c>
      <c r="E359" t="inlineStr">
        <is>
          <t>4101014</t>
        </is>
      </c>
      <c r="F359" t="inlineStr">
        <is>
          <t>SERVICIO DE CARACTERIZACIÓN DE LA POBLACIÓN VÍCTIMA PARA SU POSTERIOR ATENCIÓN, ASISTENCIA Y REPARACIÓN INTEGRAL</t>
        </is>
      </c>
      <c r="G359" t="inlineStr">
        <is>
          <t>2024548740062</t>
        </is>
      </c>
      <c r="H359" t="inlineStr">
        <is>
          <t>FORTALECIMIENTO PARA LA ATENCIÓN ASISTENCIA Y REPARACIÓN INTEGRAL A LAS VICTIMAS EN EL MUNICIPIO DE VILLA DEL ROSARIO.VILLA DEL ROSARIO UNA CIUDAD POSIBLE.</t>
        </is>
      </c>
      <c r="I359" t="inlineStr">
        <is>
          <t>91119</t>
        </is>
      </c>
      <c r="J359" t="inlineStr">
        <is>
          <t>Otros servicios de la administración pública n.c.p.</t>
        </is>
      </c>
      <c r="K359" t="inlineStr">
        <is>
          <t>00</t>
        </is>
      </c>
      <c r="L359" t="inlineStr">
        <is>
          <t>SIN ATRIBUTO</t>
        </is>
      </c>
      <c r="N359" t="inlineStr">
        <is>
          <t>2.3.2.02.02.009.41.02</t>
        </is>
      </c>
      <c r="O359" t="inlineStr">
        <is>
          <t>Servicio de caracterización de la población víctima para su posterior atención, asistencia y reparación integral</t>
        </is>
      </c>
      <c r="P359" t="inlineStr">
        <is>
          <t>1.2.2.0.00.00</t>
        </is>
      </c>
      <c r="Q359" t="inlineStr">
        <is>
          <t>50% SOBRETASA A LA GASOLINA PROYECTOS PLAN DE DESARROLLO 2024-2027</t>
        </is>
      </c>
      <c r="R359" t="n">
        <v>40000000</v>
      </c>
      <c r="S359" t="n">
        <v>0</v>
      </c>
      <c r="T359" t="n">
        <v>0</v>
      </c>
      <c r="U359" t="n">
        <v>0</v>
      </c>
      <c r="V359" t="n">
        <v>0</v>
      </c>
      <c r="W359" t="n">
        <v>0</v>
      </c>
      <c r="X359" t="n">
        <v>0</v>
      </c>
      <c r="Y359" t="n">
        <v>40000000</v>
      </c>
      <c r="Z359" t="n">
        <v>40000000</v>
      </c>
      <c r="AA359" t="n">
        <v>0</v>
      </c>
      <c r="AB359" t="n">
        <v>0</v>
      </c>
      <c r="AC359" t="n">
        <v>0</v>
      </c>
      <c r="AD359" t="n">
        <v>40000000</v>
      </c>
      <c r="AE359" t="n">
        <v>0</v>
      </c>
    </row>
    <row r="360">
      <c r="A360" t="inlineStr">
        <is>
          <t>1 - ADMINISTRACIÓN CENTRAL</t>
        </is>
      </c>
      <c r="B360" t="inlineStr">
        <is>
          <t>41 - INCLUSIÓN SOCIAL Y RECONCILIACIÓN</t>
        </is>
      </c>
      <c r="C360" t="inlineStr">
        <is>
          <t>1500</t>
        </is>
      </c>
      <c r="D360" t="inlineStr">
        <is>
          <t>4101</t>
        </is>
      </c>
      <c r="E360" t="inlineStr">
        <is>
          <t>4101023</t>
        </is>
      </c>
      <c r="F360" t="inlineStr">
        <is>
          <t>SERVICIO DE ORIENTACIÓN Y COMUNICACIÓN A LAS VÍCTIMAS</t>
        </is>
      </c>
      <c r="G360" t="inlineStr">
        <is>
          <t>2024548740062</t>
        </is>
      </c>
      <c r="H360" t="inlineStr">
        <is>
          <t>FORTALECIMIENTO PARA LA ATENCIÓN ASISTENCIA Y REPARACIÓN INTEGRAL A LAS VICTIMAS EN EL MUNICIPIO DE VILLA DEL ROSARIO.VILLA DEL ROSARIO UNA CIUDAD POSIBLE.</t>
        </is>
      </c>
      <c r="I360" t="inlineStr">
        <is>
          <t>91119</t>
        </is>
      </c>
      <c r="J360" t="inlineStr">
        <is>
          <t>Otros servicios de la administración pública n.c.p.</t>
        </is>
      </c>
      <c r="K360" t="inlineStr">
        <is>
          <t>00</t>
        </is>
      </c>
      <c r="L360" t="inlineStr">
        <is>
          <t>SIN ATRIBUTO</t>
        </is>
      </c>
      <c r="N360" t="inlineStr">
        <is>
          <t>2.3.2.02.02.009.41.03</t>
        </is>
      </c>
      <c r="O360" t="inlineStr">
        <is>
          <t>Servicio de orientación y comunicación a las víctimas</t>
        </is>
      </c>
      <c r="P360" t="inlineStr">
        <is>
          <t>1.2.2.0.00.00</t>
        </is>
      </c>
      <c r="Q360" t="inlineStr">
        <is>
          <t>50% SOBRETASA A LA GASOLINA PROYECTOS PLAN DE DESARROLLO 2024-2027</t>
        </is>
      </c>
      <c r="R360" t="n">
        <v>82000000</v>
      </c>
      <c r="S360" t="n">
        <v>0</v>
      </c>
      <c r="T360" t="n">
        <v>0</v>
      </c>
      <c r="U360" t="n">
        <v>0</v>
      </c>
      <c r="V360" t="n">
        <v>0</v>
      </c>
      <c r="W360" t="n">
        <v>0</v>
      </c>
      <c r="X360" t="n">
        <v>0</v>
      </c>
      <c r="Y360" t="n">
        <v>82000000</v>
      </c>
      <c r="Z360" t="n">
        <v>82000000</v>
      </c>
      <c r="AA360" t="n">
        <v>82000000</v>
      </c>
      <c r="AB360" t="n">
        <v>17400000</v>
      </c>
      <c r="AC360" t="n">
        <v>17400000</v>
      </c>
      <c r="AD360" t="n">
        <v>0</v>
      </c>
      <c r="AE360" t="n">
        <v>100</v>
      </c>
    </row>
    <row r="361">
      <c r="A361" t="inlineStr">
        <is>
          <t>1 - ADMINISTRACIÓN CENTRAL</t>
        </is>
      </c>
      <c r="B361" t="inlineStr">
        <is>
          <t>41 - INCLUSIÓN SOCIAL Y RECONCILIACIÓN</t>
        </is>
      </c>
      <c r="C361" t="inlineStr">
        <is>
          <t>1500</t>
        </is>
      </c>
      <c r="D361" t="inlineStr">
        <is>
          <t>4101</t>
        </is>
      </c>
      <c r="E361" t="inlineStr">
        <is>
          <t>4101025</t>
        </is>
      </c>
      <c r="F361" t="inlineStr">
        <is>
          <t>SERVICIO DE AYUDA Y ATENCIÓN HUMANITARIA</t>
        </is>
      </c>
      <c r="G361" t="inlineStr">
        <is>
          <t>2024548740062</t>
        </is>
      </c>
      <c r="H361" t="inlineStr">
        <is>
          <t>FORTALECIMIENTO PARA LA ATENCIÓN ASISTENCIA Y REPARACIÓN INTEGRAL A LAS VICTIMAS EN EL MUNICIPIO DE VILLA DEL ROSARIO.VILLA DEL ROSARIO UNA CIUDAD POSIBLE.</t>
        </is>
      </c>
      <c r="I361" t="inlineStr">
        <is>
          <t>91119</t>
        </is>
      </c>
      <c r="J361" t="inlineStr">
        <is>
          <t>Otros servicios de la administración pública n.c.p.</t>
        </is>
      </c>
      <c r="K361" t="inlineStr">
        <is>
          <t>00</t>
        </is>
      </c>
      <c r="L361" t="inlineStr">
        <is>
          <t>SIN ATRIBUTO</t>
        </is>
      </c>
      <c r="N361" t="inlineStr">
        <is>
          <t>2.3.2.02.02.009.41.04</t>
        </is>
      </c>
      <c r="O361" t="inlineStr">
        <is>
          <t>Servicio de ayuda y atención humanitaria</t>
        </is>
      </c>
      <c r="P361" t="inlineStr">
        <is>
          <t>1.2.2.0.00.00</t>
        </is>
      </c>
      <c r="Q361" t="inlineStr">
        <is>
          <t>50% SOBRETASA A LA GASOLINA PROYECTOS PLAN DE DESARROLLO 2024-2027</t>
        </is>
      </c>
      <c r="R361" t="n">
        <v>65000000</v>
      </c>
      <c r="S361" t="n">
        <v>0</v>
      </c>
      <c r="T361" t="n">
        <v>0</v>
      </c>
      <c r="U361" t="n">
        <v>0</v>
      </c>
      <c r="V361" t="n">
        <v>0</v>
      </c>
      <c r="W361" t="n">
        <v>0</v>
      </c>
      <c r="X361" t="n">
        <v>0</v>
      </c>
      <c r="Y361" t="n">
        <v>65000000</v>
      </c>
      <c r="Z361" t="n">
        <v>10400000</v>
      </c>
      <c r="AA361" t="n">
        <v>3200000</v>
      </c>
      <c r="AB361" t="n">
        <v>3200000</v>
      </c>
      <c r="AC361" t="n">
        <v>3200000</v>
      </c>
      <c r="AD361" t="n">
        <v>61800000</v>
      </c>
      <c r="AE361" t="n">
        <v>4.92</v>
      </c>
    </row>
    <row r="362">
      <c r="A362" t="inlineStr">
        <is>
          <t>1 - ADMINISTRACIÓN CENTRAL</t>
        </is>
      </c>
      <c r="B362" t="inlineStr">
        <is>
          <t>41 - INCLUSIÓN SOCIAL Y RECONCILIACIÓN</t>
        </is>
      </c>
      <c r="C362" t="inlineStr">
        <is>
          <t>1500</t>
        </is>
      </c>
      <c r="D362" t="inlineStr">
        <is>
          <t>4101</t>
        </is>
      </c>
      <c r="E362" t="inlineStr">
        <is>
          <t>4101031</t>
        </is>
      </c>
      <c r="F362" t="inlineStr">
        <is>
          <t>SERVICIOS DE IMPLEMENTACIÓNDE MEDIDAS DE SATISFACCIÓN Y ACOMPAÑAMIENTO A LAS VÍCTIMAS DEL CONFLICTO ARMADO</t>
        </is>
      </c>
      <c r="G362" t="inlineStr">
        <is>
          <t>2024548740062</t>
        </is>
      </c>
      <c r="H362" t="inlineStr">
        <is>
          <t>FORTALECIMIENTO PARA LA ATENCIÓN ASISTENCIA Y REPARACIÓN INTEGRAL A LAS VICTIMAS EN EL MUNICIPIO DE VILLA DEL ROSARIO.VILLA DEL ROSARIO UNA CIUDAD POSIBLE.</t>
        </is>
      </c>
      <c r="I362" t="inlineStr">
        <is>
          <t>91119</t>
        </is>
      </c>
      <c r="J362" t="inlineStr">
        <is>
          <t>Otros servicios de la administración pública n.c.p.</t>
        </is>
      </c>
      <c r="K362" t="inlineStr">
        <is>
          <t>00</t>
        </is>
      </c>
      <c r="L362" t="inlineStr">
        <is>
          <t>SIN ATRIBUTO</t>
        </is>
      </c>
      <c r="N362" t="inlineStr">
        <is>
          <t>2.3.2.02.02.009.41.05</t>
        </is>
      </c>
      <c r="O362" t="inlineStr">
        <is>
          <t>Servicios de implementaciónde medidas de satisfacción y acompañamiento a las víctimas del conflicto armado</t>
        </is>
      </c>
      <c r="P362" t="inlineStr">
        <is>
          <t>1.2.2.0.00.00</t>
        </is>
      </c>
      <c r="Q362" t="inlineStr">
        <is>
          <t>50% SOBRETASA A LA GASOLINA PROYECTOS PLAN DE DESARROLLO 2024-2027</t>
        </is>
      </c>
      <c r="R362" t="n">
        <v>20000000</v>
      </c>
      <c r="S362" t="n">
        <v>0</v>
      </c>
      <c r="T362" t="n">
        <v>0</v>
      </c>
      <c r="U362" t="n">
        <v>0</v>
      </c>
      <c r="V362" t="n">
        <v>0</v>
      </c>
      <c r="W362" t="n">
        <v>0</v>
      </c>
      <c r="X362" t="n">
        <v>0</v>
      </c>
      <c r="Y362" t="n">
        <v>20000000</v>
      </c>
      <c r="Z362" t="n">
        <v>20000000</v>
      </c>
      <c r="AA362" t="n">
        <v>20000000</v>
      </c>
      <c r="AB362" t="n">
        <v>0</v>
      </c>
      <c r="AC362" t="n">
        <v>0</v>
      </c>
      <c r="AD362" t="n">
        <v>0</v>
      </c>
      <c r="AE362" t="n">
        <v>100</v>
      </c>
    </row>
    <row r="363">
      <c r="A363" t="inlineStr">
        <is>
          <t>1 - ADMINISTRACIÓN CENTRAL</t>
        </is>
      </c>
      <c r="B363" t="inlineStr">
        <is>
          <t>41 - INCLUSIÓN SOCIAL Y RECONCILIACIÓN</t>
        </is>
      </c>
      <c r="C363" t="inlineStr">
        <is>
          <t>1500</t>
        </is>
      </c>
      <c r="D363" t="inlineStr">
        <is>
          <t>4101</t>
        </is>
      </c>
      <c r="E363" t="inlineStr">
        <is>
          <t>4101038</t>
        </is>
      </c>
      <c r="F363" t="inlineStr">
        <is>
          <t>SERVICIO DE ASISTENCIA TÉCNICA PARA LA PARTICIPACIÓN DE LAS VÍCTIMAS</t>
        </is>
      </c>
      <c r="G363" t="inlineStr">
        <is>
          <t>2024548740062</t>
        </is>
      </c>
      <c r="H363" t="inlineStr">
        <is>
          <t>FORTALECIMIENTO PARA LA ATENCIÓN ASISTENCIA Y REPARACIÓN INTEGRAL A LAS VICTIMAS EN EL MUNICIPIO DE VILLA DEL ROSARIO.VILLA DEL ROSARIO UNA CIUDAD POSIBLE.</t>
        </is>
      </c>
      <c r="I363" t="inlineStr">
        <is>
          <t>91119</t>
        </is>
      </c>
      <c r="J363" t="inlineStr">
        <is>
          <t>Otros servicios de la administración pública n.c.p.</t>
        </is>
      </c>
      <c r="K363" t="inlineStr">
        <is>
          <t>00</t>
        </is>
      </c>
      <c r="L363" t="inlineStr">
        <is>
          <t>SIN ATRIBUTO</t>
        </is>
      </c>
      <c r="N363" t="inlineStr">
        <is>
          <t>2.3.2.02.02.009.41.06</t>
        </is>
      </c>
      <c r="O363" t="inlineStr">
        <is>
          <t>Servicio de asistencia técnica para la participación de las víctimas</t>
        </is>
      </c>
      <c r="P363" t="inlineStr">
        <is>
          <t>1.2.2.0.00.00</t>
        </is>
      </c>
      <c r="Q363" t="inlineStr">
        <is>
          <t>50% SOBRETASA A LA GASOLINA PROYECTOS PLAN DE DESARROLLO 2024-2027</t>
        </is>
      </c>
      <c r="R363" t="n">
        <v>50000000</v>
      </c>
      <c r="S363" t="n">
        <v>0</v>
      </c>
      <c r="T363" t="n">
        <v>0</v>
      </c>
      <c r="U363" t="n">
        <v>0</v>
      </c>
      <c r="V363" t="n">
        <v>0</v>
      </c>
      <c r="W363" t="n">
        <v>0</v>
      </c>
      <c r="X363" t="n">
        <v>0</v>
      </c>
      <c r="Y363" t="n">
        <v>50000000</v>
      </c>
      <c r="Z363" t="n">
        <v>10000000</v>
      </c>
      <c r="AA363" t="n">
        <v>5090682</v>
      </c>
      <c r="AB363" t="n">
        <v>5090682</v>
      </c>
      <c r="AC363" t="n">
        <v>5090682</v>
      </c>
      <c r="AD363" t="n">
        <v>44909318</v>
      </c>
      <c r="AE363" t="n">
        <v>10.18</v>
      </c>
    </row>
    <row r="364">
      <c r="A364" t="inlineStr">
        <is>
          <t>1 - ADMINISTRACIÓN CENTRAL</t>
        </is>
      </c>
      <c r="B364" t="inlineStr">
        <is>
          <t>41 - INCLUSIÓN SOCIAL Y RECONCILIACIÓN</t>
        </is>
      </c>
      <c r="C364" t="inlineStr">
        <is>
          <t>1500</t>
        </is>
      </c>
      <c r="D364" t="inlineStr">
        <is>
          <t>4101</t>
        </is>
      </c>
      <c r="E364" t="inlineStr">
        <is>
          <t>4101068</t>
        </is>
      </c>
      <c r="F364" t="inlineStr">
        <is>
          <t>SERVICIOS DE DIVULGACIÓN DE TEMATICAS DE MEMORIA HISTÓRICA</t>
        </is>
      </c>
      <c r="G364" t="inlineStr">
        <is>
          <t>2024548740062</t>
        </is>
      </c>
      <c r="H364" t="inlineStr">
        <is>
          <t>FORTALECIMIENTO PARA LA ATENCIÓN ASISTENCIA Y REPARACIÓN INTEGRAL A LAS VICTIMAS EN EL MUNICIPIO DE VILLA DEL ROSARIO.VILLA DEL ROSARIO UNA CIUDAD POSIBLE.</t>
        </is>
      </c>
      <c r="I364" t="inlineStr">
        <is>
          <t>91119</t>
        </is>
      </c>
      <c r="J364" t="inlineStr">
        <is>
          <t>Otros servicios de la administración pública n.c.p.</t>
        </is>
      </c>
      <c r="K364" t="inlineStr">
        <is>
          <t>00</t>
        </is>
      </c>
      <c r="L364" t="inlineStr">
        <is>
          <t>SIN ATRIBUTO</t>
        </is>
      </c>
      <c r="N364" t="inlineStr">
        <is>
          <t>2.3.2.02.02.009.41.07</t>
        </is>
      </c>
      <c r="O364" t="inlineStr">
        <is>
          <t>Servicios de divulgación de tematicas de memoria histórica</t>
        </is>
      </c>
      <c r="P364" t="inlineStr">
        <is>
          <t>1.2.2.0.00.00</t>
        </is>
      </c>
      <c r="Q364" t="inlineStr">
        <is>
          <t>50% SOBRETASA A LA GASOLINA PROYECTOS PLAN DE DESARROLLO 2024-2027</t>
        </is>
      </c>
      <c r="R364" t="n">
        <v>20000000</v>
      </c>
      <c r="S364" t="n">
        <v>0</v>
      </c>
      <c r="T364" t="n">
        <v>0</v>
      </c>
      <c r="U364" t="n">
        <v>0</v>
      </c>
      <c r="V364" t="n">
        <v>0</v>
      </c>
      <c r="W364" t="n">
        <v>0</v>
      </c>
      <c r="X364" t="n">
        <v>0</v>
      </c>
      <c r="Y364" t="n">
        <v>20000000</v>
      </c>
      <c r="Z364" t="n">
        <v>20000000</v>
      </c>
      <c r="AA364" t="n">
        <v>20000000</v>
      </c>
      <c r="AB364" t="n">
        <v>20000000</v>
      </c>
      <c r="AC364" t="n">
        <v>20000000</v>
      </c>
      <c r="AD364" t="n">
        <v>0</v>
      </c>
      <c r="AE364" t="n">
        <v>100</v>
      </c>
    </row>
    <row r="365">
      <c r="A365" t="inlineStr">
        <is>
          <t>1 - ADMINISTRACIÓN CENTRAL</t>
        </is>
      </c>
      <c r="B365" t="inlineStr">
        <is>
          <t>41 - INCLUSIÓN SOCIAL Y RECONCILIACIÓN</t>
        </is>
      </c>
      <c r="C365" t="inlineStr">
        <is>
          <t>1500</t>
        </is>
      </c>
      <c r="D365" t="inlineStr">
        <is>
          <t>4101</t>
        </is>
      </c>
      <c r="E365" t="inlineStr">
        <is>
          <t>4101073</t>
        </is>
      </c>
      <c r="F365" t="inlineStr">
        <is>
          <t>SERVICIO DE APOYO PARA LA GENERACIÓN DE INGRESOS</t>
        </is>
      </c>
      <c r="G365" t="inlineStr">
        <is>
          <t>2024548740062</t>
        </is>
      </c>
      <c r="H365" t="inlineStr">
        <is>
          <t>FORTALECIMIENTO PARA LA ATENCIÓN ASISTENCIA Y REPARACIÓN INTEGRAL A LAS VICTIMAS EN EL MUNICIPIO DE VILLA DEL ROSARIO.VILLA DEL ROSARIO UNA CIUDAD POSIBLE.</t>
        </is>
      </c>
      <c r="I365" t="inlineStr">
        <is>
          <t>91119</t>
        </is>
      </c>
      <c r="J365" t="inlineStr">
        <is>
          <t>Otros servicios de la administración pública n.c.p.</t>
        </is>
      </c>
      <c r="K365" t="inlineStr">
        <is>
          <t>00</t>
        </is>
      </c>
      <c r="L365" t="inlineStr">
        <is>
          <t>SIN ATRIBUTO</t>
        </is>
      </c>
      <c r="N365" t="inlineStr">
        <is>
          <t>2.3.2.02.02.009.41.08</t>
        </is>
      </c>
      <c r="O365" t="inlineStr">
        <is>
          <t>Servicio de apoyo para la generación de ingresos</t>
        </is>
      </c>
      <c r="P365" t="inlineStr">
        <is>
          <t>1.2.2.0.00.00</t>
        </is>
      </c>
      <c r="Q365" t="inlineStr">
        <is>
          <t>50% SOBRETASA A LA GASOLINA PROYECTOS PLAN DE DESARROLLO 2024-2027</t>
        </is>
      </c>
      <c r="R365" t="n">
        <v>50000000</v>
      </c>
      <c r="S365" t="n">
        <v>0</v>
      </c>
      <c r="T365" t="n">
        <v>0</v>
      </c>
      <c r="U365" t="n">
        <v>0</v>
      </c>
      <c r="V365" t="n">
        <v>0</v>
      </c>
      <c r="W365" t="n">
        <v>0</v>
      </c>
      <c r="X365" t="n">
        <v>0</v>
      </c>
      <c r="Y365" t="n">
        <v>50000000</v>
      </c>
      <c r="Z365" t="n">
        <v>0</v>
      </c>
      <c r="AA365" t="n">
        <v>0</v>
      </c>
      <c r="AB365" t="n">
        <v>0</v>
      </c>
      <c r="AC365" t="n">
        <v>0</v>
      </c>
      <c r="AD365" t="n">
        <v>50000000</v>
      </c>
      <c r="AE365" t="n">
        <v>0</v>
      </c>
    </row>
    <row r="366">
      <c r="A366" t="inlineStr">
        <is>
          <t>1 - ADMINISTRACIÓN CENTRAL</t>
        </is>
      </c>
      <c r="B366" t="inlineStr">
        <is>
          <t>41 - INCLUSIÓN SOCIAL Y RECONCILIACIÓN</t>
        </is>
      </c>
      <c r="C366" t="inlineStr">
        <is>
          <t>1500</t>
        </is>
      </c>
      <c r="D366" t="inlineStr">
        <is>
          <t>4101</t>
        </is>
      </c>
      <c r="E366" t="inlineStr">
        <is>
          <t>4101074</t>
        </is>
      </c>
      <c r="F366" t="inlineStr">
        <is>
          <t>SERVICIO DE ACOMPAÑAMIENTO COMUNITARIO A LOS HOGARES EN RIESGO DE DESPLAZAMIENTO, RETORNADOS O REUBICADOS</t>
        </is>
      </c>
      <c r="G366" t="inlineStr">
        <is>
          <t>2024548740062</t>
        </is>
      </c>
      <c r="H366" t="inlineStr">
        <is>
          <t>FORTALECIMIENTO PARA LA ATENCIÓN ASISTENCIA Y REPARACIÓN INTEGRAL A LAS VICTIMAS EN EL MUNICIPIO DE VILLA DEL ROSARIO.VILLA DEL ROSARIO UNA CIUDAD POSIBLE.</t>
        </is>
      </c>
      <c r="I366" t="inlineStr">
        <is>
          <t>91119</t>
        </is>
      </c>
      <c r="J366" t="inlineStr">
        <is>
          <t>Otros servicios de la administración pública n.c.p.</t>
        </is>
      </c>
      <c r="K366" t="inlineStr">
        <is>
          <t>00</t>
        </is>
      </c>
      <c r="L366" t="inlineStr">
        <is>
          <t>SIN ATRIBUTO</t>
        </is>
      </c>
      <c r="N366" t="inlineStr">
        <is>
          <t>2.3.2.02.02.009.41.09</t>
        </is>
      </c>
      <c r="O366" t="inlineStr">
        <is>
          <t>Servicio de acompañamiento comunitario a los hogares en riesgo de desplazamiento, retornados o reubicados</t>
        </is>
      </c>
      <c r="P366" t="inlineStr">
        <is>
          <t>1.2.2.0.00.00</t>
        </is>
      </c>
      <c r="Q366" t="inlineStr">
        <is>
          <t>50% SOBRETASA A LA GASOLINA PROYECTOS PLAN DE DESARROLLO 2024-2027</t>
        </is>
      </c>
      <c r="R366" t="n">
        <v>10000000</v>
      </c>
      <c r="S366" t="n">
        <v>0</v>
      </c>
      <c r="T366" t="n">
        <v>0</v>
      </c>
      <c r="U366" t="n">
        <v>0</v>
      </c>
      <c r="V366" t="n">
        <v>0</v>
      </c>
      <c r="W366" t="n">
        <v>0</v>
      </c>
      <c r="X366" t="n">
        <v>0</v>
      </c>
      <c r="Y366" t="n">
        <v>10000000</v>
      </c>
      <c r="Z366" t="n">
        <v>0</v>
      </c>
      <c r="AA366" t="n">
        <v>0</v>
      </c>
      <c r="AB366" t="n">
        <v>0</v>
      </c>
      <c r="AC366" t="n">
        <v>0</v>
      </c>
      <c r="AD366" t="n">
        <v>10000000</v>
      </c>
      <c r="AE366" t="n">
        <v>0</v>
      </c>
    </row>
    <row r="367">
      <c r="A367" t="inlineStr">
        <is>
          <t>1 - ADMINISTRACIÓN CENTRAL</t>
        </is>
      </c>
      <c r="B367" t="inlineStr">
        <is>
          <t>41 - INCLUSIÓN SOCIAL Y RECONCILIACIÓN</t>
        </is>
      </c>
      <c r="C367" t="inlineStr">
        <is>
          <t>1500</t>
        </is>
      </c>
      <c r="D367" t="inlineStr">
        <is>
          <t>4101</t>
        </is>
      </c>
      <c r="E367" t="inlineStr">
        <is>
          <t>4101025</t>
        </is>
      </c>
      <c r="F367" t="inlineStr">
        <is>
          <t>SERVICIO DE AYUDA Y ATENCIÓN HUMANITARIA</t>
        </is>
      </c>
      <c r="G367" t="inlineStr">
        <is>
          <t>2024548740062</t>
        </is>
      </c>
      <c r="H367" t="inlineStr">
        <is>
          <t>FORTALECIMIENTO PARA LA ATENCIÓN ASISTENCIA Y REPARACIÓN INTEGRAL A LAS VICTIMAS EN EL MUNICIPIO DE VILLA DEL ROSARIO.VILLA DEL ROSARIO UNA CIUDAD POSIBLE.</t>
        </is>
      </c>
      <c r="I367" t="inlineStr">
        <is>
          <t>91119</t>
        </is>
      </c>
      <c r="J367" t="inlineStr">
        <is>
          <t>Otros servicios de la administración pública n.c.p.</t>
        </is>
      </c>
      <c r="K367" t="inlineStr">
        <is>
          <t>00</t>
        </is>
      </c>
      <c r="L367" t="inlineStr">
        <is>
          <t>SIN ATRIBUTO</t>
        </is>
      </c>
      <c r="N367" t="inlineStr">
        <is>
          <t>2.3.2.02.02.009.41.10</t>
        </is>
      </c>
      <c r="O367" t="inlineStr">
        <is>
          <t>Servicio de ayuda y atención humanitaria</t>
        </is>
      </c>
      <c r="P367" t="inlineStr">
        <is>
          <t>1.2.3.3.01.01</t>
        </is>
      </c>
      <c r="Q367" t="inlineStr">
        <is>
          <t>PARTICIPACIÓN DEL IMPUESTO AL DEGÜELLO DE GANADO MAYOR (EN LOS TÉRMINOS QUE LOS DEFINA LA ORDENANZA)</t>
        </is>
      </c>
      <c r="R367" t="n">
        <v>10000000</v>
      </c>
      <c r="S367" t="n">
        <v>0</v>
      </c>
      <c r="T367" t="n">
        <v>0</v>
      </c>
      <c r="U367" t="n">
        <v>0</v>
      </c>
      <c r="V367" t="n">
        <v>0</v>
      </c>
      <c r="W367" t="n">
        <v>0</v>
      </c>
      <c r="X367" t="n">
        <v>0</v>
      </c>
      <c r="Y367" t="n">
        <v>10000000</v>
      </c>
      <c r="Z367" t="n">
        <v>0</v>
      </c>
      <c r="AA367" t="n">
        <v>0</v>
      </c>
      <c r="AB367" t="n">
        <v>0</v>
      </c>
      <c r="AC367" t="n">
        <v>0</v>
      </c>
      <c r="AD367" t="n">
        <v>10000000</v>
      </c>
      <c r="AE367" t="n">
        <v>0</v>
      </c>
    </row>
    <row r="368">
      <c r="A368" t="inlineStr">
        <is>
          <t>1 - ADMINISTRACIÓN CENTRAL</t>
        </is>
      </c>
      <c r="B368" t="inlineStr">
        <is>
          <t>41 - INCLUSIÓN SOCIAL Y RECONCILIACIÓN</t>
        </is>
      </c>
      <c r="C368" t="inlineStr">
        <is>
          <t>1500</t>
        </is>
      </c>
      <c r="D368" t="inlineStr">
        <is>
          <t>4102</t>
        </is>
      </c>
      <c r="E368" t="inlineStr">
        <is>
          <t>4102001</t>
        </is>
      </c>
      <c r="F368" t="inlineStr">
        <is>
          <t>SERVICIO DE ATENCIÓN INTEGRAL A LA PRIMERA INFANCIA</t>
        </is>
      </c>
      <c r="G368" t="inlineStr">
        <is>
          <t>2024548740029</t>
        </is>
      </c>
      <c r="H368" t="inlineStr">
        <is>
          <t>DESARROLLO INTEGRAL DE LA PRIMERA INFANCIA A LA JUVENTUD Y FORTALECIMIENTO DE LAS CAPACIDADES DE LAS FAMILIAS DE NIÑAS,NIÑOS Y ADOLESCENTES.</t>
        </is>
      </c>
      <c r="I368" t="inlineStr">
        <is>
          <t>91119</t>
        </is>
      </c>
      <c r="J368" t="inlineStr">
        <is>
          <t>Otros servicios de la administración pública n.c.p.</t>
        </is>
      </c>
      <c r="K368" t="inlineStr">
        <is>
          <t>00</t>
        </is>
      </c>
      <c r="L368" t="inlineStr">
        <is>
          <t>SIN ATRIBUTO</t>
        </is>
      </c>
      <c r="N368" t="inlineStr">
        <is>
          <t>2.3.2.02.02.009.41.11</t>
        </is>
      </c>
      <c r="O368" t="inlineStr">
        <is>
          <t>Servicio de atención integral a la primera infancia</t>
        </is>
      </c>
      <c r="P368" t="inlineStr">
        <is>
          <t>1.2.2.0.00.12</t>
        </is>
      </c>
      <c r="Q368" t="inlineStr">
        <is>
          <t>10% SOBRETASA A LA GASOLINA PROYECTOS SOCIALES ATENCION INTEGRAL PRIMERA INFANCIA Y DE LA ADOLESCENCIA</t>
        </is>
      </c>
      <c r="R368" t="n">
        <v>150000000</v>
      </c>
      <c r="S368" t="n">
        <v>0</v>
      </c>
      <c r="T368" t="n">
        <v>0</v>
      </c>
      <c r="U368" t="n">
        <v>0</v>
      </c>
      <c r="V368" t="n">
        <v>0</v>
      </c>
      <c r="W368" t="n">
        <v>0</v>
      </c>
      <c r="X368" t="n">
        <v>0</v>
      </c>
      <c r="Y368" t="n">
        <v>150000000</v>
      </c>
      <c r="Z368" t="n">
        <v>0</v>
      </c>
      <c r="AA368" t="n">
        <v>0</v>
      </c>
      <c r="AB368" t="n">
        <v>0</v>
      </c>
      <c r="AC368" t="n">
        <v>0</v>
      </c>
      <c r="AD368" t="n">
        <v>150000000</v>
      </c>
      <c r="AE368" t="n">
        <v>0</v>
      </c>
    </row>
    <row r="369">
      <c r="A369" t="inlineStr">
        <is>
          <t>1 - ADMINISTRACIÓN CENTRAL</t>
        </is>
      </c>
      <c r="B369" t="inlineStr">
        <is>
          <t>41 - INCLUSIÓN SOCIAL Y RECONCILIACIÓN</t>
        </is>
      </c>
      <c r="C369" t="inlineStr">
        <is>
          <t>1500</t>
        </is>
      </c>
      <c r="D369" t="inlineStr">
        <is>
          <t>4102</t>
        </is>
      </c>
      <c r="E369" t="inlineStr">
        <is>
          <t>4102046</t>
        </is>
      </c>
      <c r="F369" t="inlineStr">
        <is>
          <t>SERVICIOS DE PROMOCIÓN DE LOS DERECHOS DE LOS NIÑOS, NIÑAS, ADOLESCENTES Y JÓVENES</t>
        </is>
      </c>
      <c r="G369" t="inlineStr">
        <is>
          <t>2024548740029</t>
        </is>
      </c>
      <c r="H369" t="inlineStr">
        <is>
          <t>DESARROLLO INTEGRAL DE LA PRIMERA INFANCIA A LA JUVENTUD Y FORTALECIMIENTO DE LAS CAPACIDADES DE LAS FAMILIAS DE NIÑAS,NIÑOS Y ADOLESCENTES.</t>
        </is>
      </c>
      <c r="I369" t="inlineStr">
        <is>
          <t>91119</t>
        </is>
      </c>
      <c r="J369" t="inlineStr">
        <is>
          <t>Otros servicios de la administración pública n.c.p.</t>
        </is>
      </c>
      <c r="K369" t="inlineStr">
        <is>
          <t>00</t>
        </is>
      </c>
      <c r="L369" t="inlineStr">
        <is>
          <t>SIN ATRIBUTO</t>
        </is>
      </c>
      <c r="N369" t="inlineStr">
        <is>
          <t>2.3.2.02.02.009.41.12</t>
        </is>
      </c>
      <c r="O369" t="inlineStr">
        <is>
          <t>Servicios de promoción de los derechos de los niños, niñas, adolescentes y jóvenes</t>
        </is>
      </c>
      <c r="P369" t="inlineStr">
        <is>
          <t>1.2.2.0.00.12</t>
        </is>
      </c>
      <c r="Q369" t="inlineStr">
        <is>
          <t>10% SOBRETASA A LA GASOLINA PROYECTOS SOCIALES ATENCION INTEGRAL PRIMERA INFANCIA Y DE LA ADOLESCENCIA</t>
        </is>
      </c>
      <c r="R369" t="n">
        <v>300000000</v>
      </c>
      <c r="S369" t="n">
        <v>0</v>
      </c>
      <c r="T369" t="n">
        <v>0</v>
      </c>
      <c r="U369" t="n">
        <v>0</v>
      </c>
      <c r="V369" t="n">
        <v>0</v>
      </c>
      <c r="W369" t="n">
        <v>0</v>
      </c>
      <c r="X369" t="n">
        <v>0</v>
      </c>
      <c r="Y369" t="n">
        <v>300000000</v>
      </c>
      <c r="Z369" t="n">
        <v>0</v>
      </c>
      <c r="AA369" t="n">
        <v>0</v>
      </c>
      <c r="AB369" t="n">
        <v>0</v>
      </c>
      <c r="AC369" t="n">
        <v>0</v>
      </c>
      <c r="AD369" t="n">
        <v>300000000</v>
      </c>
      <c r="AE369" t="n">
        <v>0</v>
      </c>
    </row>
    <row r="370">
      <c r="A370" t="inlineStr">
        <is>
          <t>1 - ADMINISTRACIÓN CENTRAL</t>
        </is>
      </c>
      <c r="B370" t="inlineStr">
        <is>
          <t>41 - INCLUSIÓN SOCIAL Y RECONCILIACIÓN</t>
        </is>
      </c>
      <c r="C370" t="inlineStr">
        <is>
          <t>1500</t>
        </is>
      </c>
      <c r="D370" t="inlineStr">
        <is>
          <t>4102</t>
        </is>
      </c>
      <c r="E370" t="inlineStr">
        <is>
          <t>4102046</t>
        </is>
      </c>
      <c r="F370" t="inlineStr">
        <is>
          <t>SERVICIOS DE PROMOCIÓN DE LOS DERECHOS DE LOS NIÑOS, NIÑAS, ADOLESCENTES Y JÓVENES</t>
        </is>
      </c>
      <c r="G370" t="inlineStr">
        <is>
          <t>2024548740029</t>
        </is>
      </c>
      <c r="H370" t="inlineStr">
        <is>
          <t>DESARROLLO INTEGRAL DE LA PRIMERA INFANCIA A LA JUVENTUD Y FORTALECIMIENTO DE LAS CAPACIDADES DE LAS FAMILIAS DE NIÑAS,NIÑOS Y ADOLESCENTES.</t>
        </is>
      </c>
      <c r="I370" t="inlineStr">
        <is>
          <t>91119</t>
        </is>
      </c>
      <c r="J370" t="inlineStr">
        <is>
          <t>Otros servicios de la administración pública n.c.p.</t>
        </is>
      </c>
      <c r="K370" t="inlineStr">
        <is>
          <t>00</t>
        </is>
      </c>
      <c r="L370" t="inlineStr">
        <is>
          <t>SIN ATRIBUTO</t>
        </is>
      </c>
      <c r="N370" t="inlineStr">
        <is>
          <t>2.3.2.02.02.009.41.13</t>
        </is>
      </c>
      <c r="O370" t="inlineStr">
        <is>
          <t>Servicios de promoción de los derechos de los niños, niñas, adolescentes y jóvenes</t>
        </is>
      </c>
      <c r="P370" t="inlineStr">
        <is>
          <t>1.2.3.3.01.01</t>
        </is>
      </c>
      <c r="Q370" t="inlineStr">
        <is>
          <t>PARTICIPACIÓN DEL IMPUESTO AL DEGÜELLO DE GANADO MAYOR (EN LOS TÉRMINOS QUE LOS DEFINA LA ORDENANZA)</t>
        </is>
      </c>
      <c r="R370" t="n">
        <v>110000000</v>
      </c>
      <c r="S370" t="n">
        <v>0</v>
      </c>
      <c r="T370" t="n">
        <v>0</v>
      </c>
      <c r="U370" t="n">
        <v>0</v>
      </c>
      <c r="V370" t="n">
        <v>0</v>
      </c>
      <c r="W370" t="n">
        <v>0</v>
      </c>
      <c r="X370" t="n">
        <v>0</v>
      </c>
      <c r="Y370" t="n">
        <v>110000000</v>
      </c>
      <c r="Z370" t="n">
        <v>78970000</v>
      </c>
      <c r="AA370" t="n">
        <v>78970000</v>
      </c>
      <c r="AB370" t="n">
        <v>76726503</v>
      </c>
      <c r="AC370" t="n">
        <v>76726503</v>
      </c>
      <c r="AD370" t="n">
        <v>31030000</v>
      </c>
      <c r="AE370" t="n">
        <v>71.79000000000001</v>
      </c>
    </row>
    <row r="371">
      <c r="A371" t="inlineStr">
        <is>
          <t>1 - ADMINISTRACIÓN CENTRAL</t>
        </is>
      </c>
      <c r="B371" t="inlineStr">
        <is>
          <t>41 - INCLUSIÓN SOCIAL Y RECONCILIACIÓN</t>
        </is>
      </c>
      <c r="C371" t="inlineStr">
        <is>
          <t>1500</t>
        </is>
      </c>
      <c r="D371" t="inlineStr">
        <is>
          <t>4102</t>
        </is>
      </c>
      <c r="E371" t="inlineStr">
        <is>
          <t>4102046</t>
        </is>
      </c>
      <c r="F371" t="inlineStr">
        <is>
          <t>SERVICIOS DE PROMOCIÓN DE LOS DERECHOS DE LOS NIÑOS, NIÑAS, ADOLESCENTES Y JÓVENES</t>
        </is>
      </c>
      <c r="G371" t="inlineStr">
        <is>
          <t>2024548740029</t>
        </is>
      </c>
      <c r="H371" t="inlineStr">
        <is>
          <t>DESARROLLO INTEGRAL DE LA PRIMERA INFANCIA A LA JUVENTUD Y FORTALECIMIENTO DE LAS CAPACIDADES DE LAS FAMILIAS DE NIÑAS,NIÑOS Y ADOLESCENTES.</t>
        </is>
      </c>
      <c r="I371" t="inlineStr">
        <is>
          <t>91119</t>
        </is>
      </c>
      <c r="J371" t="inlineStr">
        <is>
          <t>Otros servicios de la administración pública n.c.p.</t>
        </is>
      </c>
      <c r="K371" t="inlineStr">
        <is>
          <t>00</t>
        </is>
      </c>
      <c r="L371" t="inlineStr">
        <is>
          <t>SIN ATRIBUTO</t>
        </is>
      </c>
      <c r="N371" t="inlineStr">
        <is>
          <t>2.3.2.02.02.009.41.14</t>
        </is>
      </c>
      <c r="O371" t="inlineStr">
        <is>
          <t>Servicios de promoción de los derechos de los niños, niñas, adolescentes y jóvenes</t>
        </is>
      </c>
      <c r="P371" t="inlineStr">
        <is>
          <t>1.3.2.3.11.26</t>
        </is>
      </c>
      <c r="Q371" t="inlineStr">
        <is>
          <t>OTROS RENDIMIENTOS FINANCIEROS - DEGUELLO DE GANADO 2025</t>
        </is>
      </c>
      <c r="R371" t="n">
        <v>300000</v>
      </c>
      <c r="S371" t="n">
        <v>0</v>
      </c>
      <c r="T371" t="n">
        <v>0</v>
      </c>
      <c r="U371" t="n">
        <v>0</v>
      </c>
      <c r="V371" t="n">
        <v>0</v>
      </c>
      <c r="W371" t="n">
        <v>0</v>
      </c>
      <c r="X371" t="n">
        <v>0</v>
      </c>
      <c r="Y371" t="n">
        <v>300000</v>
      </c>
      <c r="Z371" t="n">
        <v>0</v>
      </c>
      <c r="AA371" t="n">
        <v>0</v>
      </c>
      <c r="AB371" t="n">
        <v>0</v>
      </c>
      <c r="AC371" t="n">
        <v>0</v>
      </c>
      <c r="AD371" t="n">
        <v>300000</v>
      </c>
      <c r="AE371" t="n">
        <v>0</v>
      </c>
    </row>
    <row r="372">
      <c r="A372" t="inlineStr">
        <is>
          <t>1 - ADMINISTRACIÓN CENTRAL</t>
        </is>
      </c>
      <c r="B372" t="inlineStr">
        <is>
          <t>41 - INCLUSIÓN SOCIAL Y RECONCILIACIÓN</t>
        </is>
      </c>
      <c r="C372" t="inlineStr">
        <is>
          <t>1500</t>
        </is>
      </c>
      <c r="D372" t="inlineStr">
        <is>
          <t>4103</t>
        </is>
      </c>
      <c r="E372" t="inlineStr">
        <is>
          <t>4103050</t>
        </is>
      </c>
      <c r="F372" t="inlineStr">
        <is>
          <t>SERVICIO DE ACOMPAÑAMIENTO FAMILIAR Y COMUNITARIO PARA LA SUPERACIÓN DE LA POBREZA</t>
        </is>
      </c>
      <c r="G372" t="inlineStr">
        <is>
          <t>2024548740024</t>
        </is>
      </c>
      <c r="H372" t="inlineStr">
        <is>
          <t>FORTALECIMIENTO EN LA INCLUSION SOCIAL Y PRODUCTIVA PARA LA POBLACIÓN EN SUTUACIÓN DE VULNARABILIDAD EN EL MUNICIPIO DE VILLA DEL ROSARIO. VILLA DEL ROSARIO UNA CIUDAD POSIBLE.</t>
        </is>
      </c>
      <c r="I372" t="inlineStr">
        <is>
          <t>91119</t>
        </is>
      </c>
      <c r="J372" t="inlineStr">
        <is>
          <t>Otros servicios de la administración pública n.c.p.</t>
        </is>
      </c>
      <c r="K372" t="inlineStr">
        <is>
          <t>00</t>
        </is>
      </c>
      <c r="L372" t="inlineStr">
        <is>
          <t>SIN ATRIBUTO</t>
        </is>
      </c>
      <c r="N372" t="inlineStr">
        <is>
          <t>2.3.2.02.02.009.41.15</t>
        </is>
      </c>
      <c r="O372" t="inlineStr">
        <is>
          <t>Servicio de acompañamiento familiar y comunitario para la superación de la pobreza</t>
        </is>
      </c>
      <c r="P372" t="inlineStr">
        <is>
          <t>1.2.2.0.00.00</t>
        </is>
      </c>
      <c r="Q372" t="inlineStr">
        <is>
          <t>50% SOBRETASA A LA GASOLINA PROYECTOS PLAN DE DESARROLLO 2024-2027</t>
        </is>
      </c>
      <c r="R372" t="n">
        <v>212000000</v>
      </c>
      <c r="S372" t="n">
        <v>0</v>
      </c>
      <c r="T372" t="n">
        <v>0</v>
      </c>
      <c r="U372" t="n">
        <v>0</v>
      </c>
      <c r="V372" t="n">
        <v>69200000</v>
      </c>
      <c r="W372" t="n">
        <v>0</v>
      </c>
      <c r="X372" t="n">
        <v>0</v>
      </c>
      <c r="Y372" t="n">
        <v>142800000</v>
      </c>
      <c r="Z372" t="n">
        <v>142400000</v>
      </c>
      <c r="AA372" t="n">
        <v>142400000</v>
      </c>
      <c r="AB372" t="n">
        <v>130800000</v>
      </c>
      <c r="AC372" t="n">
        <v>130800000</v>
      </c>
      <c r="AD372" t="n">
        <v>400000</v>
      </c>
      <c r="AE372" t="n">
        <v>99.72</v>
      </c>
    </row>
    <row r="373">
      <c r="A373" t="inlineStr">
        <is>
          <t>1 - ADMINISTRACIÓN CENTRAL</t>
        </is>
      </c>
      <c r="B373" t="inlineStr">
        <is>
          <t>41 - INCLUSIÓN SOCIAL Y RECONCILIACIÓN</t>
        </is>
      </c>
      <c r="C373" t="inlineStr">
        <is>
          <t>1500</t>
        </is>
      </c>
      <c r="D373" t="inlineStr">
        <is>
          <t>4103</t>
        </is>
      </c>
      <c r="E373" t="inlineStr">
        <is>
          <t>4103052</t>
        </is>
      </c>
      <c r="F373" t="inlineStr">
        <is>
          <t>SERVICIO DE GESTIÓN DE OFERTA SOCIAL PARA LA POBLACIÓN VULNERABLE</t>
        </is>
      </c>
      <c r="G373" t="inlineStr">
        <is>
          <t>2024548740024</t>
        </is>
      </c>
      <c r="H373" t="inlineStr">
        <is>
          <t>FORTALECIMIENTO EN LA INCLUSION SOCIAL Y PRODUCTIVA PARA LA POBLACIÓN EN SUTUACIÓN DE VULNARABILIDAD EN EL MUNICIPIO DE VILLA DEL ROSARIO. VILLA DEL ROSARIO UNA CIUDAD POSIBLE.</t>
        </is>
      </c>
      <c r="I373" t="inlineStr">
        <is>
          <t>91119</t>
        </is>
      </c>
      <c r="J373" t="inlineStr">
        <is>
          <t>Otros servicios de la administración pública n.c.p.</t>
        </is>
      </c>
      <c r="K373" t="inlineStr">
        <is>
          <t>00</t>
        </is>
      </c>
      <c r="L373" t="inlineStr">
        <is>
          <t>SIN ATRIBUTO</t>
        </is>
      </c>
      <c r="N373" t="inlineStr">
        <is>
          <t>2.3.2.02.02.009.41.16</t>
        </is>
      </c>
      <c r="O373" t="inlineStr">
        <is>
          <t>Servicio de gestión de oferta social para la población vulnerable</t>
        </is>
      </c>
      <c r="P373" t="inlineStr">
        <is>
          <t>1.2.2.0.00.00</t>
        </is>
      </c>
      <c r="Q373" t="inlineStr">
        <is>
          <t>50% SOBRETASA A LA GASOLINA PROYECTOS PLAN DE DESARROLLO 2024-2027</t>
        </is>
      </c>
      <c r="R373" t="n">
        <v>50000000</v>
      </c>
      <c r="S373" t="n">
        <v>0</v>
      </c>
      <c r="T373" t="n">
        <v>0</v>
      </c>
      <c r="U373" t="n">
        <v>100000000</v>
      </c>
      <c r="V373" t="n">
        <v>0</v>
      </c>
      <c r="W373" t="n">
        <v>0</v>
      </c>
      <c r="X373" t="n">
        <v>0</v>
      </c>
      <c r="Y373" t="n">
        <v>150000000</v>
      </c>
      <c r="Z373" t="n">
        <v>150000000</v>
      </c>
      <c r="AA373" t="n">
        <v>149983000</v>
      </c>
      <c r="AB373" t="n">
        <v>89989800</v>
      </c>
      <c r="AC373" t="n">
        <v>89989800</v>
      </c>
      <c r="AD373" t="n">
        <v>17000</v>
      </c>
      <c r="AE373" t="n">
        <v>99.98999999999999</v>
      </c>
    </row>
    <row r="374">
      <c r="A374" t="inlineStr">
        <is>
          <t>1 - ADMINISTRACIÓN CENTRAL</t>
        </is>
      </c>
      <c r="B374" t="inlineStr">
        <is>
          <t>41 - INCLUSIÓN SOCIAL Y RECONCILIACIÓN</t>
        </is>
      </c>
      <c r="C374" t="inlineStr">
        <is>
          <t>1500</t>
        </is>
      </c>
      <c r="D374" t="inlineStr">
        <is>
          <t>4104</t>
        </is>
      </c>
      <c r="E374" t="inlineStr">
        <is>
          <t>4104008</t>
        </is>
      </c>
      <c r="F374" t="inlineStr">
        <is>
          <t>SERVICIO DE ATENCIÓN Y PROTECCIÓN INTEGRAL AL ADULTO MAYOR</t>
        </is>
      </c>
      <c r="G374" t="inlineStr">
        <is>
          <t>2024548740018</t>
        </is>
      </c>
      <c r="H374" t="inlineStr">
        <is>
          <t>FORTALECIMIENTO EN LA ATENCION INTEGRAL DE POBLACIÓN EN SITUACIÓN PERMANENTE DE DESPROTECCIÓN SOCIAL Y/O FAMILIAR "VILLA DEL ROSARIO UNA CIUDAD POSIBLE" EN EL MUNICIPIO DE VILLA DEL ROSARIO</t>
        </is>
      </c>
      <c r="I374" t="inlineStr">
        <is>
          <t>91119</t>
        </is>
      </c>
      <c r="J374" t="inlineStr">
        <is>
          <t>Otros servicios de la administración pública n.c.p.</t>
        </is>
      </c>
      <c r="K374" t="inlineStr">
        <is>
          <t>00</t>
        </is>
      </c>
      <c r="L374" t="inlineStr">
        <is>
          <t>SIN ATRIBUTO</t>
        </is>
      </c>
      <c r="N374" t="inlineStr">
        <is>
          <t>2.3.2.02.02.009.41.17</t>
        </is>
      </c>
      <c r="O374" t="inlineStr">
        <is>
          <t>Servicio de atención y protección integral al adulto mayor (10% Gasolina)</t>
        </is>
      </c>
      <c r="P374" t="inlineStr">
        <is>
          <t>1.2.2.0.00.10</t>
        </is>
      </c>
      <c r="Q374" t="inlineStr">
        <is>
          <t>10% SOBRETASA A LA GASOLINA POBLACION VULNERABLE ATENCION INTEGRAL ADULTO MAYOR</t>
        </is>
      </c>
      <c r="R374" t="n">
        <v>450000000</v>
      </c>
      <c r="S374" t="n">
        <v>0</v>
      </c>
      <c r="T374" t="n">
        <v>0</v>
      </c>
      <c r="U374" t="n">
        <v>0</v>
      </c>
      <c r="V374" t="n">
        <v>0</v>
      </c>
      <c r="W374" t="n">
        <v>0</v>
      </c>
      <c r="X374" t="n">
        <v>0</v>
      </c>
      <c r="Y374" t="n">
        <v>450000000</v>
      </c>
      <c r="Z374" t="n">
        <v>450000000</v>
      </c>
      <c r="AA374" t="n">
        <v>450000000</v>
      </c>
      <c r="AB374" t="n">
        <v>450000000</v>
      </c>
      <c r="AC374" t="n">
        <v>450000000</v>
      </c>
      <c r="AD374" t="n">
        <v>0</v>
      </c>
      <c r="AE374" t="n">
        <v>100</v>
      </c>
    </row>
    <row r="375">
      <c r="A375" t="inlineStr">
        <is>
          <t>1 - ADMINISTRACIÓN CENTRAL</t>
        </is>
      </c>
      <c r="B375" t="inlineStr">
        <is>
          <t>41 - INCLUSIÓN SOCIAL Y RECONCILIACIÓN</t>
        </is>
      </c>
      <c r="C375" t="inlineStr">
        <is>
          <t>1500</t>
        </is>
      </c>
      <c r="D375" t="inlineStr">
        <is>
          <t>4104</t>
        </is>
      </c>
      <c r="E375" t="inlineStr">
        <is>
          <t>4104020</t>
        </is>
      </c>
      <c r="F375" t="inlineStr">
        <is>
          <t>SERVICIO DE ATENCIÓN INTEGRAL A POBLACIÓN EN CONDICIÓN DE DISCAPACIDAD</t>
        </is>
      </c>
      <c r="G375" t="inlineStr">
        <is>
          <t>2024548740018</t>
        </is>
      </c>
      <c r="H375" t="inlineStr">
        <is>
          <t>FORTALECIMIENTO EN LA ATENCION INTEGRAL DE POBLACIÓN EN SITUACIÓN PERMANENTE DE DESPROTECCIÓN SOCIAL Y/O FAMILIAR "VILLA DEL ROSARIO UNA CIUDAD POSIBLE" EN EL MUNICIPIO DE VILLA DEL ROSARIO</t>
        </is>
      </c>
      <c r="I375" t="inlineStr">
        <is>
          <t>91119</t>
        </is>
      </c>
      <c r="J375" t="inlineStr">
        <is>
          <t>Otros servicios de la administración pública n.c.p.</t>
        </is>
      </c>
      <c r="K375" t="inlineStr">
        <is>
          <t>00</t>
        </is>
      </c>
      <c r="L375" t="inlineStr">
        <is>
          <t>SIN ATRIBUTO</t>
        </is>
      </c>
      <c r="N375" t="inlineStr">
        <is>
          <t>2.3.2.02.02.009.41.18</t>
        </is>
      </c>
      <c r="O375" t="inlineStr">
        <is>
          <t>Servicio de atención integral a población en condición de discapacidad (50% gasolina LD)</t>
        </is>
      </c>
      <c r="P375" t="inlineStr">
        <is>
          <t>1.2.2.0.00.00</t>
        </is>
      </c>
      <c r="Q375" t="inlineStr">
        <is>
          <t>50% SOBRETASA A LA GASOLINA PROYECTOS PLAN DE DESARROLLO 2024-2027</t>
        </is>
      </c>
      <c r="R375" t="n">
        <v>205000000</v>
      </c>
      <c r="S375" t="n">
        <v>0</v>
      </c>
      <c r="T375" t="n">
        <v>0</v>
      </c>
      <c r="U375" t="n">
        <v>0</v>
      </c>
      <c r="V375" t="n">
        <v>0</v>
      </c>
      <c r="W375" t="n">
        <v>0</v>
      </c>
      <c r="X375" t="n">
        <v>0</v>
      </c>
      <c r="Y375" t="n">
        <v>205000000</v>
      </c>
      <c r="Z375" t="n">
        <v>78970000</v>
      </c>
      <c r="AA375" t="n">
        <v>0</v>
      </c>
      <c r="AB375" t="n">
        <v>0</v>
      </c>
      <c r="AC375" t="n">
        <v>0</v>
      </c>
      <c r="AD375" t="n">
        <v>205000000</v>
      </c>
      <c r="AE375" t="n">
        <v>0</v>
      </c>
    </row>
    <row r="376">
      <c r="A376" t="inlineStr">
        <is>
          <t>1 - ADMINISTRACIÓN CENTRAL</t>
        </is>
      </c>
      <c r="B376" t="inlineStr">
        <is>
          <t>41 - INCLUSIÓN SOCIAL Y RECONCILIACIÓN</t>
        </is>
      </c>
      <c r="C376" t="inlineStr">
        <is>
          <t>1500</t>
        </is>
      </c>
      <c r="D376" t="inlineStr">
        <is>
          <t>4104</t>
        </is>
      </c>
      <c r="E376" t="inlineStr">
        <is>
          <t>4104008</t>
        </is>
      </c>
      <c r="F376" t="inlineStr">
        <is>
          <t>SERVICIO DE ATENCIÓN Y PROTECCIÓN INTEGRAL AL ADULTO MAYOR</t>
        </is>
      </c>
      <c r="G376" t="inlineStr">
        <is>
          <t>2024548740018</t>
        </is>
      </c>
      <c r="H376" t="inlineStr">
        <is>
          <t>FORTALECIMIENTO EN LA ATENCION INTEGRAL DE POBLACIÓN EN SITUACIÓN PERMANENTE DE DESPROTECCIÓN SOCIAL Y/O FAMILIAR "VILLA DEL ROSARIO UNA CIUDAD POSIBLE" EN EL MUNICIPIO DE VILLA DEL ROSARIO</t>
        </is>
      </c>
      <c r="I376" t="inlineStr">
        <is>
          <t>91119</t>
        </is>
      </c>
      <c r="J376" t="inlineStr">
        <is>
          <t>Otros servicios de la administración pública n.c.p.</t>
        </is>
      </c>
      <c r="K376" t="inlineStr">
        <is>
          <t>00</t>
        </is>
      </c>
      <c r="L376" t="inlineStr">
        <is>
          <t>SIN ATRIBUTO</t>
        </is>
      </c>
      <c r="N376" t="inlineStr">
        <is>
          <t>2.3.2.02.02.009.41.19</t>
        </is>
      </c>
      <c r="O376" t="inlineStr">
        <is>
          <t>Servicio de atención y protección integral al adulto mayor</t>
        </is>
      </c>
      <c r="P376" t="inlineStr">
        <is>
          <t>1.2.3.1.19.01</t>
        </is>
      </c>
      <c r="Q376" t="inlineStr">
        <is>
          <t>ESTAMPILLA PARA EL BIENESTAR DEL ADULTO MAYOR</t>
        </is>
      </c>
      <c r="R376" t="n">
        <v>1600000000</v>
      </c>
      <c r="S376" t="n">
        <v>0</v>
      </c>
      <c r="T376" t="n">
        <v>0</v>
      </c>
      <c r="U376" t="n">
        <v>0</v>
      </c>
      <c r="V376" t="n">
        <v>0</v>
      </c>
      <c r="W376" t="n">
        <v>0</v>
      </c>
      <c r="X376" t="n">
        <v>0</v>
      </c>
      <c r="Y376" t="n">
        <v>1600000000</v>
      </c>
      <c r="Z376" t="n">
        <v>1600000000</v>
      </c>
      <c r="AA376" t="n">
        <v>1549998350</v>
      </c>
      <c r="AB376" t="n">
        <v>784347100</v>
      </c>
      <c r="AC376" t="n">
        <v>784347100</v>
      </c>
      <c r="AD376" t="n">
        <v>50001650</v>
      </c>
      <c r="AE376" t="n">
        <v>96.87</v>
      </c>
    </row>
    <row r="377">
      <c r="A377" t="inlineStr">
        <is>
          <t>1 - ADMINISTRACIÓN CENTRAL</t>
        </is>
      </c>
      <c r="B377" t="inlineStr">
        <is>
          <t>41 - INCLUSIÓN SOCIAL Y RECONCILIACIÓN</t>
        </is>
      </c>
      <c r="C377" t="inlineStr">
        <is>
          <t>1500</t>
        </is>
      </c>
      <c r="D377" t="inlineStr">
        <is>
          <t>4104</t>
        </is>
      </c>
      <c r="E377" t="inlineStr">
        <is>
          <t>4104008</t>
        </is>
      </c>
      <c r="F377" t="inlineStr">
        <is>
          <t>SERVICIO DE ATENCIÓN Y PROTECCIÓN INTEGRAL AL ADULTO MAYOR</t>
        </is>
      </c>
      <c r="G377" t="inlineStr">
        <is>
          <t>2024548740018</t>
        </is>
      </c>
      <c r="H377" t="inlineStr">
        <is>
          <t>FORTALECIMIENTO EN LA ATENCION INTEGRAL DE POBLACIÓN EN SITUACIÓN PERMANENTE DE DESPROTECCIÓN SOCIAL Y/O FAMILIAR "VILLA DEL ROSARIO UNA CIUDAD POSIBLE" EN EL MUNICIPIO DE VILLA DEL ROSARIO</t>
        </is>
      </c>
      <c r="I377" t="inlineStr">
        <is>
          <t>91119</t>
        </is>
      </c>
      <c r="J377" t="inlineStr">
        <is>
          <t>Otros servicios de la administración pública n.c.p.</t>
        </is>
      </c>
      <c r="K377" t="inlineStr">
        <is>
          <t>00</t>
        </is>
      </c>
      <c r="L377" t="inlineStr">
        <is>
          <t>SIN ATRIBUTO</t>
        </is>
      </c>
      <c r="N377" t="inlineStr">
        <is>
          <t>2.3.2.02.02.009.41.20</t>
        </is>
      </c>
      <c r="O377" t="inlineStr">
        <is>
          <t>Servicio de atención y protección integral al adulto mayor</t>
        </is>
      </c>
      <c r="P377" t="inlineStr">
        <is>
          <t>1.3.2.3.01.03</t>
        </is>
      </c>
      <c r="Q377" t="inlineStr">
        <is>
          <t>R.F. DISTINTOS AL SGP - ESTAMPILLA PRO ADULTO MAYOR</t>
        </is>
      </c>
      <c r="R377" t="n">
        <v>2000000</v>
      </c>
      <c r="S377" t="n">
        <v>0</v>
      </c>
      <c r="T377" t="n">
        <v>0</v>
      </c>
      <c r="U377" t="n">
        <v>0</v>
      </c>
      <c r="V377" t="n">
        <v>0</v>
      </c>
      <c r="W377" t="n">
        <v>0</v>
      </c>
      <c r="X377" t="n">
        <v>0</v>
      </c>
      <c r="Y377" t="n">
        <v>2000000</v>
      </c>
      <c r="Z377" t="n">
        <v>0</v>
      </c>
      <c r="AA377" t="n">
        <v>0</v>
      </c>
      <c r="AB377" t="n">
        <v>0</v>
      </c>
      <c r="AC377" t="n">
        <v>0</v>
      </c>
      <c r="AD377" t="n">
        <v>2000000</v>
      </c>
      <c r="AE377" t="n">
        <v>0</v>
      </c>
    </row>
    <row r="378">
      <c r="A378" t="inlineStr">
        <is>
          <t>1 - ADMINISTRACIÓN CENTRAL</t>
        </is>
      </c>
      <c r="B378" t="inlineStr">
        <is>
          <t>41 - INCLUSIÓN SOCIAL Y RECONCILIACIÓN</t>
        </is>
      </c>
      <c r="C378" t="inlineStr">
        <is>
          <t>1500</t>
        </is>
      </c>
      <c r="D378" t="inlineStr">
        <is>
          <t>4102</t>
        </is>
      </c>
      <c r="E378" t="inlineStr">
        <is>
          <t>4102046</t>
        </is>
      </c>
      <c r="F378" t="inlineStr">
        <is>
          <t>SERVICIOS DE PROMOCIÓN DE LOS DERECHOS DE LOS NIÑOS, NIÑAS, ADOLESCENTES Y JÓVENES</t>
        </is>
      </c>
      <c r="G378" t="inlineStr">
        <is>
          <t>2024548740029</t>
        </is>
      </c>
      <c r="H378" t="inlineStr">
        <is>
          <t>DESARROLLO INTEGRAL DE LA PRIMERA INFANCIA A LA JUVENTUD Y FORTALECIMIENTO DE LAS CAPACIDADES DE LAS FAMILIAS DE NIÑAS,NIÑOS Y ADOLESCENTES.</t>
        </is>
      </c>
      <c r="I378" t="inlineStr">
        <is>
          <t>91119</t>
        </is>
      </c>
      <c r="J378" t="inlineStr">
        <is>
          <t>Otros servicios de la administración pública n.c.p.</t>
        </is>
      </c>
      <c r="K378" t="inlineStr">
        <is>
          <t>00</t>
        </is>
      </c>
      <c r="L378" t="inlineStr">
        <is>
          <t>SIN ATRIBUTO</t>
        </is>
      </c>
      <c r="N378" t="inlineStr">
        <is>
          <t>2.3.2.02.02.009.41.21</t>
        </is>
      </c>
      <c r="O378" t="inlineStr">
        <is>
          <t>Servicios de promoción de los derechos de los niños, niñas, adolescentes y jóvenes</t>
        </is>
      </c>
      <c r="P378" t="inlineStr">
        <is>
          <t>1.3.2.3.11.26</t>
        </is>
      </c>
      <c r="Q378" t="inlineStr">
        <is>
          <t>OTROS RENDIMIENTOS FINANCIEROS - DEGUELLO DE GANADO 2025</t>
        </is>
      </c>
      <c r="R378" t="n">
        <v>0</v>
      </c>
      <c r="S378" t="n">
        <v>1933041.42</v>
      </c>
      <c r="T378" t="n">
        <v>0</v>
      </c>
      <c r="U378" t="n">
        <v>0</v>
      </c>
      <c r="V378" t="n">
        <v>0</v>
      </c>
      <c r="W378" t="n">
        <v>0</v>
      </c>
      <c r="X378" t="n">
        <v>0</v>
      </c>
      <c r="Y378" t="n">
        <v>1933041.42</v>
      </c>
      <c r="Z378" t="n">
        <v>0</v>
      </c>
      <c r="AA378" t="n">
        <v>0</v>
      </c>
      <c r="AB378" t="n">
        <v>0</v>
      </c>
      <c r="AC378" t="n">
        <v>0</v>
      </c>
      <c r="AD378" t="n">
        <v>1933041.42</v>
      </c>
      <c r="AE378" t="n">
        <v>0</v>
      </c>
    </row>
    <row r="379">
      <c r="A379" t="inlineStr">
        <is>
          <t>1 - ADMINISTRACIÓN CENTRAL</t>
        </is>
      </c>
      <c r="B379" t="inlineStr">
        <is>
          <t>41 - INCLUSIÓN SOCIAL Y RECONCILIACIÓN</t>
        </is>
      </c>
      <c r="C379" t="inlineStr">
        <is>
          <t>1500</t>
        </is>
      </c>
      <c r="D379" t="inlineStr">
        <is>
          <t>4102</t>
        </is>
      </c>
      <c r="E379" t="inlineStr">
        <is>
          <t>4102046</t>
        </is>
      </c>
      <c r="F379" t="inlineStr">
        <is>
          <t>SERVICIOS DE PROMOCIÓN DE LOS DERECHOS DE LOS NIÑOS, NIÑAS, ADOLESCENTES Y JÓVENES</t>
        </is>
      </c>
      <c r="G379" t="inlineStr">
        <is>
          <t>2024548740029</t>
        </is>
      </c>
      <c r="H379" t="inlineStr">
        <is>
          <t>DESARROLLO INTEGRAL DE LA PRIMERA INFANCIA A LA JUVENTUD Y FORTALECIMIENTO DE LAS CAPACIDADES DE LAS FAMILIAS DE NIÑAS,NIÑOS Y ADOLESCENTES.</t>
        </is>
      </c>
      <c r="I379" t="inlineStr">
        <is>
          <t>91119</t>
        </is>
      </c>
      <c r="J379" t="inlineStr">
        <is>
          <t>Otros servicios de la administración pública n.c.p.</t>
        </is>
      </c>
      <c r="K379" t="inlineStr">
        <is>
          <t>00</t>
        </is>
      </c>
      <c r="L379" t="inlineStr">
        <is>
          <t>SIN ATRIBUTO</t>
        </is>
      </c>
      <c r="N379" t="inlineStr">
        <is>
          <t>2.3.2.02.02.009.41.21</t>
        </is>
      </c>
      <c r="O379" t="inlineStr">
        <is>
          <t>Servicios de promoción de los derechos de los niños, niñas, adolescentes y jóvenes</t>
        </is>
      </c>
      <c r="P379" t="inlineStr">
        <is>
          <t>1.3.3.5.01.01</t>
        </is>
      </c>
      <c r="Q379" t="inlineStr">
        <is>
          <t>R.B. PARTICIPACIONES DISTINTAS DEL SGP - DEGUELLO DE GANADO MAYOR 2024</t>
        </is>
      </c>
      <c r="R379" t="n">
        <v>0</v>
      </c>
      <c r="S379" t="n">
        <v>16000000</v>
      </c>
      <c r="T379" t="n">
        <v>0</v>
      </c>
      <c r="U379" t="n">
        <v>0</v>
      </c>
      <c r="V379" t="n">
        <v>0</v>
      </c>
      <c r="W379" t="n">
        <v>0</v>
      </c>
      <c r="X379" t="n">
        <v>0</v>
      </c>
      <c r="Y379" t="n">
        <v>16000000</v>
      </c>
      <c r="Z379" t="n">
        <v>16000000</v>
      </c>
      <c r="AA379" t="n">
        <v>16000000</v>
      </c>
      <c r="AB379" t="n">
        <v>0</v>
      </c>
      <c r="AC379" t="n">
        <v>0</v>
      </c>
      <c r="AD379" t="n">
        <v>0</v>
      </c>
      <c r="AE379" t="n">
        <v>100</v>
      </c>
    </row>
    <row r="380">
      <c r="A380" t="inlineStr">
        <is>
          <t>1 - ADMINISTRACIÓN CENTRAL</t>
        </is>
      </c>
      <c r="B380" t="inlineStr">
        <is>
          <t>41 - INCLUSIÓN SOCIAL Y RECONCILIACIÓN</t>
        </is>
      </c>
      <c r="C380" t="inlineStr">
        <is>
          <t>1500</t>
        </is>
      </c>
      <c r="D380" t="inlineStr">
        <is>
          <t>4102</t>
        </is>
      </c>
      <c r="E380" t="inlineStr">
        <is>
          <t>4102046</t>
        </is>
      </c>
      <c r="F380" t="inlineStr">
        <is>
          <t>SERVICIOS DE PROMOCIÓN DE LOS DERECHOS DE LOS NIÑOS, NIÑAS, ADOLESCENTES Y JÓVENES</t>
        </is>
      </c>
      <c r="G380" t="inlineStr">
        <is>
          <t>2024548740029</t>
        </is>
      </c>
      <c r="H380" t="inlineStr">
        <is>
          <t>DESARROLLO INTEGRAL DE LA PRIMERA INFANCIA A LA JUVENTUD Y FORTALECIMIENTO DE LAS CAPACIDADES DE LAS FAMILIAS DE NIÑAS,NIÑOS Y ADOLESCENTES.</t>
        </is>
      </c>
      <c r="I380" t="inlineStr">
        <is>
          <t>91119</t>
        </is>
      </c>
      <c r="J380" t="inlineStr">
        <is>
          <t>Otros servicios de la administración pública n.c.p.</t>
        </is>
      </c>
      <c r="K380" t="inlineStr">
        <is>
          <t>00</t>
        </is>
      </c>
      <c r="L380" t="inlineStr">
        <is>
          <t>SIN ATRIBUTO</t>
        </is>
      </c>
      <c r="N380" t="inlineStr">
        <is>
          <t>2.3.2.02.02.009.41.21</t>
        </is>
      </c>
      <c r="O380" t="inlineStr">
        <is>
          <t>Servicios de promoción de los derechos de los niños, niñas, adolescentes y jóvenes</t>
        </is>
      </c>
      <c r="P380" t="inlineStr">
        <is>
          <t>1.3.3.5.01.02</t>
        </is>
      </c>
      <c r="Q380" t="inlineStr">
        <is>
          <t>R.B. PARTICIPACIONES DISTINTAS DEL SGP - DEGUELLO DE GANADO MAYOR 2025</t>
        </is>
      </c>
      <c r="R380" t="n">
        <v>0</v>
      </c>
      <c r="S380" t="n">
        <v>88068953</v>
      </c>
      <c r="T380" t="n">
        <v>0</v>
      </c>
      <c r="U380" t="n">
        <v>0</v>
      </c>
      <c r="V380" t="n">
        <v>0</v>
      </c>
      <c r="W380" t="n">
        <v>0</v>
      </c>
      <c r="X380" t="n">
        <v>0</v>
      </c>
      <c r="Y380" t="n">
        <v>88068953</v>
      </c>
      <c r="Z380" t="n">
        <v>62000000</v>
      </c>
      <c r="AA380" t="n">
        <v>61964500</v>
      </c>
      <c r="AB380" t="n">
        <v>0</v>
      </c>
      <c r="AC380" t="n">
        <v>0</v>
      </c>
      <c r="AD380" t="n">
        <v>26104453</v>
      </c>
      <c r="AE380" t="n">
        <v>70.36</v>
      </c>
    </row>
    <row r="381">
      <c r="A381" t="inlineStr">
        <is>
          <t>1 - ADMINISTRACIÓN CENTRAL</t>
        </is>
      </c>
      <c r="B381" t="inlineStr">
        <is>
          <t>41 - INCLUSIÓN SOCIAL Y RECONCILIACIÓN</t>
        </is>
      </c>
      <c r="C381" t="inlineStr">
        <is>
          <t>1500</t>
        </is>
      </c>
      <c r="D381" t="inlineStr">
        <is>
          <t>4102</t>
        </is>
      </c>
      <c r="E381" t="inlineStr">
        <is>
          <t>4102001</t>
        </is>
      </c>
      <c r="F381" t="inlineStr">
        <is>
          <t>SERVICIO DE ATENCIÓN INTEGRAL A LA PRIMERA INFANCIA</t>
        </is>
      </c>
      <c r="G381" t="inlineStr">
        <is>
          <t>2024548740029</t>
        </is>
      </c>
      <c r="H381" t="inlineStr">
        <is>
          <t>DESARROLLO INTEGRAL DE LA PRIMERA INFANCIA A LA JUVENTUD Y FORTALECIMIENTO DE LAS CAPACIDADES DE LAS FAMILIAS DE NIÑAS,NIÑOS Y ADOLESCENTES.</t>
        </is>
      </c>
      <c r="I381" t="inlineStr">
        <is>
          <t>91119</t>
        </is>
      </c>
      <c r="J381" t="inlineStr">
        <is>
          <t>Otros servicios de la administración pública n.c.p.</t>
        </is>
      </c>
      <c r="K381" t="inlineStr">
        <is>
          <t>00</t>
        </is>
      </c>
      <c r="L381" t="inlineStr">
        <is>
          <t>SIN ATRIBUTO</t>
        </is>
      </c>
      <c r="N381" t="inlineStr">
        <is>
          <t>2.3.2.02.02.009.41.22</t>
        </is>
      </c>
      <c r="O381" t="inlineStr">
        <is>
          <t>Servicio de atención integral a la primera infancia</t>
        </is>
      </c>
      <c r="P381" t="inlineStr">
        <is>
          <t>1.3.2.2.11</t>
        </is>
      </c>
      <c r="Q381" t="inlineStr">
        <is>
          <t>R.F. SGP - ASIGNACION ESPECIAL INTEGRAL DE LA PRIMERA INFANCIA</t>
        </is>
      </c>
      <c r="R381" t="n">
        <v>0</v>
      </c>
      <c r="S381" t="n">
        <v>204052</v>
      </c>
      <c r="T381" t="n">
        <v>0</v>
      </c>
      <c r="U381" t="n">
        <v>0</v>
      </c>
      <c r="V381" t="n">
        <v>0</v>
      </c>
      <c r="W381" t="n">
        <v>0</v>
      </c>
      <c r="X381" t="n">
        <v>0</v>
      </c>
      <c r="Y381" t="n">
        <v>204052</v>
      </c>
      <c r="Z381" t="n">
        <v>0</v>
      </c>
      <c r="AA381" t="n">
        <v>0</v>
      </c>
      <c r="AB381" t="n">
        <v>0</v>
      </c>
      <c r="AC381" t="n">
        <v>0</v>
      </c>
      <c r="AD381" t="n">
        <v>204052</v>
      </c>
      <c r="AE381" t="n">
        <v>0</v>
      </c>
    </row>
    <row r="382">
      <c r="A382" t="inlineStr">
        <is>
          <t>1 - ADMINISTRACIÓN CENTRAL</t>
        </is>
      </c>
      <c r="B382" t="inlineStr">
        <is>
          <t>41 - INCLUSIÓN SOCIAL Y RECONCILIACIÓN</t>
        </is>
      </c>
      <c r="C382" t="inlineStr">
        <is>
          <t>1500</t>
        </is>
      </c>
      <c r="D382" t="inlineStr">
        <is>
          <t>4102</t>
        </is>
      </c>
      <c r="E382" t="inlineStr">
        <is>
          <t>4102046</t>
        </is>
      </c>
      <c r="F382" t="inlineStr">
        <is>
          <t>SERVICIOS DE PROMOCIÓN DE LOS DERECHOS DE LOS NIÑOS, NIÑAS, ADOLESCENTES Y JÓVENES</t>
        </is>
      </c>
      <c r="G382" t="inlineStr">
        <is>
          <t>2024548740029</t>
        </is>
      </c>
      <c r="H382" t="inlineStr">
        <is>
          <t>DESARROLLO INTEGRAL DE LA PRIMERA INFANCIA A LA JUVENTUD Y FORTALECIMIENTO DE LAS CAPACIDADES DE LAS FAMILIAS DE NIÑAS,NIÑOS Y ADOLESCENTES.</t>
        </is>
      </c>
      <c r="I382" t="inlineStr">
        <is>
          <t>91119</t>
        </is>
      </c>
      <c r="J382" t="inlineStr">
        <is>
          <t>Otros servicios de la administración pública n.c.p.</t>
        </is>
      </c>
      <c r="K382" t="inlineStr">
        <is>
          <t>00</t>
        </is>
      </c>
      <c r="L382" t="inlineStr">
        <is>
          <t>SIN ATRIBUTO</t>
        </is>
      </c>
      <c r="N382" t="inlineStr">
        <is>
          <t>2.3.2.02.02.009.41.23</t>
        </is>
      </c>
      <c r="O382" t="inlineStr">
        <is>
          <t>Servicios de promoción de los derechos de los niños, niñas, adolescentes y jóvenes (acuerdo 025 de 2024 10% proyectos de la primera infancia y la adolescencia)</t>
        </is>
      </c>
      <c r="P382" t="inlineStr">
        <is>
          <t>1.3.3.2.00.11</t>
        </is>
      </c>
      <c r="Q382" t="inlineStr">
        <is>
          <t>R.B. 2024 SOBRETASA A LA GASOLINA</t>
        </is>
      </c>
      <c r="R382" t="n">
        <v>0</v>
      </c>
      <c r="S382" t="n">
        <v>83711468</v>
      </c>
      <c r="T382" t="n">
        <v>0</v>
      </c>
      <c r="U382" t="n">
        <v>0</v>
      </c>
      <c r="V382" t="n">
        <v>0</v>
      </c>
      <c r="W382" t="n">
        <v>0</v>
      </c>
      <c r="X382" t="n">
        <v>0</v>
      </c>
      <c r="Y382" t="n">
        <v>83711468</v>
      </c>
      <c r="Z382" t="n">
        <v>0</v>
      </c>
      <c r="AA382" t="n">
        <v>0</v>
      </c>
      <c r="AB382" t="n">
        <v>0</v>
      </c>
      <c r="AC382" t="n">
        <v>0</v>
      </c>
      <c r="AD382" t="n">
        <v>83711468</v>
      </c>
      <c r="AE382" t="n">
        <v>0</v>
      </c>
    </row>
    <row r="383">
      <c r="A383" t="inlineStr">
        <is>
          <t>1 - ADMINISTRACIÓN CENTRAL</t>
        </is>
      </c>
      <c r="B383" t="inlineStr">
        <is>
          <t>41 - INCLUSIÓN SOCIAL Y RECONCILIACIÓN</t>
        </is>
      </c>
      <c r="C383" t="inlineStr">
        <is>
          <t>1500</t>
        </is>
      </c>
      <c r="D383" t="inlineStr">
        <is>
          <t>4101</t>
        </is>
      </c>
      <c r="E383" t="inlineStr">
        <is>
          <t>4101025</t>
        </is>
      </c>
      <c r="F383" t="inlineStr">
        <is>
          <t>SERVICIO DE AYUDA Y ATENCIÓN HUMANITARIA</t>
        </is>
      </c>
      <c r="G383" t="inlineStr">
        <is>
          <t>2024548740062</t>
        </is>
      </c>
      <c r="H383" t="inlineStr">
        <is>
          <t>FORTALECIMIENTO PARA LA ATENCIÓN ASISTENCIA Y REPARACIÓN INTEGRAL A LAS VICTIMAS EN EL MUNICIPIO DE VILLA DEL ROSARIO.VILLA DEL ROSARIO UNA CIUDAD POSIBLE.</t>
        </is>
      </c>
      <c r="I383" t="inlineStr">
        <is>
          <t>91119</t>
        </is>
      </c>
      <c r="J383" t="inlineStr">
        <is>
          <t>Otros servicios de la administración pública n.c.p.</t>
        </is>
      </c>
      <c r="K383" t="inlineStr">
        <is>
          <t>00</t>
        </is>
      </c>
      <c r="L383" t="inlineStr">
        <is>
          <t>SIN ATRIBUTO</t>
        </is>
      </c>
      <c r="N383" t="inlineStr">
        <is>
          <t>2.3.2.02.02.009.41.24</t>
        </is>
      </c>
      <c r="O383" t="inlineStr">
        <is>
          <t>Servicio de ayuda y atención humanitaria</t>
        </is>
      </c>
      <c r="P383" t="inlineStr">
        <is>
          <t>1.3.2.3.11.35</t>
        </is>
      </c>
      <c r="Q383" t="inlineStr">
        <is>
          <t>OTROS RENDIMIENTOS FINANCIEROS - DEGUELLO DE GANADO MAYOR</t>
        </is>
      </c>
      <c r="R383" t="n">
        <v>0</v>
      </c>
      <c r="S383" t="n">
        <v>351216</v>
      </c>
      <c r="T383" t="n">
        <v>0</v>
      </c>
      <c r="U383" t="n">
        <v>0</v>
      </c>
      <c r="V383" t="n">
        <v>0</v>
      </c>
      <c r="W383" t="n">
        <v>0</v>
      </c>
      <c r="X383" t="n">
        <v>0</v>
      </c>
      <c r="Y383" t="n">
        <v>351216</v>
      </c>
      <c r="Z383" t="n">
        <v>0</v>
      </c>
      <c r="AA383" t="n">
        <v>0</v>
      </c>
      <c r="AB383" t="n">
        <v>0</v>
      </c>
      <c r="AC383" t="n">
        <v>0</v>
      </c>
      <c r="AD383" t="n">
        <v>351216</v>
      </c>
      <c r="AE383" t="n">
        <v>0</v>
      </c>
    </row>
    <row r="384">
      <c r="A384" t="inlineStr">
        <is>
          <t>1 - ADMINISTRACIÓN CENTRAL</t>
        </is>
      </c>
      <c r="B384" t="inlineStr">
        <is>
          <t>41 - INCLUSIÓN SOCIAL Y RECONCILIACIÓN</t>
        </is>
      </c>
      <c r="C384" t="inlineStr">
        <is>
          <t>1500</t>
        </is>
      </c>
      <c r="D384" t="inlineStr">
        <is>
          <t>4104</t>
        </is>
      </c>
      <c r="E384" t="inlineStr">
        <is>
          <t>4104008</t>
        </is>
      </c>
      <c r="F384" t="inlineStr">
        <is>
          <t>SERVICIO DE ATENCIÓN Y PROTECCIÓN INTEGRAL AL ADULTO MAYOR</t>
        </is>
      </c>
      <c r="G384" t="inlineStr">
        <is>
          <t>2024548740018</t>
        </is>
      </c>
      <c r="H384" t="inlineStr">
        <is>
          <t>FORTALECIMIENTO EN LA ATENCION INTEGRAL DE POBLACIÓN EN SITUACIÓN PERMANENTE DE DESPROTECCIÓN SOCIAL Y/O FAMILIAR "VILLA DEL ROSARIO UNA CIUDAD POSIBLE" EN EL MUNICIPIO DE VILLA DEL ROSARIO</t>
        </is>
      </c>
      <c r="I384" t="inlineStr">
        <is>
          <t>91119</t>
        </is>
      </c>
      <c r="J384" t="inlineStr">
        <is>
          <t>Otros servicios de la administración pública n.c.p.</t>
        </is>
      </c>
      <c r="K384" t="inlineStr">
        <is>
          <t>00</t>
        </is>
      </c>
      <c r="L384" t="inlineStr">
        <is>
          <t>SIN ATRIBUTO</t>
        </is>
      </c>
      <c r="N384" t="inlineStr">
        <is>
          <t>2.3.2.02.02.009.41.25</t>
        </is>
      </c>
      <c r="O384" t="inlineStr">
        <is>
          <t>Servicio de atención y protección integral al adulto mayor (acuerdo 025 de 2024 10% proyectos atención adulto mayor)</t>
        </is>
      </c>
      <c r="P384" t="inlineStr">
        <is>
          <t>1.3.3.3.20.12</t>
        </is>
      </c>
      <c r="Q384" t="inlineStr">
        <is>
          <t>R.B. ESTAMPILLA PRO BIENESTAR DEL ADULTO MAYOR</t>
        </is>
      </c>
      <c r="R384" t="n">
        <v>0</v>
      </c>
      <c r="S384" t="n">
        <v>273619442</v>
      </c>
      <c r="T384" t="n">
        <v>0</v>
      </c>
      <c r="U384" t="n">
        <v>0</v>
      </c>
      <c r="V384" t="n">
        <v>0</v>
      </c>
      <c r="W384" t="n">
        <v>0</v>
      </c>
      <c r="X384" t="n">
        <v>0</v>
      </c>
      <c r="Y384" t="n">
        <v>273619442</v>
      </c>
      <c r="Z384" t="n">
        <v>0</v>
      </c>
      <c r="AA384" t="n">
        <v>0</v>
      </c>
      <c r="AB384" t="n">
        <v>0</v>
      </c>
      <c r="AC384" t="n">
        <v>0</v>
      </c>
      <c r="AD384" t="n">
        <v>273619442</v>
      </c>
      <c r="AE384" t="n">
        <v>0</v>
      </c>
    </row>
    <row r="385">
      <c r="A385" t="inlineStr">
        <is>
          <t>1 - ADMINISTRACIÓN CENTRAL</t>
        </is>
      </c>
      <c r="B385" t="inlineStr">
        <is>
          <t>41 - INCLUSIÓN SOCIAL Y RECONCILIACIÓN</t>
        </is>
      </c>
      <c r="C385" t="inlineStr">
        <is>
          <t>1500</t>
        </is>
      </c>
      <c r="D385" t="inlineStr">
        <is>
          <t>4102</t>
        </is>
      </c>
      <c r="E385" t="inlineStr">
        <is>
          <t>4102046</t>
        </is>
      </c>
      <c r="F385" t="inlineStr">
        <is>
          <t>SERVICIOS DE PROMOCIÓN DE LOS DERECHOS DE LOS NIÑOS, NIÑAS, ADOLESCENTES Y JÓVENES</t>
        </is>
      </c>
      <c r="G385" t="inlineStr">
        <is>
          <t>2024548740029</t>
        </is>
      </c>
      <c r="H385" t="inlineStr">
        <is>
          <t>DESARROLLO INTEGRAL DE LA PRIMERA INFANCIA A LA JUVENTUD Y FORTALECIMIENTO DE LAS CAPACIDADES DE LAS FAMILIAS DE NIÑAS,NIÑOS Y ADOLESCENTES.</t>
        </is>
      </c>
      <c r="I385" t="inlineStr">
        <is>
          <t>91119</t>
        </is>
      </c>
      <c r="J385" t="inlineStr">
        <is>
          <t>Otros servicios de la administración pública n.c.p.</t>
        </is>
      </c>
      <c r="K385" t="inlineStr">
        <is>
          <t>00</t>
        </is>
      </c>
      <c r="L385" t="inlineStr">
        <is>
          <t>SIN ATRIBUTO</t>
        </is>
      </c>
      <c r="N385" t="inlineStr">
        <is>
          <t>2.3.2.02.02.009.41.26</t>
        </is>
      </c>
      <c r="O385" t="inlineStr">
        <is>
          <t>Servicios de promoción de los derechos de los niños, niñas, adolescentes y jóvenes (acuerdo 025 de 2024 10% proyectos de la primera infancia y la adolescencia)</t>
        </is>
      </c>
      <c r="P385" t="inlineStr">
        <is>
          <t>1.3.3.2.00.10</t>
        </is>
      </c>
      <c r="Q385" t="inlineStr">
        <is>
          <t>R.B. 2025 SOBRETASA A LA GASOLINA</t>
        </is>
      </c>
      <c r="R385" t="n">
        <v>0</v>
      </c>
      <c r="S385" t="n">
        <v>24192357</v>
      </c>
      <c r="T385" t="n">
        <v>0</v>
      </c>
      <c r="U385" t="n">
        <v>0</v>
      </c>
      <c r="V385" t="n">
        <v>0</v>
      </c>
      <c r="W385" t="n">
        <v>0</v>
      </c>
      <c r="X385" t="n">
        <v>0</v>
      </c>
      <c r="Y385" t="n">
        <v>24192357</v>
      </c>
      <c r="Z385" t="n">
        <v>0</v>
      </c>
      <c r="AA385" t="n">
        <v>0</v>
      </c>
      <c r="AB385" t="n">
        <v>0</v>
      </c>
      <c r="AC385" t="n">
        <v>0</v>
      </c>
      <c r="AD385" t="n">
        <v>24192357</v>
      </c>
      <c r="AE385" t="n">
        <v>0</v>
      </c>
    </row>
    <row r="386">
      <c r="A386" t="inlineStr">
        <is>
          <t>1 - ADMINISTRACIÓN CENTRAL</t>
        </is>
      </c>
      <c r="B386" t="inlineStr">
        <is>
          <t>41 - INCLUSIÓN SOCIAL Y RECONCILIACIÓN</t>
        </is>
      </c>
      <c r="C386" t="inlineStr">
        <is>
          <t>1500</t>
        </is>
      </c>
      <c r="D386" t="inlineStr">
        <is>
          <t>4104</t>
        </is>
      </c>
      <c r="E386" t="inlineStr">
        <is>
          <t>4104008</t>
        </is>
      </c>
      <c r="F386" t="inlineStr">
        <is>
          <t>SERVICIO DE ATENCIÓN Y PROTECCIÓN INTEGRAL AL ADULTO MAYOR</t>
        </is>
      </c>
      <c r="G386" t="inlineStr">
        <is>
          <t>2024548740018</t>
        </is>
      </c>
      <c r="H386" t="inlineStr">
        <is>
          <t>FORTALECIMIENTO EN LA ATENCION INTEGRAL DE POBLACIÓN EN SITUACIÓN PERMANENTE DE DESPROTECCIÓN SOCIAL Y/O FAMILIAR "VILLA DEL ROSARIO UNA CIUDAD POSIBLE" EN EL MUNICIPIO DE VILLA DEL ROSARIO</t>
        </is>
      </c>
      <c r="I386" t="inlineStr">
        <is>
          <t>91119</t>
        </is>
      </c>
      <c r="J386" t="inlineStr">
        <is>
          <t>Otros servicios de la administración pública n.c.p.</t>
        </is>
      </c>
      <c r="K386" t="inlineStr">
        <is>
          <t>00</t>
        </is>
      </c>
      <c r="L386" t="inlineStr">
        <is>
          <t>SIN ATRIBUTO</t>
        </is>
      </c>
      <c r="N386" t="inlineStr">
        <is>
          <t>2.3.2.02.02.009.41.27</t>
        </is>
      </c>
      <c r="O386" t="inlineStr">
        <is>
          <t>Servicio de atención y protección integral al adulto mayor (acuerdo 025 de 2024 10% proyectos atención adulto mayor)</t>
        </is>
      </c>
      <c r="P386" t="inlineStr">
        <is>
          <t>1.3.2.3.11.40</t>
        </is>
      </c>
      <c r="Q386" t="inlineStr">
        <is>
          <t>OTROS RENDIMIENTOS FINANCIEROS ESTAMPILLA ADULTO MAYOR</t>
        </is>
      </c>
      <c r="R386" t="n">
        <v>0</v>
      </c>
      <c r="S386" t="n">
        <v>1035481</v>
      </c>
      <c r="T386" t="n">
        <v>0</v>
      </c>
      <c r="U386" t="n">
        <v>0</v>
      </c>
      <c r="V386" t="n">
        <v>0</v>
      </c>
      <c r="W386" t="n">
        <v>0</v>
      </c>
      <c r="X386" t="n">
        <v>0</v>
      </c>
      <c r="Y386" t="n">
        <v>1035481</v>
      </c>
      <c r="Z386" t="n">
        <v>0</v>
      </c>
      <c r="AA386" t="n">
        <v>0</v>
      </c>
      <c r="AB386" t="n">
        <v>0</v>
      </c>
      <c r="AC386" t="n">
        <v>0</v>
      </c>
      <c r="AD386" t="n">
        <v>1035481</v>
      </c>
      <c r="AE386" t="n">
        <v>0</v>
      </c>
    </row>
    <row r="387">
      <c r="A387" t="inlineStr">
        <is>
          <t>1 - ADMINISTRACIÓN CENTRAL</t>
        </is>
      </c>
      <c r="B387" t="inlineStr">
        <is>
          <t>41 - INCLUSIÓN SOCIAL Y RECONCILIACIÓN</t>
        </is>
      </c>
      <c r="C387" t="inlineStr">
        <is>
          <t>1500</t>
        </is>
      </c>
      <c r="D387" t="inlineStr">
        <is>
          <t>4104</t>
        </is>
      </c>
      <c r="E387" t="inlineStr">
        <is>
          <t>4104008</t>
        </is>
      </c>
      <c r="F387" t="inlineStr">
        <is>
          <t>SERVICIO DE ATENCIÓN Y PROTECCIÓN INTEGRAL AL ADULTO MAYOR</t>
        </is>
      </c>
      <c r="G387" t="inlineStr">
        <is>
          <t>2024548740018</t>
        </is>
      </c>
      <c r="H387" t="inlineStr">
        <is>
          <t>FORTALECIMIENTO EN LA ATENCION INTEGRAL DE POBLACIÓN EN SITUACIÓN PERMANENTE DE DESPROTECCIÓN SOCIAL Y/O FAMILIAR "VILLA DEL ROSARIO UNA CIUDAD POSIBLE" EN EL MUNICIPIO DE VILLA DEL ROSARIO</t>
        </is>
      </c>
      <c r="I387" t="inlineStr">
        <is>
          <t>91119</t>
        </is>
      </c>
      <c r="J387" t="inlineStr">
        <is>
          <t>Otros servicios de la administración pública n.c.p.</t>
        </is>
      </c>
      <c r="K387" t="inlineStr">
        <is>
          <t>00</t>
        </is>
      </c>
      <c r="L387" t="inlineStr">
        <is>
          <t>SIN ATRIBUTO</t>
        </is>
      </c>
      <c r="N387" t="inlineStr">
        <is>
          <t>2.3.2.02.02.009.41.28</t>
        </is>
      </c>
      <c r="O387" t="inlineStr">
        <is>
          <t>Servicio de atención y protección integral al adulto mayor (acuerdo 025 de 2024 10% proyectos atención adulto mayor)</t>
        </is>
      </c>
      <c r="P387" t="inlineStr">
        <is>
          <t>1.3.3.2.00.11</t>
        </is>
      </c>
      <c r="Q387" t="inlineStr">
        <is>
          <t>R.B. 2024 SOBRETASA A LA GASOLINA</t>
        </is>
      </c>
      <c r="R387" t="n">
        <v>0</v>
      </c>
      <c r="S387" t="n">
        <v>83711467</v>
      </c>
      <c r="T387" t="n">
        <v>0</v>
      </c>
      <c r="U387" t="n">
        <v>0</v>
      </c>
      <c r="V387" t="n">
        <v>0</v>
      </c>
      <c r="W387" t="n">
        <v>0</v>
      </c>
      <c r="X387" t="n">
        <v>0</v>
      </c>
      <c r="Y387" t="n">
        <v>83711467</v>
      </c>
      <c r="Z387" t="n">
        <v>0</v>
      </c>
      <c r="AA387" t="n">
        <v>0</v>
      </c>
      <c r="AB387" t="n">
        <v>0</v>
      </c>
      <c r="AC387" t="n">
        <v>0</v>
      </c>
      <c r="AD387" t="n">
        <v>83711467</v>
      </c>
      <c r="AE387" t="n">
        <v>0</v>
      </c>
    </row>
    <row r="388">
      <c r="A388" t="inlineStr">
        <is>
          <t>1 - ADMINISTRACIÓN CENTRAL</t>
        </is>
      </c>
      <c r="B388" t="inlineStr">
        <is>
          <t>41 - INCLUSIÓN SOCIAL Y RECONCILIACIÓN</t>
        </is>
      </c>
      <c r="C388" t="inlineStr">
        <is>
          <t>1500</t>
        </is>
      </c>
      <c r="D388" t="inlineStr">
        <is>
          <t>4104</t>
        </is>
      </c>
      <c r="E388" t="inlineStr">
        <is>
          <t>4104008</t>
        </is>
      </c>
      <c r="F388" t="inlineStr">
        <is>
          <t>SERVICIO DE ATENCIÓN Y PROTECCIÓN INTEGRAL AL ADULTO MAYOR</t>
        </is>
      </c>
      <c r="G388" t="inlineStr">
        <is>
          <t>2024548740018</t>
        </is>
      </c>
      <c r="H388" t="inlineStr">
        <is>
          <t>FORTALECIMIENTO EN LA ATENCION INTEGRAL DE POBLACIÓN EN SITUACIÓN PERMANENTE DE DESPROTECCIÓN SOCIAL Y/O FAMILIAR "VILLA DEL ROSARIO UNA CIUDAD POSIBLE" EN EL MUNICIPIO DE VILLA DEL ROSARIO</t>
        </is>
      </c>
      <c r="I388" t="inlineStr">
        <is>
          <t>91119</t>
        </is>
      </c>
      <c r="J388" t="inlineStr">
        <is>
          <t>Otros servicios de la administración pública n.c.p.</t>
        </is>
      </c>
      <c r="K388" t="inlineStr">
        <is>
          <t>00</t>
        </is>
      </c>
      <c r="L388" t="inlineStr">
        <is>
          <t>SIN ATRIBUTO</t>
        </is>
      </c>
      <c r="N388" t="inlineStr">
        <is>
          <t>2.3.2.02.02.009.41.29</t>
        </is>
      </c>
      <c r="O388" t="inlineStr">
        <is>
          <t>Servicio de atención y protección integral al adulto mayor (acuerdo 025 de 2024 10% proyectos atención adulto mayor)</t>
        </is>
      </c>
      <c r="P388" t="inlineStr">
        <is>
          <t>1.3.3.2.00.10</t>
        </is>
      </c>
      <c r="Q388" t="inlineStr">
        <is>
          <t>R.B. 2025 SOBRETASA A LA GASOLINA</t>
        </is>
      </c>
      <c r="R388" t="n">
        <v>0</v>
      </c>
      <c r="S388" t="n">
        <v>24192359</v>
      </c>
      <c r="T388" t="n">
        <v>0</v>
      </c>
      <c r="U388" t="n">
        <v>0</v>
      </c>
      <c r="V388" t="n">
        <v>0</v>
      </c>
      <c r="W388" t="n">
        <v>0</v>
      </c>
      <c r="X388" t="n">
        <v>0</v>
      </c>
      <c r="Y388" t="n">
        <v>24192359</v>
      </c>
      <c r="Z388" t="n">
        <v>0</v>
      </c>
      <c r="AA388" t="n">
        <v>0</v>
      </c>
      <c r="AB388" t="n">
        <v>0</v>
      </c>
      <c r="AC388" t="n">
        <v>0</v>
      </c>
      <c r="AD388" t="n">
        <v>24192359</v>
      </c>
      <c r="AE388" t="n">
        <v>0</v>
      </c>
    </row>
    <row r="389">
      <c r="A389" t="inlineStr">
        <is>
          <t>1 - ADMINISTRACIÓN CENTRAL</t>
        </is>
      </c>
      <c r="B389" t="inlineStr">
        <is>
          <t>45 - GOBIERNO TERRITORIAL</t>
        </is>
      </c>
      <c r="C389" t="inlineStr">
        <is>
          <t>1000</t>
        </is>
      </c>
      <c r="D389" t="inlineStr">
        <is>
          <t>4501</t>
        </is>
      </c>
      <c r="E389" t="inlineStr">
        <is>
          <t>4501061</t>
        </is>
      </c>
      <c r="F389" t="inlineStr">
        <is>
          <t>SERVICIO DE ATENCIÓN INTEGRAL A LA FAUNA</t>
        </is>
      </c>
      <c r="G389" t="inlineStr">
        <is>
          <t>2024548740027</t>
        </is>
      </c>
      <c r="H389" t="inlineStr">
        <is>
          <t>FORTALECIMIENTO DE LA CONVIVENCIA Y LA SEGURIDAD CIUDADANA EN EL MUNICIPIO DE VILLA DEL ROSARIO. VILLA DEL ROSARIO UNA CIUDAD POSIBLE</t>
        </is>
      </c>
      <c r="I389" t="inlineStr">
        <is>
          <t>91290</t>
        </is>
      </c>
      <c r="J389" t="inlineStr">
        <is>
          <t>Servicios de la administración pública relacionados con otros asuntos de orden público y seguridad</t>
        </is>
      </c>
      <c r="K389" t="inlineStr">
        <is>
          <t>00</t>
        </is>
      </c>
      <c r="L389" t="inlineStr">
        <is>
          <t>SIN ATRIBUTO</t>
        </is>
      </c>
      <c r="N389" t="inlineStr">
        <is>
          <t>2.3.2.02.02.009.45.01</t>
        </is>
      </c>
      <c r="O389" t="inlineStr">
        <is>
          <t>Servicio de atención integral a la fauna</t>
        </is>
      </c>
      <c r="P389" t="inlineStr">
        <is>
          <t>1.2.2.0.00.00</t>
        </is>
      </c>
      <c r="Q389" t="inlineStr">
        <is>
          <t>50% SOBRETASA A LA GASOLINA PROYECTOS PLAN DE DESARROLLO 2024-2027</t>
        </is>
      </c>
      <c r="R389" t="n">
        <v>60000000</v>
      </c>
      <c r="S389" t="n">
        <v>0</v>
      </c>
      <c r="T389" t="n">
        <v>0</v>
      </c>
      <c r="U389" t="n">
        <v>0</v>
      </c>
      <c r="V389" t="n">
        <v>0</v>
      </c>
      <c r="W389" t="n">
        <v>0</v>
      </c>
      <c r="X389" t="n">
        <v>0</v>
      </c>
      <c r="Y389" t="n">
        <v>60000000</v>
      </c>
      <c r="Z389" t="n">
        <v>60000000</v>
      </c>
      <c r="AA389" t="n">
        <v>0</v>
      </c>
      <c r="AB389" t="n">
        <v>0</v>
      </c>
      <c r="AC389" t="n">
        <v>0</v>
      </c>
      <c r="AD389" t="n">
        <v>60000000</v>
      </c>
      <c r="AE389" t="n">
        <v>0</v>
      </c>
    </row>
    <row r="390">
      <c r="A390" t="inlineStr">
        <is>
          <t>1 - ADMINISTRACIÓN CENTRAL</t>
        </is>
      </c>
      <c r="B390" t="inlineStr">
        <is>
          <t>45 - GOBIERNO TERRITORIAL</t>
        </is>
      </c>
      <c r="C390" t="inlineStr">
        <is>
          <t>1000</t>
        </is>
      </c>
      <c r="D390" t="inlineStr">
        <is>
          <t>4501</t>
        </is>
      </c>
      <c r="E390" t="inlineStr">
        <is>
          <t>4501029</t>
        </is>
      </c>
      <c r="F390" t="inlineStr">
        <is>
          <t>SERVICIO DE APOYO FINANCIERO PARA PROYECTOS DE CONVIVENCIA Y SEGURIDAD CIUDADANA</t>
        </is>
      </c>
      <c r="G390" t="inlineStr">
        <is>
          <t>2024548740027</t>
        </is>
      </c>
      <c r="H390" t="inlineStr">
        <is>
          <t>FORTALECIMIENTO DE LA CONVIVENCIA Y LA SEGURIDAD CIUDADANA EN EL MUNICIPIO DE VILLA DEL ROSARIO. VILLA DEL ROSARIO UNA CIUDAD POSIBLE</t>
        </is>
      </c>
      <c r="I390" t="inlineStr">
        <is>
          <t>91290</t>
        </is>
      </c>
      <c r="J390" t="inlineStr">
        <is>
          <t>Servicios de la administración pública relacionados con otros asuntos de orden público y seguridad</t>
        </is>
      </c>
      <c r="K390" t="inlineStr">
        <is>
          <t>00</t>
        </is>
      </c>
      <c r="L390" t="inlineStr">
        <is>
          <t>SIN ATRIBUTO</t>
        </is>
      </c>
      <c r="N390" t="inlineStr">
        <is>
          <t>2.3.2.02.02.009.45.02</t>
        </is>
      </c>
      <c r="O390" t="inlineStr">
        <is>
          <t>Proyectos de convivencia y seguridad ciudadana - FONSET</t>
        </is>
      </c>
      <c r="P390" t="inlineStr">
        <is>
          <t>1.2.3.2.06</t>
        </is>
      </c>
      <c r="Q390" t="inlineStr">
        <is>
          <t>CONTRIBUCION SOBRE CONTRATOS DE OBRA PUBLICA</t>
        </is>
      </c>
      <c r="R390" t="n">
        <v>600000000</v>
      </c>
      <c r="S390" t="n">
        <v>0</v>
      </c>
      <c r="T390" t="n">
        <v>0</v>
      </c>
      <c r="U390" t="n">
        <v>0</v>
      </c>
      <c r="V390" t="n">
        <v>0</v>
      </c>
      <c r="W390" t="n">
        <v>0</v>
      </c>
      <c r="X390" t="n">
        <v>0</v>
      </c>
      <c r="Y390" t="n">
        <v>600000000</v>
      </c>
      <c r="Z390" t="n">
        <v>65104425</v>
      </c>
      <c r="AA390" t="n">
        <v>0</v>
      </c>
      <c r="AB390" t="n">
        <v>0</v>
      </c>
      <c r="AC390" t="n">
        <v>0</v>
      </c>
      <c r="AD390" t="n">
        <v>600000000</v>
      </c>
      <c r="AE390" t="n">
        <v>0</v>
      </c>
    </row>
    <row r="391">
      <c r="A391" t="inlineStr">
        <is>
          <t>1 - ADMINISTRACIÓN CENTRAL</t>
        </is>
      </c>
      <c r="B391" t="inlineStr">
        <is>
          <t>45 - GOBIERNO TERRITORIAL</t>
        </is>
      </c>
      <c r="C391" t="inlineStr">
        <is>
          <t>1000</t>
        </is>
      </c>
      <c r="D391" t="inlineStr">
        <is>
          <t>4501</t>
        </is>
      </c>
      <c r="E391" t="inlineStr">
        <is>
          <t>4501004</t>
        </is>
      </c>
      <c r="F391" t="inlineStr">
        <is>
          <t>SERVICIO DE PROMOCIÓN DE CONVIVENCIA Y NO REPETICIÓN</t>
        </is>
      </c>
      <c r="G391" t="inlineStr">
        <is>
          <t>2024548740027</t>
        </is>
      </c>
      <c r="H391" t="inlineStr">
        <is>
          <t>FORTALECIMIENTO DE LA CONVIVENCIA Y LA SEGURIDAD CIUDADANA EN EL MUNICIPIO DE VILLA DEL ROSARIO. VILLA DEL ROSARIO UNA CIUDAD POSIBLE</t>
        </is>
      </c>
      <c r="I391" t="inlineStr">
        <is>
          <t>91290</t>
        </is>
      </c>
      <c r="J391" t="inlineStr">
        <is>
          <t>Servicios de la administración pública relacionados con otros asuntos de orden público y seguridad</t>
        </is>
      </c>
      <c r="K391" t="inlineStr">
        <is>
          <t>00</t>
        </is>
      </c>
      <c r="L391" t="inlineStr">
        <is>
          <t>SIN ATRIBUTO</t>
        </is>
      </c>
      <c r="N391" t="inlineStr">
        <is>
          <t>2.3.2.02.02.009.45.03</t>
        </is>
      </c>
      <c r="O391" t="inlineStr">
        <is>
          <t>Fortalecimiento de la comisaria de familia</t>
        </is>
      </c>
      <c r="P391" t="inlineStr">
        <is>
          <t>1.2.3.1.19.03</t>
        </is>
      </c>
      <c r="Q391" t="inlineStr">
        <is>
          <t>ESTAMPILLA PARA LA JUSTICIA FAMILIAR</t>
        </is>
      </c>
      <c r="R391" t="n">
        <v>120000000</v>
      </c>
      <c r="S391" t="n">
        <v>0</v>
      </c>
      <c r="T391" t="n">
        <v>0</v>
      </c>
      <c r="U391" t="n">
        <v>0</v>
      </c>
      <c r="V391" t="n">
        <v>0</v>
      </c>
      <c r="W391" t="n">
        <v>0</v>
      </c>
      <c r="X391" t="n">
        <v>0</v>
      </c>
      <c r="Y391" t="n">
        <v>120000000</v>
      </c>
      <c r="Z391" t="n">
        <v>0</v>
      </c>
      <c r="AA391" t="n">
        <v>0</v>
      </c>
      <c r="AB391" t="n">
        <v>0</v>
      </c>
      <c r="AC391" t="n">
        <v>0</v>
      </c>
      <c r="AD391" t="n">
        <v>120000000</v>
      </c>
      <c r="AE391" t="n">
        <v>0</v>
      </c>
    </row>
    <row r="392">
      <c r="A392" t="inlineStr">
        <is>
          <t>1 - ADMINISTRACIÓN CENTRAL</t>
        </is>
      </c>
      <c r="B392" t="inlineStr">
        <is>
          <t>45 - GOBIERNO TERRITORIAL</t>
        </is>
      </c>
      <c r="C392" t="inlineStr">
        <is>
          <t>1000</t>
        </is>
      </c>
      <c r="D392" t="inlineStr">
        <is>
          <t>4501</t>
        </is>
      </c>
      <c r="E392" t="inlineStr">
        <is>
          <t>4501029</t>
        </is>
      </c>
      <c r="F392" t="inlineStr">
        <is>
          <t>SERVICIO DE APOYO FINANCIERO PARA PROYECTOS DE CONVIVENCIA Y SEGURIDAD CIUDADANA</t>
        </is>
      </c>
      <c r="G392" t="inlineStr">
        <is>
          <t>2024548740027</t>
        </is>
      </c>
      <c r="H392" t="inlineStr">
        <is>
          <t>FORTALECIMIENTO DE LA CONVIVENCIA Y LA SEGURIDAD CIUDADANA EN EL MUNICIPIO DE VILLA DEL ROSARIO. VILLA DEL ROSARIO UNA CIUDAD POSIBLE</t>
        </is>
      </c>
      <c r="I392" t="inlineStr">
        <is>
          <t>91290</t>
        </is>
      </c>
      <c r="J392" t="inlineStr">
        <is>
          <t>Servicios de la administración pública relacionados con otros asuntos de orden público y seguridad</t>
        </is>
      </c>
      <c r="K392" t="inlineStr">
        <is>
          <t>00</t>
        </is>
      </c>
      <c r="L392" t="inlineStr">
        <is>
          <t>SIN ATRIBUTO</t>
        </is>
      </c>
      <c r="N392" t="inlineStr">
        <is>
          <t>2.3.2.02.02.009.45.04</t>
        </is>
      </c>
      <c r="O392" t="inlineStr">
        <is>
          <t>Proyectos de convivencia y seguridad ciudadana - MULTAS CÓDIGO DE LA POLICIA</t>
        </is>
      </c>
      <c r="P392" t="inlineStr">
        <is>
          <t>1.2.3.2.24</t>
        </is>
      </c>
      <c r="Q392" t="inlineStr">
        <is>
          <t>MULTAS CODIGO NACIONAL DE POLICIA Y CONVIVENCIA</t>
        </is>
      </c>
      <c r="R392" t="n">
        <v>42000000</v>
      </c>
      <c r="S392" t="n">
        <v>0</v>
      </c>
      <c r="T392" t="n">
        <v>0</v>
      </c>
      <c r="U392" t="n">
        <v>0</v>
      </c>
      <c r="V392" t="n">
        <v>0</v>
      </c>
      <c r="W392" t="n">
        <v>0</v>
      </c>
      <c r="X392" t="n">
        <v>0</v>
      </c>
      <c r="Y392" t="n">
        <v>42000000</v>
      </c>
      <c r="Z392" t="n">
        <v>0</v>
      </c>
      <c r="AA392" t="n">
        <v>0</v>
      </c>
      <c r="AB392" t="n">
        <v>0</v>
      </c>
      <c r="AC392" t="n">
        <v>0</v>
      </c>
      <c r="AD392" t="n">
        <v>42000000</v>
      </c>
      <c r="AE392" t="n">
        <v>0</v>
      </c>
    </row>
    <row r="393">
      <c r="A393" t="inlineStr">
        <is>
          <t>1 - ADMINISTRACIÓN CENTRAL</t>
        </is>
      </c>
      <c r="B393" t="inlineStr">
        <is>
          <t>45 - GOBIERNO TERRITORIAL</t>
        </is>
      </c>
      <c r="C393" t="inlineStr">
        <is>
          <t>1000</t>
        </is>
      </c>
      <c r="D393" t="inlineStr">
        <is>
          <t>4501</t>
        </is>
      </c>
      <c r="E393" t="inlineStr">
        <is>
          <t>4501029</t>
        </is>
      </c>
      <c r="F393" t="inlineStr">
        <is>
          <t>SERVICIO DE APOYO FINANCIERO PARA PROYECTOS DE CONVIVENCIA Y SEGURIDAD CIUDADANA</t>
        </is>
      </c>
      <c r="G393" t="inlineStr">
        <is>
          <t>2024548740027</t>
        </is>
      </c>
      <c r="H393" t="inlineStr">
        <is>
          <t>FORTALECIMIENTO DE LA CONVIVENCIA Y LA SEGURIDAD CIUDADANA EN EL MUNICIPIO DE VILLA DEL ROSARIO. VILLA DEL ROSARIO UNA CIUDAD POSIBLE</t>
        </is>
      </c>
      <c r="I393" t="inlineStr">
        <is>
          <t>91290</t>
        </is>
      </c>
      <c r="J393" t="inlineStr">
        <is>
          <t>Servicios de la administración pública relacionados con otros asuntos de orden público y seguridad</t>
        </is>
      </c>
      <c r="K393" t="inlineStr">
        <is>
          <t>00</t>
        </is>
      </c>
      <c r="L393" t="inlineStr">
        <is>
          <t>SIN ATRIBUTO</t>
        </is>
      </c>
      <c r="N393" t="inlineStr">
        <is>
          <t>2.3.2.02.02.009.45.05</t>
        </is>
      </c>
      <c r="O393" t="inlineStr">
        <is>
          <t>Proyectos de convivencia y seguridad ciudadana - FONSET</t>
        </is>
      </c>
      <c r="P393" t="inlineStr">
        <is>
          <t>1.3.3.4.01</t>
        </is>
      </c>
      <c r="Q393" t="inlineStr">
        <is>
          <t>R.B. CONTRIBUCIÓN SOBRE CONTRATOS DE OBRA PUBLICA</t>
        </is>
      </c>
      <c r="R393" t="n">
        <v>1000000</v>
      </c>
      <c r="S393" t="n">
        <v>0</v>
      </c>
      <c r="T393" t="n">
        <v>0</v>
      </c>
      <c r="U393" t="n">
        <v>0</v>
      </c>
      <c r="V393" t="n">
        <v>0</v>
      </c>
      <c r="W393" t="n">
        <v>0</v>
      </c>
      <c r="X393" t="n">
        <v>0</v>
      </c>
      <c r="Y393" t="n">
        <v>1000000</v>
      </c>
      <c r="Z393" t="n">
        <v>0</v>
      </c>
      <c r="AA393" t="n">
        <v>0</v>
      </c>
      <c r="AB393" t="n">
        <v>0</v>
      </c>
      <c r="AC393" t="n">
        <v>0</v>
      </c>
      <c r="AD393" t="n">
        <v>1000000</v>
      </c>
      <c r="AE393" t="n">
        <v>0</v>
      </c>
    </row>
    <row r="394">
      <c r="A394" t="inlineStr">
        <is>
          <t>1 - ADMINISTRACIÓN CENTRAL</t>
        </is>
      </c>
      <c r="B394" t="inlineStr">
        <is>
          <t>45 - GOBIERNO TERRITORIAL</t>
        </is>
      </c>
      <c r="C394" t="inlineStr">
        <is>
          <t>1000</t>
        </is>
      </c>
      <c r="D394" t="inlineStr">
        <is>
          <t>4501</t>
        </is>
      </c>
      <c r="E394" t="inlineStr">
        <is>
          <t>4501029</t>
        </is>
      </c>
      <c r="F394" t="inlineStr">
        <is>
          <t>SERVICIO DE APOYO FINANCIERO PARA PROYECTOS DE CONVIVENCIA Y SEGURIDAD CIUDADANA</t>
        </is>
      </c>
      <c r="G394" t="inlineStr">
        <is>
          <t>2024548740027</t>
        </is>
      </c>
      <c r="H394" t="inlineStr">
        <is>
          <t>FORTALECIMIENTO DE LA CONVIVENCIA Y LA SEGURIDAD CIUDADANA EN EL MUNICIPIO DE VILLA DEL ROSARIO. VILLA DEL ROSARIO UNA CIUDAD POSIBLE</t>
        </is>
      </c>
      <c r="I394" t="inlineStr">
        <is>
          <t>91290</t>
        </is>
      </c>
      <c r="J394" t="inlineStr">
        <is>
          <t>Servicios de la administración pública relacionados con otros asuntos de orden público y seguridad</t>
        </is>
      </c>
      <c r="K394" t="inlineStr">
        <is>
          <t>00</t>
        </is>
      </c>
      <c r="L394" t="inlineStr">
        <is>
          <t>SIN ATRIBUTO</t>
        </is>
      </c>
      <c r="N394" t="inlineStr">
        <is>
          <t>2.3.2.02.02.009.45.06</t>
        </is>
      </c>
      <c r="O394" t="inlineStr">
        <is>
          <t>Proyectos de convivencia y seguridad ciudadana - FONSET</t>
        </is>
      </c>
      <c r="P394" t="inlineStr">
        <is>
          <t>1.3.2.1.09</t>
        </is>
      </c>
      <c r="Q394" t="inlineStr">
        <is>
          <t>R.F. DE OTRAS CONTRIBUCIONES - CONTRIBUCION FONDO DE SEGURIDAD CIUDADANA</t>
        </is>
      </c>
      <c r="R394" t="n">
        <v>4000000</v>
      </c>
      <c r="S394" t="n">
        <v>0</v>
      </c>
      <c r="T394" t="n">
        <v>0</v>
      </c>
      <c r="U394" t="n">
        <v>0</v>
      </c>
      <c r="V394" t="n">
        <v>0</v>
      </c>
      <c r="W394" t="n">
        <v>0</v>
      </c>
      <c r="X394" t="n">
        <v>0</v>
      </c>
      <c r="Y394" t="n">
        <v>4000000</v>
      </c>
      <c r="Z394" t="n">
        <v>0</v>
      </c>
      <c r="AA394" t="n">
        <v>0</v>
      </c>
      <c r="AB394" t="n">
        <v>0</v>
      </c>
      <c r="AC394" t="n">
        <v>0</v>
      </c>
      <c r="AD394" t="n">
        <v>4000000</v>
      </c>
      <c r="AE394" t="n">
        <v>0</v>
      </c>
    </row>
    <row r="395">
      <c r="A395" t="inlineStr">
        <is>
          <t>1 - ADMINISTRACIÓN CENTRAL</t>
        </is>
      </c>
      <c r="B395" t="inlineStr">
        <is>
          <t>45 - GOBIERNO TERRITORIAL</t>
        </is>
      </c>
      <c r="C395" t="inlineStr">
        <is>
          <t>1000</t>
        </is>
      </c>
      <c r="D395" t="inlineStr">
        <is>
          <t>4501</t>
        </is>
      </c>
      <c r="E395" t="inlineStr">
        <is>
          <t>4501029</t>
        </is>
      </c>
      <c r="F395" t="inlineStr">
        <is>
          <t>SERVICIO DE APOYO FINANCIERO PARA PROYECTOS DE CONVIVENCIA Y SEGURIDAD CIUDADANA</t>
        </is>
      </c>
      <c r="G395" t="inlineStr">
        <is>
          <t>2024548740027</t>
        </is>
      </c>
      <c r="H395" t="inlineStr">
        <is>
          <t>FORTALECIMIENTO DE LA CONVIVENCIA Y LA SEGURIDAD CIUDADANA EN EL MUNICIPIO DE VILLA DEL ROSARIO. VILLA DEL ROSARIO UNA CIUDAD POSIBLE</t>
        </is>
      </c>
      <c r="I395" t="inlineStr">
        <is>
          <t>91290</t>
        </is>
      </c>
      <c r="J395" t="inlineStr">
        <is>
          <t>Servicios de la administración pública relacionados con otros asuntos de orden público y seguridad</t>
        </is>
      </c>
      <c r="K395" t="inlineStr">
        <is>
          <t>00</t>
        </is>
      </c>
      <c r="L395" t="inlineStr">
        <is>
          <t>SIN ATRIBUTO</t>
        </is>
      </c>
      <c r="N395" t="inlineStr">
        <is>
          <t>2.3.2.02.02.009.45.07</t>
        </is>
      </c>
      <c r="O395" t="inlineStr">
        <is>
          <t>Proyectos de convivencia y seguridad ciudadana - MULTAS CÓDIGO DE LA POLICIA</t>
        </is>
      </c>
      <c r="P395" t="inlineStr">
        <is>
          <t>1.3.2.3.01.07</t>
        </is>
      </c>
      <c r="Q395" t="inlineStr">
        <is>
          <t>R.F. DISTINTOS AL SGP - CODIGO DE POLICIA</t>
        </is>
      </c>
      <c r="R395" t="n">
        <v>100000</v>
      </c>
      <c r="S395" t="n">
        <v>0</v>
      </c>
      <c r="T395" t="n">
        <v>0</v>
      </c>
      <c r="U395" t="n">
        <v>0</v>
      </c>
      <c r="V395" t="n">
        <v>0</v>
      </c>
      <c r="W395" t="n">
        <v>0</v>
      </c>
      <c r="X395" t="n">
        <v>0</v>
      </c>
      <c r="Y395" t="n">
        <v>100000</v>
      </c>
      <c r="Z395" t="n">
        <v>0</v>
      </c>
      <c r="AA395" t="n">
        <v>0</v>
      </c>
      <c r="AB395" t="n">
        <v>0</v>
      </c>
      <c r="AC395" t="n">
        <v>0</v>
      </c>
      <c r="AD395" t="n">
        <v>100000</v>
      </c>
      <c r="AE395" t="n">
        <v>0</v>
      </c>
    </row>
    <row r="396">
      <c r="A396" t="inlineStr">
        <is>
          <t>1 - ADMINISTRACIÓN CENTRAL</t>
        </is>
      </c>
      <c r="B396" t="inlineStr">
        <is>
          <t>45 - GOBIERNO TERRITORIAL</t>
        </is>
      </c>
      <c r="C396" t="inlineStr">
        <is>
          <t>1000</t>
        </is>
      </c>
      <c r="D396" t="inlineStr">
        <is>
          <t>4501</t>
        </is>
      </c>
      <c r="E396" t="inlineStr">
        <is>
          <t>4501029</t>
        </is>
      </c>
      <c r="F396" t="inlineStr">
        <is>
          <t>SERVICIO DE APOYO FINANCIERO PARA PROYECTOS DE CONVIVENCIA Y SEGURIDAD CIUDADANA</t>
        </is>
      </c>
      <c r="G396" t="inlineStr">
        <is>
          <t>2024548740027</t>
        </is>
      </c>
      <c r="H396" t="inlineStr">
        <is>
          <t>FORTALECIMIENTO DE LA CONVIVENCIA Y LA SEGURIDAD CIUDADANA EN EL MUNICIPIO DE VILLA DEL ROSARIO. VILLA DEL ROSARIO UNA CIUDAD POSIBLE</t>
        </is>
      </c>
      <c r="I396" t="inlineStr">
        <is>
          <t>91290</t>
        </is>
      </c>
      <c r="J396" t="inlineStr">
        <is>
          <t>Servicios de la administración pública relacionados con otros asuntos de orden público y seguridad</t>
        </is>
      </c>
      <c r="K396" t="inlineStr">
        <is>
          <t>00</t>
        </is>
      </c>
      <c r="L396" t="inlineStr">
        <is>
          <t>SIN ATRIBUTO</t>
        </is>
      </c>
      <c r="N396" t="inlineStr">
        <is>
          <t>2.3.2.02.02.009.45.08</t>
        </is>
      </c>
      <c r="O396" t="inlineStr">
        <is>
          <t>Proyectos de convivencia y seguridad ciudadana - FONSET</t>
        </is>
      </c>
      <c r="P396" t="inlineStr">
        <is>
          <t>1.3.2.3.11.20</t>
        </is>
      </c>
      <c r="Q396" t="inlineStr">
        <is>
          <t>RENDIMIENTOS FINANCIEROS CONTRIBUCIÓN ESPECIAL SOBRE CONTRATOS DE OBRA PUBLICA 2024</t>
        </is>
      </c>
      <c r="R396" t="n">
        <v>2000000</v>
      </c>
      <c r="S396" t="n">
        <v>0</v>
      </c>
      <c r="T396" t="n">
        <v>0</v>
      </c>
      <c r="U396" t="n">
        <v>0</v>
      </c>
      <c r="V396" t="n">
        <v>0</v>
      </c>
      <c r="W396" t="n">
        <v>0</v>
      </c>
      <c r="X396" t="n">
        <v>0</v>
      </c>
      <c r="Y396" t="n">
        <v>2000000</v>
      </c>
      <c r="Z396" t="n">
        <v>0</v>
      </c>
      <c r="AA396" t="n">
        <v>0</v>
      </c>
      <c r="AB396" t="n">
        <v>0</v>
      </c>
      <c r="AC396" t="n">
        <v>0</v>
      </c>
      <c r="AD396" t="n">
        <v>2000000</v>
      </c>
      <c r="AE396" t="n">
        <v>0</v>
      </c>
    </row>
    <row r="397">
      <c r="A397" t="inlineStr">
        <is>
          <t>1 - ADMINISTRACIÓN CENTRAL</t>
        </is>
      </c>
      <c r="B397" t="inlineStr">
        <is>
          <t>45 - GOBIERNO TERRITORIAL</t>
        </is>
      </c>
      <c r="C397" t="inlineStr">
        <is>
          <t>1000</t>
        </is>
      </c>
      <c r="D397" t="inlineStr">
        <is>
          <t>4502</t>
        </is>
      </c>
      <c r="E397" t="inlineStr">
        <is>
          <t>4502019</t>
        </is>
      </c>
      <c r="F397" t="inlineStr">
        <is>
          <t>SERVICIO DE PREVENCIÓN A VIOLACIONES DE DERECHOS HUMANOS</t>
        </is>
      </c>
      <c r="G397" t="inlineStr">
        <is>
          <t>2024548740019</t>
        </is>
      </c>
      <c r="H397" t="inlineStr">
        <is>
          <t>FORTALECIMIENTO DEL BUEN GOBIERNO PARA EL RESPETO Y GARANTIA DE LOS DERECHOS HUMANOS: VILLA DEL ROSARIO UNA CIUDAD POSIBLE.</t>
        </is>
      </c>
      <c r="I397" t="inlineStr">
        <is>
          <t>91119</t>
        </is>
      </c>
      <c r="J397" t="inlineStr">
        <is>
          <t>Otros servicios de la administración pública n.c.p.</t>
        </is>
      </c>
      <c r="K397" t="inlineStr">
        <is>
          <t>00</t>
        </is>
      </c>
      <c r="L397" t="inlineStr">
        <is>
          <t>SIN ATRIBUTO</t>
        </is>
      </c>
      <c r="N397" t="inlineStr">
        <is>
          <t>2.3.2.02.02.009.45.09</t>
        </is>
      </c>
      <c r="O397" t="inlineStr">
        <is>
          <t>Servicio de prevención a violaciones de derechos humanos</t>
        </is>
      </c>
      <c r="P397" t="inlineStr">
        <is>
          <t>1.2.2.0.00.00</t>
        </is>
      </c>
      <c r="Q397" t="inlineStr">
        <is>
          <t>50% SOBRETASA A LA GASOLINA PROYECTOS PLAN DE DESARROLLO 2024-2027</t>
        </is>
      </c>
      <c r="R397" t="n">
        <v>70000000</v>
      </c>
      <c r="S397" t="n">
        <v>0</v>
      </c>
      <c r="T397" t="n">
        <v>0</v>
      </c>
      <c r="U397" t="n">
        <v>0</v>
      </c>
      <c r="V397" t="n">
        <v>0</v>
      </c>
      <c r="W397" t="n">
        <v>0</v>
      </c>
      <c r="X397" t="n">
        <v>0</v>
      </c>
      <c r="Y397" t="n">
        <v>70000000</v>
      </c>
      <c r="Z397" t="n">
        <v>0</v>
      </c>
      <c r="AA397" t="n">
        <v>0</v>
      </c>
      <c r="AB397" t="n">
        <v>0</v>
      </c>
      <c r="AC397" t="n">
        <v>0</v>
      </c>
      <c r="AD397" t="n">
        <v>70000000</v>
      </c>
      <c r="AE397" t="n">
        <v>0</v>
      </c>
    </row>
    <row r="398">
      <c r="A398" t="inlineStr">
        <is>
          <t>1 - ADMINISTRACIÓN CENTRAL</t>
        </is>
      </c>
      <c r="B398" t="inlineStr">
        <is>
          <t>45 - GOBIERNO TERRITORIAL</t>
        </is>
      </c>
      <c r="C398" t="inlineStr">
        <is>
          <t>1000</t>
        </is>
      </c>
      <c r="D398" t="inlineStr">
        <is>
          <t>4502</t>
        </is>
      </c>
      <c r="E398" t="inlineStr">
        <is>
          <t>4502001</t>
        </is>
      </c>
      <c r="F398" t="inlineStr">
        <is>
          <t>SERVICIO DE PROMOCIÓN A LA PARTICIPACIÓN CIUDADANA</t>
        </is>
      </c>
      <c r="G398" t="inlineStr">
        <is>
          <t>2024548740019</t>
        </is>
      </c>
      <c r="H398" t="inlineStr">
        <is>
          <t>FORTALECIMIENTO DEL BUEN GOBIERNO PARA EL RESPETO Y GARANTIA DE LOS DERECHOS HUMANOS: VILLA DEL ROSARIO UNA CIUDAD POSIBLE.</t>
        </is>
      </c>
      <c r="I398" t="inlineStr">
        <is>
          <t>91119</t>
        </is>
      </c>
      <c r="J398" t="inlineStr">
        <is>
          <t>Otros servicios de la administración pública n.c.p.</t>
        </is>
      </c>
      <c r="K398" t="inlineStr">
        <is>
          <t>00</t>
        </is>
      </c>
      <c r="L398" t="inlineStr">
        <is>
          <t>SIN ATRIBUTO</t>
        </is>
      </c>
      <c r="N398" t="inlineStr">
        <is>
          <t>2.3.2.02.02.009.45.10</t>
        </is>
      </c>
      <c r="O398" t="inlineStr">
        <is>
          <t>Servicio de promoción a la participación ciudadana</t>
        </is>
      </c>
      <c r="P398" t="inlineStr">
        <is>
          <t>1.2.4.3.03</t>
        </is>
      </c>
      <c r="Q398" t="inlineStr">
        <is>
          <t>SGP-PROPOSITO GENERAL-PROPOSITO GENERAL LIBRE INVERSION</t>
        </is>
      </c>
      <c r="R398" t="n">
        <v>150000000</v>
      </c>
      <c r="S398" t="n">
        <v>0</v>
      </c>
      <c r="T398" t="n">
        <v>0</v>
      </c>
      <c r="U398" t="n">
        <v>0</v>
      </c>
      <c r="V398" t="n">
        <v>0</v>
      </c>
      <c r="W398" t="n">
        <v>0</v>
      </c>
      <c r="X398" t="n">
        <v>0</v>
      </c>
      <c r="Y398" t="n">
        <v>150000000</v>
      </c>
      <c r="Z398" t="n">
        <v>0</v>
      </c>
      <c r="AA398" t="n">
        <v>0</v>
      </c>
      <c r="AB398" t="n">
        <v>0</v>
      </c>
      <c r="AC398" t="n">
        <v>0</v>
      </c>
      <c r="AD398" t="n">
        <v>150000000</v>
      </c>
      <c r="AE398" t="n">
        <v>0</v>
      </c>
    </row>
    <row r="399">
      <c r="A399" t="inlineStr">
        <is>
          <t>1 - ADMINISTRACIÓN CENTRAL</t>
        </is>
      </c>
      <c r="B399" t="inlineStr">
        <is>
          <t>45 - GOBIERNO TERRITORIAL</t>
        </is>
      </c>
      <c r="C399" t="inlineStr">
        <is>
          <t>1000</t>
        </is>
      </c>
      <c r="D399" t="inlineStr">
        <is>
          <t>4502</t>
        </is>
      </c>
      <c r="E399" t="inlineStr">
        <is>
          <t>4502038</t>
        </is>
      </c>
      <c r="F399" t="inlineStr">
        <is>
          <t>SERVICIO DE PROMOCIÓN DE LA GARANTÍA DE DERECHOS</t>
        </is>
      </c>
      <c r="G399" t="inlineStr">
        <is>
          <t>2024548740019</t>
        </is>
      </c>
      <c r="H399" t="inlineStr">
        <is>
          <t>FORTALECIMIENTO DEL BUEN GOBIERNO PARA EL RESPETO Y GARANTIA DE LOS DERECHOS HUMANOS: VILLA DEL ROSARIO UNA CIUDAD POSIBLE.</t>
        </is>
      </c>
      <c r="I399" t="inlineStr">
        <is>
          <t>91119</t>
        </is>
      </c>
      <c r="J399" t="inlineStr">
        <is>
          <t>Otros servicios de la administración pública n.c.p.</t>
        </is>
      </c>
      <c r="K399" t="inlineStr">
        <is>
          <t>00</t>
        </is>
      </c>
      <c r="L399" t="inlineStr">
        <is>
          <t>SIN ATRIBUTO</t>
        </is>
      </c>
      <c r="N399" t="inlineStr">
        <is>
          <t>2.3.2.02.02.009.45.11</t>
        </is>
      </c>
      <c r="O399" t="inlineStr">
        <is>
          <t>Servicio de promoción de la garantía de derechos</t>
        </is>
      </c>
      <c r="P399" t="inlineStr">
        <is>
          <t>1.2.4.3.03</t>
        </is>
      </c>
      <c r="Q399" t="inlineStr">
        <is>
          <t>SGP-PROPOSITO GENERAL-PROPOSITO GENERAL LIBRE INVERSION</t>
        </is>
      </c>
      <c r="R399" t="n">
        <v>55000000</v>
      </c>
      <c r="S399" t="n">
        <v>0</v>
      </c>
      <c r="T399" t="n">
        <v>0</v>
      </c>
      <c r="U399" t="n">
        <v>0</v>
      </c>
      <c r="V399" t="n">
        <v>0</v>
      </c>
      <c r="W399" t="n">
        <v>0</v>
      </c>
      <c r="X399" t="n">
        <v>0</v>
      </c>
      <c r="Y399" t="n">
        <v>55000000</v>
      </c>
      <c r="Z399" t="n">
        <v>0</v>
      </c>
      <c r="AA399" t="n">
        <v>0</v>
      </c>
      <c r="AB399" t="n">
        <v>0</v>
      </c>
      <c r="AC399" t="n">
        <v>0</v>
      </c>
      <c r="AD399" t="n">
        <v>55000000</v>
      </c>
      <c r="AE399" t="n">
        <v>0</v>
      </c>
    </row>
    <row r="400">
      <c r="A400" t="inlineStr">
        <is>
          <t>1 - ADMINISTRACIÓN CENTRAL</t>
        </is>
      </c>
      <c r="B400" t="inlineStr">
        <is>
          <t>45 - GOBIERNO TERRITORIAL</t>
        </is>
      </c>
      <c r="C400" t="inlineStr">
        <is>
          <t>1000</t>
        </is>
      </c>
      <c r="D400" t="inlineStr">
        <is>
          <t>4503</t>
        </is>
      </c>
      <c r="E400" t="inlineStr">
        <is>
          <t>4503004</t>
        </is>
      </c>
      <c r="F400" t="inlineStr">
        <is>
          <t>SERVICIO DE ATENCIÓN A EMERGENCIAS Y DESASTRES</t>
        </is>
      </c>
      <c r="G400" t="inlineStr">
        <is>
          <t>2024548740025</t>
        </is>
      </c>
      <c r="H400" t="inlineStr">
        <is>
          <t>FORTALECIMIENTO EN LA GESTIÓN DEL RIESGO DE DESASTRES Y EMERGENCIAS EN EL MUNICIPIO DE VILLA DEL ROSARIO. VILLA DEL ROSARIO UNA CIUDAD POSIBLE</t>
        </is>
      </c>
      <c r="I400" t="inlineStr">
        <is>
          <t>91119</t>
        </is>
      </c>
      <c r="J400" t="inlineStr">
        <is>
          <t>Otros servicios de la administración pública n.c.p.</t>
        </is>
      </c>
      <c r="K400" t="inlineStr">
        <is>
          <t>00</t>
        </is>
      </c>
      <c r="L400" t="inlineStr">
        <is>
          <t>SIN ATRIBUTO</t>
        </is>
      </c>
      <c r="N400" t="inlineStr">
        <is>
          <t>2.3.2.02.02.009.45.12</t>
        </is>
      </c>
      <c r="O400" t="inlineStr">
        <is>
          <t>Servicio de atención a emergencias y desastres</t>
        </is>
      </c>
      <c r="P400" t="inlineStr">
        <is>
          <t>1.3.2.3.01.06</t>
        </is>
      </c>
      <c r="Q400" t="inlineStr">
        <is>
          <t>R.F. DISTINTOS AL SGP - GESTION DEL RIESGO</t>
        </is>
      </c>
      <c r="R400" t="n">
        <v>100000</v>
      </c>
      <c r="S400" t="n">
        <v>10461000</v>
      </c>
      <c r="T400" t="n">
        <v>0</v>
      </c>
      <c r="U400" t="n">
        <v>0</v>
      </c>
      <c r="V400" t="n">
        <v>0</v>
      </c>
      <c r="W400" t="n">
        <v>0</v>
      </c>
      <c r="X400" t="n">
        <v>0</v>
      </c>
      <c r="Y400" t="n">
        <v>10561000</v>
      </c>
      <c r="Z400" t="n">
        <v>0</v>
      </c>
      <c r="AA400" t="n">
        <v>0</v>
      </c>
      <c r="AB400" t="n">
        <v>0</v>
      </c>
      <c r="AC400" t="n">
        <v>0</v>
      </c>
      <c r="AD400" t="n">
        <v>10561000</v>
      </c>
      <c r="AE400" t="n">
        <v>0</v>
      </c>
    </row>
    <row r="401">
      <c r="A401" t="inlineStr">
        <is>
          <t>1 - ADMINISTRACIÓN CENTRAL</t>
        </is>
      </c>
      <c r="B401" t="inlineStr">
        <is>
          <t>45 - GOBIERNO TERRITORIAL</t>
        </is>
      </c>
      <c r="C401" t="inlineStr">
        <is>
          <t>1000</t>
        </is>
      </c>
      <c r="D401" t="inlineStr">
        <is>
          <t>4503</t>
        </is>
      </c>
      <c r="E401" t="inlineStr">
        <is>
          <t>4503004</t>
        </is>
      </c>
      <c r="F401" t="inlineStr">
        <is>
          <t>SERVICIO DE ATENCIÓN A EMERGENCIAS Y DESASTRES</t>
        </is>
      </c>
      <c r="G401" t="inlineStr">
        <is>
          <t>2024548740025</t>
        </is>
      </c>
      <c r="H401" t="inlineStr">
        <is>
          <t>FORTALECIMIENTO EN LA GESTIÓN DEL RIESGO DE DESASTRES Y EMERGENCIAS EN EL MUNICIPIO DE VILLA DEL ROSARIO. VILLA DEL ROSARIO UNA CIUDAD POSIBLE</t>
        </is>
      </c>
      <c r="I401" t="inlineStr">
        <is>
          <t>91119</t>
        </is>
      </c>
      <c r="J401" t="inlineStr">
        <is>
          <t>Otros servicios de la administración pública n.c.p.</t>
        </is>
      </c>
      <c r="K401" t="inlineStr">
        <is>
          <t>00</t>
        </is>
      </c>
      <c r="L401" t="inlineStr">
        <is>
          <t>SIN ATRIBUTO</t>
        </is>
      </c>
      <c r="N401" t="inlineStr">
        <is>
          <t>2.3.2.02.02.009.45.13</t>
        </is>
      </c>
      <c r="O401" t="inlineStr">
        <is>
          <t>Servicio de atención a emergencias y desastres</t>
        </is>
      </c>
      <c r="P401" t="inlineStr">
        <is>
          <t>1.2.2.0.00.02</t>
        </is>
      </c>
      <c r="Q401" t="inlineStr">
        <is>
          <t>TASA GESTION DEL RIESGO</t>
        </is>
      </c>
      <c r="R401" t="n">
        <v>250000000</v>
      </c>
      <c r="S401" t="n">
        <v>0</v>
      </c>
      <c r="T401" t="n">
        <v>0</v>
      </c>
      <c r="U401" t="n">
        <v>0</v>
      </c>
      <c r="V401" t="n">
        <v>0</v>
      </c>
      <c r="W401" t="n">
        <v>0</v>
      </c>
      <c r="X401" t="n">
        <v>0</v>
      </c>
      <c r="Y401" t="n">
        <v>250000000</v>
      </c>
      <c r="Z401" t="n">
        <v>0</v>
      </c>
      <c r="AA401" t="n">
        <v>0</v>
      </c>
      <c r="AB401" t="n">
        <v>0</v>
      </c>
      <c r="AC401" t="n">
        <v>0</v>
      </c>
      <c r="AD401" t="n">
        <v>250000000</v>
      </c>
      <c r="AE401" t="n">
        <v>0</v>
      </c>
    </row>
    <row r="402">
      <c r="A402" t="inlineStr">
        <is>
          <t>1 - ADMINISTRACIÓN CENTRAL</t>
        </is>
      </c>
      <c r="B402" t="inlineStr">
        <is>
          <t>45 - GOBIERNO TERRITORIAL</t>
        </is>
      </c>
      <c r="C402" t="inlineStr">
        <is>
          <t>1000</t>
        </is>
      </c>
      <c r="D402" t="inlineStr">
        <is>
          <t>4599</t>
        </is>
      </c>
      <c r="E402" t="inlineStr">
        <is>
          <t>4599031</t>
        </is>
      </c>
      <c r="F402" t="inlineStr">
        <is>
          <t>SERVICIO DE ASISTENCIA TÉCNICA</t>
        </is>
      </c>
      <c r="G402" t="inlineStr">
        <is>
          <t>2024548740017</t>
        </is>
      </c>
      <c r="H402" t="inlineStr">
        <is>
          <t>FORTALECIMIENTO A LA GESTION Y DIRECCION DE LA ADMINISTRACION PUBLICA TERRITORIAL EN EL MUNICIPIO DE VILLA DEL ROSARIO</t>
        </is>
      </c>
      <c r="I402" t="inlineStr">
        <is>
          <t>91119</t>
        </is>
      </c>
      <c r="J402" t="inlineStr">
        <is>
          <t>Otros servicios de la administración pública n.c.p.</t>
        </is>
      </c>
      <c r="K402" t="inlineStr">
        <is>
          <t>00</t>
        </is>
      </c>
      <c r="L402" t="inlineStr">
        <is>
          <t>SIN ATRIBUTO</t>
        </is>
      </c>
      <c r="N402" t="inlineStr">
        <is>
          <t>2.3.2.02.02.009.45.14</t>
        </is>
      </c>
      <c r="O402" t="inlineStr">
        <is>
          <t>financiación de deficit fiscal</t>
        </is>
      </c>
      <c r="P402" t="inlineStr">
        <is>
          <t>1.2.1.0.00</t>
        </is>
      </c>
      <c r="Q402" t="inlineStr">
        <is>
          <t>INGRESOS CORRIENTES DE LIBRE DESTINACION</t>
        </is>
      </c>
      <c r="R402" t="n">
        <v>1000000000</v>
      </c>
      <c r="S402" t="n">
        <v>0</v>
      </c>
      <c r="T402" t="n">
        <v>0</v>
      </c>
      <c r="U402" t="n">
        <v>0</v>
      </c>
      <c r="V402" t="n">
        <v>1000000000</v>
      </c>
      <c r="W402" t="n">
        <v>0</v>
      </c>
      <c r="X402" t="n">
        <v>0</v>
      </c>
      <c r="Y402" t="n">
        <v>0</v>
      </c>
      <c r="Z402" t="n">
        <v>0</v>
      </c>
      <c r="AA402" t="n">
        <v>0</v>
      </c>
      <c r="AB402" t="n">
        <v>0</v>
      </c>
      <c r="AC402" t="n">
        <v>0</v>
      </c>
      <c r="AD402" t="n">
        <v>0</v>
      </c>
      <c r="AE402" t="n">
        <v>0</v>
      </c>
    </row>
    <row r="403">
      <c r="A403" t="inlineStr">
        <is>
          <t>1 - ADMINISTRACIÓN CENTRAL</t>
        </is>
      </c>
      <c r="B403" t="inlineStr">
        <is>
          <t>45 - GOBIERNO TERRITORIAL</t>
        </is>
      </c>
      <c r="C403" t="inlineStr">
        <is>
          <t>1000</t>
        </is>
      </c>
      <c r="D403" t="inlineStr">
        <is>
          <t>4599</t>
        </is>
      </c>
      <c r="E403" t="inlineStr">
        <is>
          <t>4599031</t>
        </is>
      </c>
      <c r="F403" t="inlineStr">
        <is>
          <t>SERVICIO DE ASISTENCIA TÉCNICA</t>
        </is>
      </c>
      <c r="G403" t="inlineStr">
        <is>
          <t>2024548740017</t>
        </is>
      </c>
      <c r="H403" t="inlineStr">
        <is>
          <t>FORTALECIMIENTO A LA GESTION Y DIRECCION DE LA ADMINISTRACION PUBLICA TERRITORIAL EN EL MUNICIPIO DE VILLA DEL ROSARIO</t>
        </is>
      </c>
      <c r="I403" t="inlineStr">
        <is>
          <t>91119</t>
        </is>
      </c>
      <c r="J403" t="inlineStr">
        <is>
          <t>Otros servicios de la administración pública n.c.p.</t>
        </is>
      </c>
      <c r="K403" t="inlineStr">
        <is>
          <t>00</t>
        </is>
      </c>
      <c r="L403" t="inlineStr">
        <is>
          <t>SIN ATRIBUTO</t>
        </is>
      </c>
      <c r="N403" t="inlineStr">
        <is>
          <t>2.3.2.02.02.009.45.15</t>
        </is>
      </c>
      <c r="O403" t="inlineStr">
        <is>
          <t>Servicio de asistencia técnica</t>
        </is>
      </c>
      <c r="P403" t="inlineStr">
        <is>
          <t>1.2.1.0.00</t>
        </is>
      </c>
      <c r="Q403" t="inlineStr">
        <is>
          <t>INGRESOS CORRIENTES DE LIBRE DESTINACION</t>
        </is>
      </c>
      <c r="R403" t="n">
        <v>1098815645</v>
      </c>
      <c r="S403" t="n">
        <v>0</v>
      </c>
      <c r="T403" t="n">
        <v>0</v>
      </c>
      <c r="U403" t="n">
        <v>0</v>
      </c>
      <c r="V403" t="n">
        <v>0</v>
      </c>
      <c r="W403" t="n">
        <v>0</v>
      </c>
      <c r="X403" t="n">
        <v>0</v>
      </c>
      <c r="Y403" t="n">
        <v>1098815645</v>
      </c>
      <c r="Z403" t="n">
        <v>936500000</v>
      </c>
      <c r="AA403" t="n">
        <v>936500000</v>
      </c>
      <c r="AB403" t="n">
        <v>833600000</v>
      </c>
      <c r="AC403" t="n">
        <v>833600000</v>
      </c>
      <c r="AD403" t="n">
        <v>162315645</v>
      </c>
      <c r="AE403" t="n">
        <v>85.23</v>
      </c>
    </row>
    <row r="404">
      <c r="A404" t="inlineStr">
        <is>
          <t>1 - ADMINISTRACIÓN CENTRAL</t>
        </is>
      </c>
      <c r="B404" t="inlineStr">
        <is>
          <t>45 - GOBIERNO TERRITORIAL</t>
        </is>
      </c>
      <c r="C404" t="inlineStr">
        <is>
          <t>1000</t>
        </is>
      </c>
      <c r="D404" t="inlineStr">
        <is>
          <t>4599</t>
        </is>
      </c>
      <c r="E404" t="inlineStr">
        <is>
          <t>4599031</t>
        </is>
      </c>
      <c r="F404" t="inlineStr">
        <is>
          <t>SERVICIO DE ASISTENCIA TÉCNICA</t>
        </is>
      </c>
      <c r="G404" t="inlineStr">
        <is>
          <t>2024548740017</t>
        </is>
      </c>
      <c r="H404" t="inlineStr">
        <is>
          <t>FORTALECIMIENTO A LA GESTION Y DIRECCION DE LA ADMINISTRACION PUBLICA TERRITORIAL EN EL MUNICIPIO DE VILLA DEL ROSARIO</t>
        </is>
      </c>
      <c r="I404" t="inlineStr">
        <is>
          <t>91119</t>
        </is>
      </c>
      <c r="J404" t="inlineStr">
        <is>
          <t>Otros servicios de la administración pública n.c.p.</t>
        </is>
      </c>
      <c r="K404" t="inlineStr">
        <is>
          <t>00</t>
        </is>
      </c>
      <c r="L404" t="inlineStr">
        <is>
          <t>SIN ATRIBUTO</t>
        </is>
      </c>
      <c r="N404" t="inlineStr">
        <is>
          <t>2.3.2.02.02.009.45.16</t>
        </is>
      </c>
      <c r="O404" t="inlineStr">
        <is>
          <t>Servicio de asistencia técnica</t>
        </is>
      </c>
      <c r="P404" t="inlineStr">
        <is>
          <t>1.3.2.3.01.01</t>
        </is>
      </c>
      <c r="Q404" t="inlineStr">
        <is>
          <t>R.F. DISTINTOS AL SGP - RECURSOS PROPIOS</t>
        </is>
      </c>
      <c r="R404" t="n">
        <v>50200000</v>
      </c>
      <c r="S404" t="n">
        <v>0</v>
      </c>
      <c r="T404" t="n">
        <v>0</v>
      </c>
      <c r="U404" t="n">
        <v>0</v>
      </c>
      <c r="V404" t="n">
        <v>0</v>
      </c>
      <c r="W404" t="n">
        <v>0</v>
      </c>
      <c r="X404" t="n">
        <v>0</v>
      </c>
      <c r="Y404" t="n">
        <v>50200000</v>
      </c>
      <c r="Z404" t="n">
        <v>0</v>
      </c>
      <c r="AA404" t="n">
        <v>0</v>
      </c>
      <c r="AB404" t="n">
        <v>0</v>
      </c>
      <c r="AC404" t="n">
        <v>0</v>
      </c>
      <c r="AD404" t="n">
        <v>50200000</v>
      </c>
      <c r="AE404" t="n">
        <v>0</v>
      </c>
    </row>
    <row r="405">
      <c r="A405" t="inlineStr">
        <is>
          <t>1 - ADMINISTRACIÓN CENTRAL</t>
        </is>
      </c>
      <c r="B405" t="inlineStr">
        <is>
          <t>45 - GOBIERNO TERRITORIAL</t>
        </is>
      </c>
      <c r="C405" t="inlineStr">
        <is>
          <t>1000</t>
        </is>
      </c>
      <c r="D405" t="inlineStr">
        <is>
          <t>4599</t>
        </is>
      </c>
      <c r="E405" t="inlineStr">
        <is>
          <t>4599031</t>
        </is>
      </c>
      <c r="F405" t="inlineStr">
        <is>
          <t>SERVICIO DE ASISTENCIA TÉCNICA</t>
        </is>
      </c>
      <c r="G405" t="inlineStr">
        <is>
          <t>2024548740017</t>
        </is>
      </c>
      <c r="H405" t="inlineStr">
        <is>
          <t>FORTALECIMIENTO A LA GESTION Y DIRECCION DE LA ADMINISTRACION PUBLICA TERRITORIAL EN EL MUNICIPIO DE VILLA DEL ROSARIO</t>
        </is>
      </c>
      <c r="I405" t="inlineStr">
        <is>
          <t>91119</t>
        </is>
      </c>
      <c r="J405" t="inlineStr">
        <is>
          <t>Otros servicios de la administración pública n.c.p.</t>
        </is>
      </c>
      <c r="K405" t="inlineStr">
        <is>
          <t>00</t>
        </is>
      </c>
      <c r="L405" t="inlineStr">
        <is>
          <t>SIN ATRIBUTO</t>
        </is>
      </c>
      <c r="N405" t="inlineStr">
        <is>
          <t>2.3.2.02.02.009.45.17</t>
        </is>
      </c>
      <c r="O405" t="inlineStr">
        <is>
          <t>Servicio de asistencia técnica</t>
        </is>
      </c>
      <c r="P405" t="inlineStr">
        <is>
          <t>1.3.2.2.08.03</t>
        </is>
      </c>
      <c r="Q405" t="inlineStr">
        <is>
          <t>R.F. SGP -PROPOSITO GENERAL LIBRE DESTINACION</t>
        </is>
      </c>
      <c r="R405" t="n">
        <v>2000000</v>
      </c>
      <c r="S405" t="n">
        <v>0</v>
      </c>
      <c r="T405" t="n">
        <v>0</v>
      </c>
      <c r="U405" t="n">
        <v>0</v>
      </c>
      <c r="V405" t="n">
        <v>0</v>
      </c>
      <c r="W405" t="n">
        <v>0</v>
      </c>
      <c r="X405" t="n">
        <v>0</v>
      </c>
      <c r="Y405" t="n">
        <v>2000000</v>
      </c>
      <c r="Z405" t="n">
        <v>0</v>
      </c>
      <c r="AA405" t="n">
        <v>0</v>
      </c>
      <c r="AB405" t="n">
        <v>0</v>
      </c>
      <c r="AC405" t="n">
        <v>0</v>
      </c>
      <c r="AD405" t="n">
        <v>2000000</v>
      </c>
      <c r="AE405" t="n">
        <v>0</v>
      </c>
    </row>
    <row r="406">
      <c r="A406" t="inlineStr">
        <is>
          <t>1 - ADMINISTRACIÓN CENTRAL</t>
        </is>
      </c>
      <c r="B406" t="inlineStr">
        <is>
          <t>45 - GOBIERNO TERRITORIAL</t>
        </is>
      </c>
      <c r="C406" t="inlineStr">
        <is>
          <t>1000</t>
        </is>
      </c>
      <c r="D406" t="inlineStr">
        <is>
          <t>4599</t>
        </is>
      </c>
      <c r="E406" t="inlineStr">
        <is>
          <t>4599031</t>
        </is>
      </c>
      <c r="F406" t="inlineStr">
        <is>
          <t>SERVICIO DE ASISTENCIA TÉCNICA</t>
        </is>
      </c>
      <c r="G406" t="inlineStr">
        <is>
          <t>2024548740017</t>
        </is>
      </c>
      <c r="H406" t="inlineStr">
        <is>
          <t>FORTALECIMIENTO A LA GESTION Y DIRECCION DE LA ADMINISTRACION PUBLICA TERRITORIAL EN EL MUNICIPIO DE VILLA DEL ROSARIO</t>
        </is>
      </c>
      <c r="I406" t="inlineStr">
        <is>
          <t>91119</t>
        </is>
      </c>
      <c r="J406" t="inlineStr">
        <is>
          <t>Otros servicios de la administración pública n.c.p.</t>
        </is>
      </c>
      <c r="K406" t="inlineStr">
        <is>
          <t>00</t>
        </is>
      </c>
      <c r="L406" t="inlineStr">
        <is>
          <t>SIN ATRIBUTO</t>
        </is>
      </c>
      <c r="N406" t="inlineStr">
        <is>
          <t>2.3.2.02.02.009.45.18</t>
        </is>
      </c>
      <c r="O406" t="inlineStr">
        <is>
          <t>Servicio de asistencia técnica</t>
        </is>
      </c>
      <c r="P406" t="inlineStr">
        <is>
          <t>1.2.4.3.04</t>
        </is>
      </c>
      <c r="Q406" t="inlineStr">
        <is>
          <t>SGP-PROPOSITO GENERAL-LIBRE DESTINACION MUNICIPIOS CATEGORIAS 4, 5 Y 6</t>
        </is>
      </c>
      <c r="R406" t="n">
        <v>3414091741</v>
      </c>
      <c r="S406" t="n">
        <v>282961323</v>
      </c>
      <c r="T406" t="n">
        <v>0</v>
      </c>
      <c r="U406" t="n">
        <v>0</v>
      </c>
      <c r="V406" t="n">
        <v>0</v>
      </c>
      <c r="W406" t="n">
        <v>0</v>
      </c>
      <c r="X406" t="n">
        <v>0</v>
      </c>
      <c r="Y406" t="n">
        <v>3697053064</v>
      </c>
      <c r="Z406" t="n">
        <v>2196800000</v>
      </c>
      <c r="AA406" t="n">
        <v>2196800000</v>
      </c>
      <c r="AB406" t="n">
        <v>1891100000</v>
      </c>
      <c r="AC406" t="n">
        <v>1834400000</v>
      </c>
      <c r="AD406" t="n">
        <v>1500253064</v>
      </c>
      <c r="AE406" t="n">
        <v>59.42</v>
      </c>
    </row>
    <row r="407">
      <c r="A407" t="inlineStr">
        <is>
          <t>1 - ADMINISTRACIÓN CENTRAL</t>
        </is>
      </c>
      <c r="B407" t="inlineStr">
        <is>
          <t>45 - GOBIERNO TERRITORIAL</t>
        </is>
      </c>
      <c r="C407" t="inlineStr">
        <is>
          <t>1000</t>
        </is>
      </c>
      <c r="D407" t="inlineStr">
        <is>
          <t>4501</t>
        </is>
      </c>
      <c r="E407" t="inlineStr">
        <is>
          <t>4501029</t>
        </is>
      </c>
      <c r="F407" t="inlineStr">
        <is>
          <t>SERVICIO DE APOYO FINANCIERO PARA PROYECTOS DE CONVIVENCIA Y SEGURIDAD CIUDADANA</t>
        </is>
      </c>
      <c r="G407" t="inlineStr">
        <is>
          <t>2024548740027</t>
        </is>
      </c>
      <c r="H407" t="inlineStr">
        <is>
          <t>FORTALECIMIENTO DE LA CONVIVENCIA Y LA SEGURIDAD CIUDADANA EN EL MUNICIPIO DE VILLA DEL ROSARIO. VILLA DEL ROSARIO UNA CIUDAD POSIBLE</t>
        </is>
      </c>
      <c r="I407" t="inlineStr">
        <is>
          <t>91290</t>
        </is>
      </c>
      <c r="J407" t="inlineStr">
        <is>
          <t>Servicios de la administración pública relacionados con otros asuntos de orden público y seguridad</t>
        </is>
      </c>
      <c r="K407" t="inlineStr">
        <is>
          <t>00</t>
        </is>
      </c>
      <c r="L407" t="inlineStr">
        <is>
          <t>SIN ATRIBUTO</t>
        </is>
      </c>
      <c r="N407" t="inlineStr">
        <is>
          <t>2.3.2.02.02.009.45.19</t>
        </is>
      </c>
      <c r="O407" t="inlineStr">
        <is>
          <t>Proyectos de convivencia y seguridad ciudadana - FONSET</t>
        </is>
      </c>
      <c r="P407" t="inlineStr">
        <is>
          <t>1.3.3.4.01</t>
        </is>
      </c>
      <c r="Q407" t="inlineStr">
        <is>
          <t>R.B. CONTRIBUCIÓN SOBRE CONTRATOS DE OBRA PUBLICA</t>
        </is>
      </c>
      <c r="R407" t="n">
        <v>0</v>
      </c>
      <c r="S407" t="n">
        <v>195342079</v>
      </c>
      <c r="T407" t="n">
        <v>0</v>
      </c>
      <c r="U407" t="n">
        <v>0</v>
      </c>
      <c r="V407" t="n">
        <v>0</v>
      </c>
      <c r="W407" t="n">
        <v>0</v>
      </c>
      <c r="X407" t="n">
        <v>0</v>
      </c>
      <c r="Y407" t="n">
        <v>195342079</v>
      </c>
      <c r="Z407" t="n">
        <v>0</v>
      </c>
      <c r="AA407" t="n">
        <v>0</v>
      </c>
      <c r="AB407" t="n">
        <v>0</v>
      </c>
      <c r="AC407" t="n">
        <v>0</v>
      </c>
      <c r="AD407" t="n">
        <v>195342079</v>
      </c>
      <c r="AE407" t="n">
        <v>0</v>
      </c>
    </row>
    <row r="408">
      <c r="A408" t="inlineStr">
        <is>
          <t>1 - ADMINISTRACIÓN CENTRAL</t>
        </is>
      </c>
      <c r="B408" t="inlineStr">
        <is>
          <t>45 - GOBIERNO TERRITORIAL</t>
        </is>
      </c>
      <c r="C408" t="inlineStr">
        <is>
          <t>1000</t>
        </is>
      </c>
      <c r="D408" t="inlineStr">
        <is>
          <t>4501</t>
        </is>
      </c>
      <c r="E408" t="inlineStr">
        <is>
          <t>4501029</t>
        </is>
      </c>
      <c r="F408" t="inlineStr">
        <is>
          <t>SERVICIO DE APOYO FINANCIERO PARA PROYECTOS DE CONVIVENCIA Y SEGURIDAD CIUDADANA</t>
        </is>
      </c>
      <c r="G408" t="inlineStr">
        <is>
          <t>2024548740027</t>
        </is>
      </c>
      <c r="H408" t="inlineStr">
        <is>
          <t>FORTALECIMIENTO DE LA CONVIVENCIA Y LA SEGURIDAD CIUDADANA EN EL MUNICIPIO DE VILLA DEL ROSARIO. VILLA DEL ROSARIO UNA CIUDAD POSIBLE</t>
        </is>
      </c>
      <c r="I408" t="inlineStr">
        <is>
          <t>91290</t>
        </is>
      </c>
      <c r="J408" t="inlineStr">
        <is>
          <t>Servicios de la administración pública relacionados con otros asuntos de orden público y seguridad</t>
        </is>
      </c>
      <c r="K408" t="inlineStr">
        <is>
          <t>00</t>
        </is>
      </c>
      <c r="L408" t="inlineStr">
        <is>
          <t>SIN ATRIBUTO</t>
        </is>
      </c>
      <c r="N408" t="inlineStr">
        <is>
          <t>2.3.2.02.02.009.45.20</t>
        </is>
      </c>
      <c r="O408" t="inlineStr">
        <is>
          <t>Proyectos de convivencia y seguridad ciudadana - FONSET</t>
        </is>
      </c>
      <c r="P408" t="inlineStr">
        <is>
          <t>1.3.2.1.09</t>
        </is>
      </c>
      <c r="Q408" t="inlineStr">
        <is>
          <t>R.F. DE OTRAS CONTRIBUCIONES - CONTRIBUCION FONDO DE SEGURIDAD CIUDADANA</t>
        </is>
      </c>
      <c r="R408" t="n">
        <v>0</v>
      </c>
      <c r="S408" t="n">
        <v>3849454</v>
      </c>
      <c r="T408" t="n">
        <v>0</v>
      </c>
      <c r="U408" t="n">
        <v>0</v>
      </c>
      <c r="V408" t="n">
        <v>0</v>
      </c>
      <c r="W408" t="n">
        <v>0</v>
      </c>
      <c r="X408" t="n">
        <v>0</v>
      </c>
      <c r="Y408" t="n">
        <v>3849454</v>
      </c>
      <c r="Z408" t="n">
        <v>0</v>
      </c>
      <c r="AA408" t="n">
        <v>0</v>
      </c>
      <c r="AB408" t="n">
        <v>0</v>
      </c>
      <c r="AC408" t="n">
        <v>0</v>
      </c>
      <c r="AD408" t="n">
        <v>3849454</v>
      </c>
      <c r="AE408" t="n">
        <v>0</v>
      </c>
    </row>
    <row r="409">
      <c r="A409" t="inlineStr">
        <is>
          <t>1 - ADMINISTRACIÓN CENTRAL</t>
        </is>
      </c>
      <c r="B409" t="inlineStr">
        <is>
          <t>45 - GOBIERNO TERRITORIAL</t>
        </is>
      </c>
      <c r="C409" t="inlineStr">
        <is>
          <t>1000</t>
        </is>
      </c>
      <c r="D409" t="inlineStr">
        <is>
          <t>4599</t>
        </is>
      </c>
      <c r="E409" t="inlineStr">
        <is>
          <t>4599031</t>
        </is>
      </c>
      <c r="F409" t="inlineStr">
        <is>
          <t>SERVICIO DE ASISTENCIA TÉCNICA</t>
        </is>
      </c>
      <c r="G409" t="inlineStr">
        <is>
          <t>2024548740017</t>
        </is>
      </c>
      <c r="H409" t="inlineStr">
        <is>
          <t>FORTALECIMIENTO A LA GESTION Y DIRECCION DE LA ADMINISTRACION PUBLICA TERRITORIAL EN EL MUNICIPIO DE VILLA DEL ROSARIO</t>
        </is>
      </c>
      <c r="I409" t="inlineStr">
        <is>
          <t>91119</t>
        </is>
      </c>
      <c r="J409" t="inlineStr">
        <is>
          <t>Otros servicios de la administración pública n.c.p.</t>
        </is>
      </c>
      <c r="K409" t="inlineStr">
        <is>
          <t>00</t>
        </is>
      </c>
      <c r="L409" t="inlineStr">
        <is>
          <t>SIN ATRIBUTO</t>
        </is>
      </c>
      <c r="N409" t="inlineStr">
        <is>
          <t>2.3.2.02.02.009.45.21</t>
        </is>
      </c>
      <c r="O409" t="inlineStr">
        <is>
          <t>Servicio de asistencia técnica</t>
        </is>
      </c>
      <c r="P409" t="inlineStr">
        <is>
          <t>1.3.3.8.04</t>
        </is>
      </c>
      <c r="Q409" t="inlineStr">
        <is>
          <t>R.B. SGP-PROPOSITO GENERAL - LIBRE DESTINACIÓN MUNICIPIOS CATEGORIAS 4, 5 Y 6</t>
        </is>
      </c>
      <c r="R409" t="n">
        <v>0</v>
      </c>
      <c r="S409" t="n">
        <v>227190574</v>
      </c>
      <c r="T409" t="n">
        <v>0</v>
      </c>
      <c r="U409" t="n">
        <v>0</v>
      </c>
      <c r="V409" t="n">
        <v>0</v>
      </c>
      <c r="W409" t="n">
        <v>0</v>
      </c>
      <c r="X409" t="n">
        <v>0</v>
      </c>
      <c r="Y409" t="n">
        <v>227190574</v>
      </c>
      <c r="Z409" t="n">
        <v>0</v>
      </c>
      <c r="AA409" t="n">
        <v>0</v>
      </c>
      <c r="AB409" t="n">
        <v>0</v>
      </c>
      <c r="AC409" t="n">
        <v>0</v>
      </c>
      <c r="AD409" t="n">
        <v>227190574</v>
      </c>
      <c r="AE409" t="n">
        <v>0</v>
      </c>
    </row>
    <row r="410">
      <c r="A410" t="inlineStr">
        <is>
          <t>1 - ADMINISTRACIÓN CENTRAL</t>
        </is>
      </c>
      <c r="B410" t="inlineStr">
        <is>
          <t>00 - SIN SECTOR</t>
        </is>
      </c>
      <c r="C410" t="inlineStr">
        <is>
          <t>00</t>
        </is>
      </c>
      <c r="D410" t="inlineStr">
        <is>
          <t>0000</t>
        </is>
      </c>
      <c r="E410" t="inlineStr">
        <is>
          <t>0000000</t>
        </is>
      </c>
      <c r="F410" t="inlineStr">
        <is>
          <t>SIN PRODUCTO</t>
        </is>
      </c>
      <c r="G410" t="inlineStr">
        <is>
          <t>00</t>
        </is>
      </c>
      <c r="H410" t="inlineStr">
        <is>
          <t>SIN CODIGO BPIN</t>
        </is>
      </c>
      <c r="I410" t="inlineStr">
        <is>
          <t>00</t>
        </is>
      </c>
      <c r="J410" t="inlineStr">
        <is>
          <t>SIN PRODUCTO DANE</t>
        </is>
      </c>
      <c r="K410" t="inlineStr">
        <is>
          <t>00</t>
        </is>
      </c>
      <c r="L410" t="inlineStr">
        <is>
          <t>SIN ATRIBUTO</t>
        </is>
      </c>
      <c r="N410" t="inlineStr">
        <is>
          <t>2.3.3</t>
        </is>
      </c>
      <c r="O410" t="inlineStr">
        <is>
          <t>Transferencias Corrientes</t>
        </is>
      </c>
      <c r="P410" t="inlineStr">
        <is>
          <t>00</t>
        </is>
      </c>
      <c r="Q410" t="inlineStr">
        <is>
          <t>RECURSO PROPIOS</t>
        </is>
      </c>
      <c r="R410" t="n">
        <v>3525991535</v>
      </c>
      <c r="S410" t="n">
        <v>0</v>
      </c>
      <c r="T410" t="n">
        <v>0</v>
      </c>
      <c r="U410" t="n">
        <v>0</v>
      </c>
      <c r="V410" t="n">
        <v>677700000</v>
      </c>
      <c r="W410" t="n">
        <v>0</v>
      </c>
      <c r="X410" t="n">
        <v>0</v>
      </c>
      <c r="Y410" t="n">
        <v>2848291535</v>
      </c>
      <c r="Z410" t="n">
        <v>1840986637</v>
      </c>
      <c r="AA410" t="n">
        <v>38779288</v>
      </c>
      <c r="AB410" t="n">
        <v>38779288</v>
      </c>
      <c r="AC410" t="n">
        <v>38779288</v>
      </c>
      <c r="AD410" t="n">
        <v>2809512247</v>
      </c>
      <c r="AE410" t="n">
        <v>1.36</v>
      </c>
    </row>
    <row r="411">
      <c r="A411" t="inlineStr">
        <is>
          <t>1 - ADMINISTRACIÓN CENTRAL</t>
        </is>
      </c>
      <c r="B411" t="inlineStr">
        <is>
          <t>00 - SIN SECTOR</t>
        </is>
      </c>
      <c r="C411" t="inlineStr">
        <is>
          <t>00</t>
        </is>
      </c>
      <c r="D411" t="inlineStr">
        <is>
          <t>0000</t>
        </is>
      </c>
      <c r="E411" t="inlineStr">
        <is>
          <t>0000000</t>
        </is>
      </c>
      <c r="F411" t="inlineStr">
        <is>
          <t>SIN PRODUCTO</t>
        </is>
      </c>
      <c r="G411" t="inlineStr">
        <is>
          <t>00</t>
        </is>
      </c>
      <c r="H411" t="inlineStr">
        <is>
          <t>SIN CODIGO BPIN</t>
        </is>
      </c>
      <c r="I411" t="inlineStr">
        <is>
          <t>00</t>
        </is>
      </c>
      <c r="J411" t="inlineStr">
        <is>
          <t>SIN PRODUCTO DANE</t>
        </is>
      </c>
      <c r="K411" t="inlineStr">
        <is>
          <t>00</t>
        </is>
      </c>
      <c r="L411" t="inlineStr">
        <is>
          <t>SIN ATRIBUTO</t>
        </is>
      </c>
      <c r="N411" t="inlineStr">
        <is>
          <t>2.3.3.01</t>
        </is>
      </c>
      <c r="O411" t="inlineStr">
        <is>
          <t>Subvenciones</t>
        </is>
      </c>
      <c r="P411" t="inlineStr">
        <is>
          <t>00</t>
        </is>
      </c>
      <c r="Q411" t="inlineStr">
        <is>
          <t>RECURSO PROPIOS</t>
        </is>
      </c>
      <c r="R411" t="n">
        <v>2803078647</v>
      </c>
      <c r="S411" t="n">
        <v>0</v>
      </c>
      <c r="T411" t="n">
        <v>0</v>
      </c>
      <c r="U411" t="n">
        <v>0</v>
      </c>
      <c r="V411" t="n">
        <v>0</v>
      </c>
      <c r="W411" t="n">
        <v>0</v>
      </c>
      <c r="X411" t="n">
        <v>0</v>
      </c>
      <c r="Y411" t="n">
        <v>2803078647</v>
      </c>
      <c r="Z411" t="n">
        <v>1802207349</v>
      </c>
      <c r="AA411" t="n">
        <v>0</v>
      </c>
      <c r="AB411" t="n">
        <v>0</v>
      </c>
      <c r="AC411" t="n">
        <v>0</v>
      </c>
      <c r="AD411" t="n">
        <v>2803078647</v>
      </c>
      <c r="AE411" t="n">
        <v>0</v>
      </c>
    </row>
    <row r="412">
      <c r="A412" t="inlineStr">
        <is>
          <t>1 - ADMINISTRACIÓN CENTRAL</t>
        </is>
      </c>
      <c r="B412" t="inlineStr">
        <is>
          <t>00 - SIN SECTOR</t>
        </is>
      </c>
      <c r="C412" t="inlineStr">
        <is>
          <t>00</t>
        </is>
      </c>
      <c r="D412" t="inlineStr">
        <is>
          <t>0000</t>
        </is>
      </c>
      <c r="E412" t="inlineStr">
        <is>
          <t>0000000</t>
        </is>
      </c>
      <c r="F412" t="inlineStr">
        <is>
          <t>SIN PRODUCTO</t>
        </is>
      </c>
      <c r="G412" t="inlineStr">
        <is>
          <t>00</t>
        </is>
      </c>
      <c r="H412" t="inlineStr">
        <is>
          <t>SIN CODIGO BPIN</t>
        </is>
      </c>
      <c r="I412" t="inlineStr">
        <is>
          <t>00</t>
        </is>
      </c>
      <c r="J412" t="inlineStr">
        <is>
          <t>SIN PRODUCTO DANE</t>
        </is>
      </c>
      <c r="K412" t="inlineStr">
        <is>
          <t>00</t>
        </is>
      </c>
      <c r="L412" t="inlineStr">
        <is>
          <t>SIN ATRIBUTO</t>
        </is>
      </c>
      <c r="N412" t="inlineStr">
        <is>
          <t>2.3.3.01.02</t>
        </is>
      </c>
      <c r="O412" t="inlineStr">
        <is>
          <t xml:space="preserve">A Empresas Publicas No Financieras </t>
        </is>
      </c>
      <c r="P412" t="inlineStr">
        <is>
          <t>00</t>
        </is>
      </c>
      <c r="Q412" t="inlineStr">
        <is>
          <t>RECURSO PROPIOS</t>
        </is>
      </c>
      <c r="R412" t="n">
        <v>2803078647</v>
      </c>
      <c r="S412" t="n">
        <v>0</v>
      </c>
      <c r="T412" t="n">
        <v>0</v>
      </c>
      <c r="U412" t="n">
        <v>0</v>
      </c>
      <c r="V412" t="n">
        <v>0</v>
      </c>
      <c r="W412" t="n">
        <v>0</v>
      </c>
      <c r="X412" t="n">
        <v>0</v>
      </c>
      <c r="Y412" t="n">
        <v>2803078647</v>
      </c>
      <c r="Z412" t="n">
        <v>1802207349</v>
      </c>
      <c r="AA412" t="n">
        <v>0</v>
      </c>
      <c r="AB412" t="n">
        <v>0</v>
      </c>
      <c r="AC412" t="n">
        <v>0</v>
      </c>
      <c r="AD412" t="n">
        <v>2803078647</v>
      </c>
      <c r="AE412" t="n">
        <v>0</v>
      </c>
    </row>
    <row r="413">
      <c r="A413" t="inlineStr">
        <is>
          <t>1 - ADMINISTRACIÓN CENTRAL</t>
        </is>
      </c>
      <c r="B413" t="inlineStr">
        <is>
          <t>00 - SIN SECTOR</t>
        </is>
      </c>
      <c r="C413" t="inlineStr">
        <is>
          <t>00</t>
        </is>
      </c>
      <c r="D413" t="inlineStr">
        <is>
          <t>0000</t>
        </is>
      </c>
      <c r="E413" t="inlineStr">
        <is>
          <t>0000000</t>
        </is>
      </c>
      <c r="F413" t="inlineStr">
        <is>
          <t>SIN PRODUCTO</t>
        </is>
      </c>
      <c r="G413" t="inlineStr">
        <is>
          <t>00</t>
        </is>
      </c>
      <c r="H413" t="inlineStr">
        <is>
          <t>SIN CODIGO BPIN</t>
        </is>
      </c>
      <c r="I413" t="inlineStr">
        <is>
          <t>00</t>
        </is>
      </c>
      <c r="J413" t="inlineStr">
        <is>
          <t>SIN PRODUCTO DANE</t>
        </is>
      </c>
      <c r="K413" t="inlineStr">
        <is>
          <t>00</t>
        </is>
      </c>
      <c r="L413" t="inlineStr">
        <is>
          <t>SIN ATRIBUTO</t>
        </is>
      </c>
      <c r="N413" t="inlineStr">
        <is>
          <t>2.3.3.01.02.004</t>
        </is>
      </c>
      <c r="O413" t="inlineStr">
        <is>
          <t>Subvenciones Para Servicios Publicos Domiciliarios De Agua Potable Y Saneamiento Basico</t>
        </is>
      </c>
      <c r="P413" t="inlineStr">
        <is>
          <t>00</t>
        </is>
      </c>
      <c r="Q413" t="inlineStr">
        <is>
          <t>RECURSO PROPIOS</t>
        </is>
      </c>
      <c r="R413" t="n">
        <v>2803078647</v>
      </c>
      <c r="S413" t="n">
        <v>0</v>
      </c>
      <c r="T413" t="n">
        <v>0</v>
      </c>
      <c r="U413" t="n">
        <v>0</v>
      </c>
      <c r="V413" t="n">
        <v>0</v>
      </c>
      <c r="W413" t="n">
        <v>0</v>
      </c>
      <c r="X413" t="n">
        <v>0</v>
      </c>
      <c r="Y413" t="n">
        <v>2803078647</v>
      </c>
      <c r="Z413" t="n">
        <v>1802207349</v>
      </c>
      <c r="AA413" t="n">
        <v>0</v>
      </c>
      <c r="AB413" t="n">
        <v>0</v>
      </c>
      <c r="AC413" t="n">
        <v>0</v>
      </c>
      <c r="AD413" t="n">
        <v>2803078647</v>
      </c>
      <c r="AE413" t="n">
        <v>0</v>
      </c>
    </row>
    <row r="414">
      <c r="A414" t="inlineStr">
        <is>
          <t>1 - ADMINISTRACIÓN CENTRAL</t>
        </is>
      </c>
      <c r="B414" t="inlineStr">
        <is>
          <t>00 - SIN SECTOR</t>
        </is>
      </c>
      <c r="C414" t="inlineStr">
        <is>
          <t>00</t>
        </is>
      </c>
      <c r="D414" t="inlineStr">
        <is>
          <t>0000</t>
        </is>
      </c>
      <c r="E414" t="inlineStr">
        <is>
          <t>0000000</t>
        </is>
      </c>
      <c r="F414" t="inlineStr">
        <is>
          <t>SIN PRODUCTO</t>
        </is>
      </c>
      <c r="G414" t="inlineStr">
        <is>
          <t>00</t>
        </is>
      </c>
      <c r="H414" t="inlineStr">
        <is>
          <t>SIN CODIGO BPIN</t>
        </is>
      </c>
      <c r="I414" t="inlineStr">
        <is>
          <t>00</t>
        </is>
      </c>
      <c r="J414" t="inlineStr">
        <is>
          <t>SIN PRODUCTO DANE</t>
        </is>
      </c>
      <c r="K414" t="inlineStr">
        <is>
          <t>00</t>
        </is>
      </c>
      <c r="L414" t="inlineStr">
        <is>
          <t>SIN ATRIBUTO</t>
        </is>
      </c>
      <c r="N414" t="inlineStr">
        <is>
          <t>2.3.3.01.02.004.01</t>
        </is>
      </c>
      <c r="O414" t="inlineStr">
        <is>
          <t>Subsidios De Acueducto</t>
        </is>
      </c>
      <c r="P414" t="inlineStr">
        <is>
          <t>00</t>
        </is>
      </c>
      <c r="Q414" t="inlineStr">
        <is>
          <t>RECURSO PROPIOS</t>
        </is>
      </c>
      <c r="R414" t="n">
        <v>1054339163</v>
      </c>
      <c r="S414" t="n">
        <v>0</v>
      </c>
      <c r="T414" t="n">
        <v>0</v>
      </c>
      <c r="U414" t="n">
        <v>0</v>
      </c>
      <c r="V414" t="n">
        <v>0</v>
      </c>
      <c r="W414" t="n">
        <v>0</v>
      </c>
      <c r="X414" t="n">
        <v>0</v>
      </c>
      <c r="Y414" t="n">
        <v>1054339163</v>
      </c>
      <c r="Z414" t="n">
        <v>672547301</v>
      </c>
      <c r="AA414" t="n">
        <v>0</v>
      </c>
      <c r="AB414" t="n">
        <v>0</v>
      </c>
      <c r="AC414" t="n">
        <v>0</v>
      </c>
      <c r="AD414" t="n">
        <v>1054339163</v>
      </c>
      <c r="AE414" t="n">
        <v>0</v>
      </c>
    </row>
    <row r="415">
      <c r="A415" t="inlineStr">
        <is>
          <t>1 - ADMINISTRACIÓN CENTRAL</t>
        </is>
      </c>
      <c r="B415" t="inlineStr">
        <is>
          <t>40 - VIVIENDA, CIUDAD Y TERRITORIO</t>
        </is>
      </c>
      <c r="C415" t="inlineStr">
        <is>
          <t>1400</t>
        </is>
      </c>
      <c r="D415" t="inlineStr">
        <is>
          <t>4003</t>
        </is>
      </c>
      <c r="E415" t="inlineStr">
        <is>
          <t>4003047</t>
        </is>
      </c>
      <c r="F415" t="inlineStr">
        <is>
          <t>SERVICIO DE APOYO FINANCIERO PARA SUBSIDIOS AL CONSUMO EN LOS SERVICIOS PÚBLICOS DOMICILIARIOS</t>
        </is>
      </c>
      <c r="G415" t="inlineStr">
        <is>
          <t>2024548740021</t>
        </is>
      </c>
      <c r="H415" t="inlineStr">
        <is>
          <t>APOYO PARA EL ACCESO DE LA POBLACIÓN A LOS SERVICIOS DE AGUA POTABLE Y SANEAMIENTO BASICO EN EL MUNICIPIO DE VILLA DEL ROSARIO. VILLA DEL ROSARIO UNA CIUDAD POSIBLE</t>
        </is>
      </c>
      <c r="I415" t="inlineStr">
        <is>
          <t>00</t>
        </is>
      </c>
      <c r="J415" t="inlineStr">
        <is>
          <t>SIN PRODUCTO DANE</t>
        </is>
      </c>
      <c r="K415" t="inlineStr">
        <is>
          <t>00</t>
        </is>
      </c>
      <c r="L415" t="inlineStr">
        <is>
          <t>SIN ATRIBUTO</t>
        </is>
      </c>
      <c r="N415" t="inlineStr">
        <is>
          <t>2.3.3.01.02.004.01.40.01</t>
        </is>
      </c>
      <c r="O415" t="inlineStr">
        <is>
          <t>Subsidio de acueducto</t>
        </is>
      </c>
      <c r="P415" t="inlineStr">
        <is>
          <t>1.2.4.6.00</t>
        </is>
      </c>
      <c r="Q415" t="inlineStr">
        <is>
          <t>SGP-AGUA POTABLE Y SANEAMIENTO BASICO</t>
        </is>
      </c>
      <c r="R415" t="n">
        <v>672547301</v>
      </c>
      <c r="S415" t="n">
        <v>0</v>
      </c>
      <c r="T415" t="n">
        <v>0</v>
      </c>
      <c r="U415" t="n">
        <v>0</v>
      </c>
      <c r="V415" t="n">
        <v>0</v>
      </c>
      <c r="W415" t="n">
        <v>0</v>
      </c>
      <c r="X415" t="n">
        <v>0</v>
      </c>
      <c r="Y415" t="n">
        <v>672547301</v>
      </c>
      <c r="Z415" t="n">
        <v>672547301</v>
      </c>
      <c r="AA415" t="n">
        <v>0</v>
      </c>
      <c r="AB415" t="n">
        <v>0</v>
      </c>
      <c r="AC415" t="n">
        <v>0</v>
      </c>
      <c r="AD415" t="n">
        <v>672547301</v>
      </c>
      <c r="AE415" t="n">
        <v>0</v>
      </c>
    </row>
    <row r="416">
      <c r="A416" t="inlineStr">
        <is>
          <t>1 - ADMINISTRACIÓN CENTRAL</t>
        </is>
      </c>
      <c r="B416" t="inlineStr">
        <is>
          <t>40 - VIVIENDA, CIUDAD Y TERRITORIO</t>
        </is>
      </c>
      <c r="C416" t="inlineStr">
        <is>
          <t>1400</t>
        </is>
      </c>
      <c r="D416" t="inlineStr">
        <is>
          <t>4003</t>
        </is>
      </c>
      <c r="E416" t="inlineStr">
        <is>
          <t>4003047</t>
        </is>
      </c>
      <c r="F416" t="inlineStr">
        <is>
          <t>SERVICIO DE APOYO FINANCIERO PARA SUBSIDIOS AL CONSUMO EN LOS SERVICIOS PÚBLICOS DOMICILIARIOS</t>
        </is>
      </c>
      <c r="G416" t="inlineStr">
        <is>
          <t>2024548740021</t>
        </is>
      </c>
      <c r="H416" t="inlineStr">
        <is>
          <t>APOYO PARA EL ACCESO DE LA POBLACIÓN A LOS SERVICIOS DE AGUA POTABLE Y SANEAMIENTO BASICO EN EL MUNICIPIO DE VILLA DEL ROSARIO. VILLA DEL ROSARIO UNA CIUDAD POSIBLE</t>
        </is>
      </c>
      <c r="I416" t="inlineStr">
        <is>
          <t>00</t>
        </is>
      </c>
      <c r="J416" t="inlineStr">
        <is>
          <t>SIN PRODUCTO DANE</t>
        </is>
      </c>
      <c r="K416" t="inlineStr">
        <is>
          <t>00</t>
        </is>
      </c>
      <c r="L416" t="inlineStr">
        <is>
          <t>SIN ATRIBUTO</t>
        </is>
      </c>
      <c r="N416" t="inlineStr">
        <is>
          <t>2.3.3.01.02.004.01.40.01</t>
        </is>
      </c>
      <c r="O416" t="inlineStr">
        <is>
          <t>Subsidio de acueducto</t>
        </is>
      </c>
      <c r="P416" t="inlineStr">
        <is>
          <t>1.2.3.1.17.01</t>
        </is>
      </c>
      <c r="Q416" t="inlineStr">
        <is>
          <t>SOBRETASA DE SOLIDARIDAD SERVICIOS PUBLICO ACUEDUCTO</t>
        </is>
      </c>
      <c r="R416" t="n">
        <v>381791862</v>
      </c>
      <c r="S416" t="n">
        <v>0</v>
      </c>
      <c r="T416" t="n">
        <v>0</v>
      </c>
      <c r="U416" t="n">
        <v>0</v>
      </c>
      <c r="V416" t="n">
        <v>0</v>
      </c>
      <c r="W416" t="n">
        <v>0</v>
      </c>
      <c r="X416" t="n">
        <v>0</v>
      </c>
      <c r="Y416" t="n">
        <v>381791862</v>
      </c>
      <c r="Z416" t="n">
        <v>0</v>
      </c>
      <c r="AA416" t="n">
        <v>0</v>
      </c>
      <c r="AB416" t="n">
        <v>0</v>
      </c>
      <c r="AC416" t="n">
        <v>0</v>
      </c>
      <c r="AD416" t="n">
        <v>381791862</v>
      </c>
      <c r="AE416" t="n">
        <v>0</v>
      </c>
    </row>
    <row r="417">
      <c r="A417" t="inlineStr">
        <is>
          <t>1 - ADMINISTRACIÓN CENTRAL</t>
        </is>
      </c>
      <c r="B417" t="inlineStr">
        <is>
          <t>00 - SIN SECTOR</t>
        </is>
      </c>
      <c r="C417" t="inlineStr">
        <is>
          <t>00</t>
        </is>
      </c>
      <c r="D417" t="inlineStr">
        <is>
          <t>0000</t>
        </is>
      </c>
      <c r="E417" t="inlineStr">
        <is>
          <t>0000000</t>
        </is>
      </c>
      <c r="F417" t="inlineStr">
        <is>
          <t>SIN PRODUCTO</t>
        </is>
      </c>
      <c r="G417" t="inlineStr">
        <is>
          <t>00</t>
        </is>
      </c>
      <c r="H417" t="inlineStr">
        <is>
          <t>SIN CODIGO BPIN</t>
        </is>
      </c>
      <c r="I417" t="inlineStr">
        <is>
          <t>00</t>
        </is>
      </c>
      <c r="J417" t="inlineStr">
        <is>
          <t>SIN PRODUCTO DANE</t>
        </is>
      </c>
      <c r="K417" t="inlineStr">
        <is>
          <t>00</t>
        </is>
      </c>
      <c r="L417" t="inlineStr">
        <is>
          <t>SIN ATRIBUTO</t>
        </is>
      </c>
      <c r="N417" t="inlineStr">
        <is>
          <t>2.3.3.01.02.004.02</t>
        </is>
      </c>
      <c r="O417" t="inlineStr">
        <is>
          <t>Subsidio de Alcantarillado</t>
        </is>
      </c>
      <c r="P417" t="inlineStr">
        <is>
          <t>00</t>
        </is>
      </c>
      <c r="Q417" t="inlineStr">
        <is>
          <t>RECURSO PROPIOS</t>
        </is>
      </c>
      <c r="R417" t="n">
        <v>445939433</v>
      </c>
      <c r="S417" t="n">
        <v>0</v>
      </c>
      <c r="T417" t="n">
        <v>0</v>
      </c>
      <c r="U417" t="n">
        <v>0</v>
      </c>
      <c r="V417" t="n">
        <v>0</v>
      </c>
      <c r="W417" t="n">
        <v>0</v>
      </c>
      <c r="X417" t="n">
        <v>0</v>
      </c>
      <c r="Y417" t="n">
        <v>445939433</v>
      </c>
      <c r="Z417" t="n">
        <v>277116128</v>
      </c>
      <c r="AA417" t="n">
        <v>0</v>
      </c>
      <c r="AB417" t="n">
        <v>0</v>
      </c>
      <c r="AC417" t="n">
        <v>0</v>
      </c>
      <c r="AD417" t="n">
        <v>445939433</v>
      </c>
      <c r="AE417" t="n">
        <v>0</v>
      </c>
    </row>
    <row r="418">
      <c r="A418" t="inlineStr">
        <is>
          <t>1 - ADMINISTRACIÓN CENTRAL</t>
        </is>
      </c>
      <c r="B418" t="inlineStr">
        <is>
          <t>40 - VIVIENDA, CIUDAD Y TERRITORIO</t>
        </is>
      </c>
      <c r="C418" t="inlineStr">
        <is>
          <t>1400</t>
        </is>
      </c>
      <c r="D418" t="inlineStr">
        <is>
          <t>4003</t>
        </is>
      </c>
      <c r="E418" t="inlineStr">
        <is>
          <t>4003047</t>
        </is>
      </c>
      <c r="F418" t="inlineStr">
        <is>
          <t>SERVICIO DE APOYO FINANCIERO PARA SUBSIDIOS AL CONSUMO EN LOS SERVICIOS PÚBLICOS DOMICILIARIOS</t>
        </is>
      </c>
      <c r="G418" t="inlineStr">
        <is>
          <t>2024548740021</t>
        </is>
      </c>
      <c r="H418" t="inlineStr">
        <is>
          <t>APOYO PARA EL ACCESO DE LA POBLACIÓN A LOS SERVICIOS DE AGUA POTABLE Y SANEAMIENTO BASICO EN EL MUNICIPIO DE VILLA DEL ROSARIO. VILLA DEL ROSARIO UNA CIUDAD POSIBLE</t>
        </is>
      </c>
      <c r="I418" t="inlineStr">
        <is>
          <t>00</t>
        </is>
      </c>
      <c r="J418" t="inlineStr">
        <is>
          <t>SIN PRODUCTO DANE</t>
        </is>
      </c>
      <c r="K418" t="inlineStr">
        <is>
          <t>00</t>
        </is>
      </c>
      <c r="L418" t="inlineStr">
        <is>
          <t>SIN ATRIBUTO</t>
        </is>
      </c>
      <c r="N418" t="inlineStr">
        <is>
          <t>2.3.3.01.02.004.02.40.01</t>
        </is>
      </c>
      <c r="O418" t="inlineStr">
        <is>
          <t>Subsidio de alcantarillado</t>
        </is>
      </c>
      <c r="P418" t="inlineStr">
        <is>
          <t>1.2.4.6.00</t>
        </is>
      </c>
      <c r="Q418" t="inlineStr">
        <is>
          <t>SGP-AGUA POTABLE Y SANEAMIENTO BASICO</t>
        </is>
      </c>
      <c r="R418" t="n">
        <v>277116128</v>
      </c>
      <c r="S418" t="n">
        <v>0</v>
      </c>
      <c r="T418" t="n">
        <v>0</v>
      </c>
      <c r="U418" t="n">
        <v>0</v>
      </c>
      <c r="V418" t="n">
        <v>0</v>
      </c>
      <c r="W418" t="n">
        <v>0</v>
      </c>
      <c r="X418" t="n">
        <v>0</v>
      </c>
      <c r="Y418" t="n">
        <v>277116128</v>
      </c>
      <c r="Z418" t="n">
        <v>277116128</v>
      </c>
      <c r="AA418" t="n">
        <v>0</v>
      </c>
      <c r="AB418" t="n">
        <v>0</v>
      </c>
      <c r="AC418" t="n">
        <v>0</v>
      </c>
      <c r="AD418" t="n">
        <v>277116128</v>
      </c>
      <c r="AE418" t="n">
        <v>0</v>
      </c>
    </row>
    <row r="419">
      <c r="A419" t="inlineStr">
        <is>
          <t>1 - ADMINISTRACIÓN CENTRAL</t>
        </is>
      </c>
      <c r="B419" t="inlineStr">
        <is>
          <t>40 - VIVIENDA, CIUDAD Y TERRITORIO</t>
        </is>
      </c>
      <c r="C419" t="inlineStr">
        <is>
          <t>1400</t>
        </is>
      </c>
      <c r="D419" t="inlineStr">
        <is>
          <t>4003</t>
        </is>
      </c>
      <c r="E419" t="inlineStr">
        <is>
          <t>4003047</t>
        </is>
      </c>
      <c r="F419" t="inlineStr">
        <is>
          <t>SERVICIO DE APOYO FINANCIERO PARA SUBSIDIOS AL CONSUMO EN LOS SERVICIOS PÚBLICOS DOMICILIARIOS</t>
        </is>
      </c>
      <c r="G419" t="inlineStr">
        <is>
          <t>2024548740021</t>
        </is>
      </c>
      <c r="H419" t="inlineStr">
        <is>
          <t>APOYO PARA EL ACCESO DE LA POBLACIÓN A LOS SERVICIOS DE AGUA POTABLE Y SANEAMIENTO BASICO EN EL MUNICIPIO DE VILLA DEL ROSARIO. VILLA DEL ROSARIO UNA CIUDAD POSIBLE</t>
        </is>
      </c>
      <c r="I419" t="inlineStr">
        <is>
          <t>00</t>
        </is>
      </c>
      <c r="J419" t="inlineStr">
        <is>
          <t>SIN PRODUCTO DANE</t>
        </is>
      </c>
      <c r="K419" t="inlineStr">
        <is>
          <t>00</t>
        </is>
      </c>
      <c r="L419" t="inlineStr">
        <is>
          <t>SIN ATRIBUTO</t>
        </is>
      </c>
      <c r="N419" t="inlineStr">
        <is>
          <t>2.3.3.01.02.004.02.40.01</t>
        </is>
      </c>
      <c r="O419" t="inlineStr">
        <is>
          <t>Subsidio de alcantarillado</t>
        </is>
      </c>
      <c r="P419" t="inlineStr">
        <is>
          <t>1.2.3.1.17.03</t>
        </is>
      </c>
      <c r="Q419" t="inlineStr">
        <is>
          <t>SOBRETASA DE SOLIDARIDAD SERVICIOS PUBLICO ALCANTARILLADO</t>
        </is>
      </c>
      <c r="R419" t="n">
        <v>168823305</v>
      </c>
      <c r="S419" t="n">
        <v>0</v>
      </c>
      <c r="T419" t="n">
        <v>0</v>
      </c>
      <c r="U419" t="n">
        <v>0</v>
      </c>
      <c r="V419" t="n">
        <v>0</v>
      </c>
      <c r="W419" t="n">
        <v>0</v>
      </c>
      <c r="X419" t="n">
        <v>0</v>
      </c>
      <c r="Y419" t="n">
        <v>168823305</v>
      </c>
      <c r="Z419" t="n">
        <v>0</v>
      </c>
      <c r="AA419" t="n">
        <v>0</v>
      </c>
      <c r="AB419" t="n">
        <v>0</v>
      </c>
      <c r="AC419" t="n">
        <v>0</v>
      </c>
      <c r="AD419" t="n">
        <v>168823305</v>
      </c>
      <c r="AE419" t="n">
        <v>0</v>
      </c>
    </row>
    <row r="420">
      <c r="A420" t="inlineStr">
        <is>
          <t>1 - ADMINISTRACIÓN CENTRAL</t>
        </is>
      </c>
      <c r="B420" t="inlineStr">
        <is>
          <t>00 - SIN SECTOR</t>
        </is>
      </c>
      <c r="C420" t="inlineStr">
        <is>
          <t>00</t>
        </is>
      </c>
      <c r="D420" t="inlineStr">
        <is>
          <t>0000</t>
        </is>
      </c>
      <c r="E420" t="inlineStr">
        <is>
          <t>0000000</t>
        </is>
      </c>
      <c r="F420" t="inlineStr">
        <is>
          <t>SIN PRODUCTO</t>
        </is>
      </c>
      <c r="G420" t="inlineStr">
        <is>
          <t>00</t>
        </is>
      </c>
      <c r="H420" t="inlineStr">
        <is>
          <t>SIN CODIGO BPIN</t>
        </is>
      </c>
      <c r="I420" t="inlineStr">
        <is>
          <t>00</t>
        </is>
      </c>
      <c r="J420" t="inlineStr">
        <is>
          <t>SIN PRODUCTO DANE</t>
        </is>
      </c>
      <c r="K420" t="inlineStr">
        <is>
          <t>00</t>
        </is>
      </c>
      <c r="L420" t="inlineStr">
        <is>
          <t>SIN ATRIBUTO</t>
        </is>
      </c>
      <c r="N420" t="inlineStr">
        <is>
          <t>2.3.3.01.02.004.03</t>
        </is>
      </c>
      <c r="O420" t="inlineStr">
        <is>
          <t>Subsidio de aseo</t>
        </is>
      </c>
      <c r="P420" t="inlineStr">
        <is>
          <t>00</t>
        </is>
      </c>
      <c r="Q420" t="inlineStr">
        <is>
          <t>RECURSO PROPIOS</t>
        </is>
      </c>
      <c r="R420" t="n">
        <v>1302800051</v>
      </c>
      <c r="S420" t="n">
        <v>0</v>
      </c>
      <c r="T420" t="n">
        <v>0</v>
      </c>
      <c r="U420" t="n">
        <v>0</v>
      </c>
      <c r="V420" t="n">
        <v>0</v>
      </c>
      <c r="W420" t="n">
        <v>0</v>
      </c>
      <c r="X420" t="n">
        <v>0</v>
      </c>
      <c r="Y420" t="n">
        <v>1302800051</v>
      </c>
      <c r="Z420" t="n">
        <v>852543920</v>
      </c>
      <c r="AA420" t="n">
        <v>0</v>
      </c>
      <c r="AB420" t="n">
        <v>0</v>
      </c>
      <c r="AC420" t="n">
        <v>0</v>
      </c>
      <c r="AD420" t="n">
        <v>1302800051</v>
      </c>
      <c r="AE420" t="n">
        <v>0</v>
      </c>
    </row>
    <row r="421">
      <c r="A421" t="inlineStr">
        <is>
          <t>1 - ADMINISTRACIÓN CENTRAL</t>
        </is>
      </c>
      <c r="B421" t="inlineStr">
        <is>
          <t>40 - VIVIENDA, CIUDAD Y TERRITORIO</t>
        </is>
      </c>
      <c r="C421" t="inlineStr">
        <is>
          <t>1400</t>
        </is>
      </c>
      <c r="D421" t="inlineStr">
        <is>
          <t>4003</t>
        </is>
      </c>
      <c r="E421" t="inlineStr">
        <is>
          <t>4003047</t>
        </is>
      </c>
      <c r="F421" t="inlineStr">
        <is>
          <t>SERVICIO DE APOYO FINANCIERO PARA SUBSIDIOS AL CONSUMO EN LOS SERVICIOS PÚBLICOS DOMICILIARIOS</t>
        </is>
      </c>
      <c r="G421" t="inlineStr">
        <is>
          <t>2024548740021</t>
        </is>
      </c>
      <c r="H421" t="inlineStr">
        <is>
          <t>APOYO PARA EL ACCESO DE LA POBLACIÓN A LOS SERVICIOS DE AGUA POTABLE Y SANEAMIENTO BASICO EN EL MUNICIPIO DE VILLA DEL ROSARIO. VILLA DEL ROSARIO UNA CIUDAD POSIBLE</t>
        </is>
      </c>
      <c r="I421" t="inlineStr">
        <is>
          <t>00</t>
        </is>
      </c>
      <c r="J421" t="inlineStr">
        <is>
          <t>SIN PRODUCTO DANE</t>
        </is>
      </c>
      <c r="K421" t="inlineStr">
        <is>
          <t>00</t>
        </is>
      </c>
      <c r="L421" t="inlineStr">
        <is>
          <t>SIN ATRIBUTO</t>
        </is>
      </c>
      <c r="N421" t="inlineStr">
        <is>
          <t>2.3.3.01.02.004.03.40.01</t>
        </is>
      </c>
      <c r="O421" t="inlineStr">
        <is>
          <t>Subsidio de aseo</t>
        </is>
      </c>
      <c r="P421" t="inlineStr">
        <is>
          <t>1.2.4.6.00</t>
        </is>
      </c>
      <c r="Q421" t="inlineStr">
        <is>
          <t>SGP-AGUA POTABLE Y SANEAMIENTO BASICO</t>
        </is>
      </c>
      <c r="R421" t="n">
        <v>852543920</v>
      </c>
      <c r="S421" t="n">
        <v>0</v>
      </c>
      <c r="T421" t="n">
        <v>0</v>
      </c>
      <c r="U421" t="n">
        <v>0</v>
      </c>
      <c r="V421" t="n">
        <v>0</v>
      </c>
      <c r="W421" t="n">
        <v>0</v>
      </c>
      <c r="X421" t="n">
        <v>0</v>
      </c>
      <c r="Y421" t="n">
        <v>852543920</v>
      </c>
      <c r="Z421" t="n">
        <v>852543920</v>
      </c>
      <c r="AA421" t="n">
        <v>0</v>
      </c>
      <c r="AB421" t="n">
        <v>0</v>
      </c>
      <c r="AC421" t="n">
        <v>0</v>
      </c>
      <c r="AD421" t="n">
        <v>852543920</v>
      </c>
      <c r="AE421" t="n">
        <v>0</v>
      </c>
    </row>
    <row r="422">
      <c r="A422" t="inlineStr">
        <is>
          <t>1 - ADMINISTRACIÓN CENTRAL</t>
        </is>
      </c>
      <c r="B422" t="inlineStr">
        <is>
          <t>40 - VIVIENDA, CIUDAD Y TERRITORIO</t>
        </is>
      </c>
      <c r="C422" t="inlineStr">
        <is>
          <t>1400</t>
        </is>
      </c>
      <c r="D422" t="inlineStr">
        <is>
          <t>4003</t>
        </is>
      </c>
      <c r="E422" t="inlineStr">
        <is>
          <t>4003047</t>
        </is>
      </c>
      <c r="F422" t="inlineStr">
        <is>
          <t>SERVICIO DE APOYO FINANCIERO PARA SUBSIDIOS AL CONSUMO EN LOS SERVICIOS PÚBLICOS DOMICILIARIOS</t>
        </is>
      </c>
      <c r="G422" t="inlineStr">
        <is>
          <t>2024548740021</t>
        </is>
      </c>
      <c r="H422" t="inlineStr">
        <is>
          <t>APOYO PARA EL ACCESO DE LA POBLACIÓN A LOS SERVICIOS DE AGUA POTABLE Y SANEAMIENTO BASICO EN EL MUNICIPIO DE VILLA DEL ROSARIO. VILLA DEL ROSARIO UNA CIUDAD POSIBLE</t>
        </is>
      </c>
      <c r="I422" t="inlineStr">
        <is>
          <t>00</t>
        </is>
      </c>
      <c r="J422" t="inlineStr">
        <is>
          <t>SIN PRODUCTO DANE</t>
        </is>
      </c>
      <c r="K422" t="inlineStr">
        <is>
          <t>00</t>
        </is>
      </c>
      <c r="L422" t="inlineStr">
        <is>
          <t>SIN ATRIBUTO</t>
        </is>
      </c>
      <c r="N422" t="inlineStr">
        <is>
          <t>2.3.3.01.02.004.03.40.01</t>
        </is>
      </c>
      <c r="O422" t="inlineStr">
        <is>
          <t>Subsidio de aseo</t>
        </is>
      </c>
      <c r="P422" t="inlineStr">
        <is>
          <t>1.2.3.1.17.02</t>
        </is>
      </c>
      <c r="Q422" t="inlineStr">
        <is>
          <t>SOBRETASA DE SOLIDARIDAD SERVICIOS PUBLICO ASEO</t>
        </is>
      </c>
      <c r="R422" t="n">
        <v>450256131</v>
      </c>
      <c r="S422" t="n">
        <v>0</v>
      </c>
      <c r="T422" t="n">
        <v>0</v>
      </c>
      <c r="U422" t="n">
        <v>0</v>
      </c>
      <c r="V422" t="n">
        <v>0</v>
      </c>
      <c r="W422" t="n">
        <v>0</v>
      </c>
      <c r="X422" t="n">
        <v>0</v>
      </c>
      <c r="Y422" t="n">
        <v>450256131</v>
      </c>
      <c r="Z422" t="n">
        <v>0</v>
      </c>
      <c r="AA422" t="n">
        <v>0</v>
      </c>
      <c r="AB422" t="n">
        <v>0</v>
      </c>
      <c r="AC422" t="n">
        <v>0</v>
      </c>
      <c r="AD422" t="n">
        <v>450256131</v>
      </c>
      <c r="AE422" t="n">
        <v>0</v>
      </c>
    </row>
    <row r="423">
      <c r="A423" t="inlineStr">
        <is>
          <t>1 - ADMINISTRACIÓN CENTRAL</t>
        </is>
      </c>
      <c r="B423" t="inlineStr">
        <is>
          <t>43 - DEPORTE Y RECREACIÓN</t>
        </is>
      </c>
      <c r="C423" t="inlineStr">
        <is>
          <t>1604</t>
        </is>
      </c>
      <c r="D423" t="inlineStr">
        <is>
          <t>4301</t>
        </is>
      </c>
      <c r="E423" t="inlineStr">
        <is>
          <t>4301037</t>
        </is>
      </c>
      <c r="F423" t="inlineStr">
        <is>
          <t>SERVICIO DE PROMOCIÓN DE LA ACTIVIDAD FÍSICA, LA RECREACIÓN Y EL DEPORTE</t>
        </is>
      </c>
      <c r="G423" t="inlineStr">
        <is>
          <t>2024548740026</t>
        </is>
      </c>
      <c r="H423" t="inlineStr">
        <is>
          <t>APOYO PARA EL FOMENTO A LA RECREACIÓN LA ACTIVIDAD FISICA Y EL DEPORTE  PARA DESARROLLAR ENTORNOS DE CONVIVENCIA Y PAZ EN EL MUNICIPIO DE VILLA DEL ROSARIO.VILLA DEL ROSARIO UNA CIUDAD POSIBLE</t>
        </is>
      </c>
      <c r="I423" t="inlineStr">
        <is>
          <t>00</t>
        </is>
      </c>
      <c r="J423" t="inlineStr">
        <is>
          <t>SIN PRODUCTO DANE</t>
        </is>
      </c>
      <c r="K423" t="inlineStr">
        <is>
          <t>00</t>
        </is>
      </c>
      <c r="L423" t="inlineStr">
        <is>
          <t>SIN ATRIBUTO</t>
        </is>
      </c>
      <c r="N423" t="inlineStr">
        <is>
          <t>2.3.3.43.01</t>
        </is>
      </c>
      <c r="O423" t="inlineStr">
        <is>
          <t>Transferencias corrientes - Servicio de promoción de la actividad física, la recreación y el deporte</t>
        </is>
      </c>
      <c r="P423" t="inlineStr">
        <is>
          <t>1.3.2.3.01.02</t>
        </is>
      </c>
      <c r="Q423" t="inlineStr">
        <is>
          <t>R.F. DISTINTOS AL SGP - TASA PRO DEPORTES Y RECREACION</t>
        </is>
      </c>
      <c r="R423" t="n">
        <v>100000</v>
      </c>
      <c r="S423" t="n">
        <v>0</v>
      </c>
      <c r="T423" t="n">
        <v>0</v>
      </c>
      <c r="U423" t="n">
        <v>0</v>
      </c>
      <c r="V423" t="n">
        <v>0</v>
      </c>
      <c r="W423" t="n">
        <v>0</v>
      </c>
      <c r="X423" t="n">
        <v>0</v>
      </c>
      <c r="Y423" t="n">
        <v>100000</v>
      </c>
      <c r="Z423" t="n">
        <v>0</v>
      </c>
      <c r="AA423" t="n">
        <v>0</v>
      </c>
      <c r="AB423" t="n">
        <v>0</v>
      </c>
      <c r="AC423" t="n">
        <v>0</v>
      </c>
      <c r="AD423" t="n">
        <v>100000</v>
      </c>
      <c r="AE423" t="n">
        <v>0</v>
      </c>
    </row>
    <row r="424">
      <c r="A424" t="inlineStr">
        <is>
          <t>1 - ADMINISTRACIÓN CENTRAL</t>
        </is>
      </c>
      <c r="B424" t="inlineStr">
        <is>
          <t>43 - DEPORTE Y RECREACIÓN</t>
        </is>
      </c>
      <c r="C424" t="inlineStr">
        <is>
          <t>1604</t>
        </is>
      </c>
      <c r="D424" t="inlineStr">
        <is>
          <t>4301</t>
        </is>
      </c>
      <c r="E424" t="inlineStr">
        <is>
          <t>4301037</t>
        </is>
      </c>
      <c r="F424" t="inlineStr">
        <is>
          <t>SERVICIO DE PROMOCIÓN DE LA ACTIVIDAD FÍSICA, LA RECREACIÓN Y EL DEPORTE</t>
        </is>
      </c>
      <c r="G424" t="inlineStr">
        <is>
          <t>2024548740026</t>
        </is>
      </c>
      <c r="H424" t="inlineStr">
        <is>
          <t>APOYO PARA EL FOMENTO A LA RECREACIÓN LA ACTIVIDAD FISICA Y EL DEPORTE  PARA DESARROLLAR ENTORNOS DE CONVIVENCIA Y PAZ EN EL MUNICIPIO DE VILLA DEL ROSARIO.VILLA DEL ROSARIO UNA CIUDAD POSIBLE</t>
        </is>
      </c>
      <c r="I424" t="inlineStr">
        <is>
          <t>00</t>
        </is>
      </c>
      <c r="J424" t="inlineStr">
        <is>
          <t>SIN PRODUCTO DANE</t>
        </is>
      </c>
      <c r="K424" t="inlineStr">
        <is>
          <t>00</t>
        </is>
      </c>
      <c r="L424" t="inlineStr">
        <is>
          <t>SIN ATRIBUTO</t>
        </is>
      </c>
      <c r="N424" t="inlineStr">
        <is>
          <t>2.3.3.43.02</t>
        </is>
      </c>
      <c r="O424" t="inlineStr">
        <is>
          <t>Transferencias corrientes - Servicio de promoción de la actividad física, la recreación y el deporte</t>
        </is>
      </c>
      <c r="P424" t="inlineStr">
        <is>
          <t>1.3.2.2.08.02</t>
        </is>
      </c>
      <c r="Q424" t="inlineStr">
        <is>
          <t>R.F. SGP - PROPOSITO GENERAL DEPORTE Y RECREACIÓN</t>
        </is>
      </c>
      <c r="R424" t="n">
        <v>300000</v>
      </c>
      <c r="S424" t="n">
        <v>0</v>
      </c>
      <c r="T424" t="n">
        <v>0</v>
      </c>
      <c r="U424" t="n">
        <v>0</v>
      </c>
      <c r="V424" t="n">
        <v>0</v>
      </c>
      <c r="W424" t="n">
        <v>0</v>
      </c>
      <c r="X424" t="n">
        <v>0</v>
      </c>
      <c r="Y424" t="n">
        <v>300000</v>
      </c>
      <c r="Z424" t="n">
        <v>0</v>
      </c>
      <c r="AA424" t="n">
        <v>0</v>
      </c>
      <c r="AB424" t="n">
        <v>0</v>
      </c>
      <c r="AC424" t="n">
        <v>0</v>
      </c>
      <c r="AD424" t="n">
        <v>300000</v>
      </c>
      <c r="AE424" t="n">
        <v>0</v>
      </c>
    </row>
    <row r="425">
      <c r="A425" t="inlineStr">
        <is>
          <t>1 - ADMINISTRACIÓN CENTRAL</t>
        </is>
      </c>
      <c r="B425" t="inlineStr">
        <is>
          <t>43 - DEPORTE Y RECREACIÓN</t>
        </is>
      </c>
      <c r="C425" t="inlineStr">
        <is>
          <t>1604</t>
        </is>
      </c>
      <c r="D425" t="inlineStr">
        <is>
          <t>4301</t>
        </is>
      </c>
      <c r="E425" t="inlineStr">
        <is>
          <t>4301007</t>
        </is>
      </c>
      <c r="F425" t="inlineStr">
        <is>
          <t>SERVICIO DE ESCUELAS DEPORTIVAS</t>
        </is>
      </c>
      <c r="G425" t="inlineStr">
        <is>
          <t>2024548740026</t>
        </is>
      </c>
      <c r="H425" t="inlineStr">
        <is>
          <t>APOYO PARA EL FOMENTO A LA RECREACIÓN LA ACTIVIDAD FISICA Y EL DEPORTE  PARA DESARROLLAR ENTORNOS DE CONVIVENCIA Y PAZ EN EL MUNICIPIO DE VILLA DEL ROSARIO.VILLA DEL ROSARIO UNA CIUDAD POSIBLE</t>
        </is>
      </c>
      <c r="I425" t="inlineStr">
        <is>
          <t>00</t>
        </is>
      </c>
      <c r="J425" t="inlineStr">
        <is>
          <t>SIN PRODUCTO DANE</t>
        </is>
      </c>
      <c r="K425" t="inlineStr">
        <is>
          <t>00</t>
        </is>
      </c>
      <c r="L425" t="inlineStr">
        <is>
          <t>SIN ATRIBUTO</t>
        </is>
      </c>
      <c r="N425" t="inlineStr">
        <is>
          <t>2.3.3.43.03</t>
        </is>
      </c>
      <c r="O425" t="inlineStr">
        <is>
          <t>Transferencias corrientes - Servicio de Escuelas Deportivas</t>
        </is>
      </c>
      <c r="P425" t="inlineStr">
        <is>
          <t>1.2.4.3.01</t>
        </is>
      </c>
      <c r="Q425" t="inlineStr">
        <is>
          <t>SGP-PROPOSITO GENERAL-DEPORTE Y RECREACION</t>
        </is>
      </c>
      <c r="R425" t="n">
        <v>255000000</v>
      </c>
      <c r="S425" t="n">
        <v>0</v>
      </c>
      <c r="T425" t="n">
        <v>0</v>
      </c>
      <c r="U425" t="n">
        <v>0</v>
      </c>
      <c r="V425" t="n">
        <v>255000000</v>
      </c>
      <c r="W425" t="n">
        <v>0</v>
      </c>
      <c r="X425" t="n">
        <v>0</v>
      </c>
      <c r="Y425" t="n">
        <v>0</v>
      </c>
      <c r="Z425" t="n">
        <v>0</v>
      </c>
      <c r="AA425" t="n">
        <v>0</v>
      </c>
      <c r="AB425" t="n">
        <v>0</v>
      </c>
      <c r="AC425" t="n">
        <v>0</v>
      </c>
      <c r="AD425" t="n">
        <v>0</v>
      </c>
      <c r="AE425" t="n">
        <v>0</v>
      </c>
    </row>
    <row r="426">
      <c r="A426" t="inlineStr">
        <is>
          <t>1 - ADMINISTRACIÓN CENTRAL</t>
        </is>
      </c>
      <c r="B426" t="inlineStr">
        <is>
          <t>43 - DEPORTE Y RECREACIÓN</t>
        </is>
      </c>
      <c r="C426" t="inlineStr">
        <is>
          <t>1604</t>
        </is>
      </c>
      <c r="D426" t="inlineStr">
        <is>
          <t>4301</t>
        </is>
      </c>
      <c r="E426" t="inlineStr">
        <is>
          <t>4301037</t>
        </is>
      </c>
      <c r="F426" t="inlineStr">
        <is>
          <t>SERVICIO DE PROMOCIÓN DE LA ACTIVIDAD FÍSICA, LA RECREACIÓN Y EL DEPORTE</t>
        </is>
      </c>
      <c r="G426" t="inlineStr">
        <is>
          <t>2024548740026</t>
        </is>
      </c>
      <c r="H426" t="inlineStr">
        <is>
          <t>APOYO PARA EL FOMENTO A LA RECREACIÓN LA ACTIVIDAD FISICA Y EL DEPORTE  PARA DESARROLLAR ENTORNOS DE CONVIVENCIA Y PAZ EN EL MUNICIPIO DE VILLA DEL ROSARIO.VILLA DEL ROSARIO UNA CIUDAD POSIBLE</t>
        </is>
      </c>
      <c r="I426" t="inlineStr">
        <is>
          <t>00</t>
        </is>
      </c>
      <c r="J426" t="inlineStr">
        <is>
          <t>SIN PRODUCTO DANE</t>
        </is>
      </c>
      <c r="K426" t="inlineStr">
        <is>
          <t>00</t>
        </is>
      </c>
      <c r="L426" t="inlineStr">
        <is>
          <t>SIN ATRIBUTO</t>
        </is>
      </c>
      <c r="N426" t="inlineStr">
        <is>
          <t>2.3.3.43.04</t>
        </is>
      </c>
      <c r="O426" t="inlineStr">
        <is>
          <t>Transferencias corrientes - Servicio de promoción de la actividad física, la recreación y el deporte</t>
        </is>
      </c>
      <c r="P426" t="inlineStr">
        <is>
          <t>1.2.4.3.01</t>
        </is>
      </c>
      <c r="Q426" t="inlineStr">
        <is>
          <t>SGP-PROPOSITO GENERAL-DEPORTE Y RECREACION</t>
        </is>
      </c>
      <c r="R426" t="n">
        <v>217512888</v>
      </c>
      <c r="S426" t="n">
        <v>0</v>
      </c>
      <c r="T426" t="n">
        <v>0</v>
      </c>
      <c r="U426" t="n">
        <v>0</v>
      </c>
      <c r="V426" t="n">
        <v>195000000</v>
      </c>
      <c r="W426" t="n">
        <v>0</v>
      </c>
      <c r="X426" t="n">
        <v>0</v>
      </c>
      <c r="Y426" t="n">
        <v>22512888</v>
      </c>
      <c r="Z426" t="n">
        <v>22512888</v>
      </c>
      <c r="AA426" t="n">
        <v>22512888</v>
      </c>
      <c r="AB426" t="n">
        <v>22512888</v>
      </c>
      <c r="AC426" t="n">
        <v>22512888</v>
      </c>
      <c r="AD426" t="n">
        <v>0</v>
      </c>
      <c r="AE426" t="n">
        <v>100</v>
      </c>
    </row>
    <row r="427">
      <c r="A427" t="inlineStr">
        <is>
          <t>1 - ADMINISTRACIÓN CENTRAL</t>
        </is>
      </c>
      <c r="B427" t="inlineStr">
        <is>
          <t>43 - DEPORTE Y RECREACIÓN</t>
        </is>
      </c>
      <c r="C427" t="inlineStr">
        <is>
          <t>1604</t>
        </is>
      </c>
      <c r="D427" t="inlineStr">
        <is>
          <t>4301</t>
        </is>
      </c>
      <c r="E427" t="inlineStr">
        <is>
          <t>4301037</t>
        </is>
      </c>
      <c r="F427" t="inlineStr">
        <is>
          <t>SERVICIO DE PROMOCIÓN DE LA ACTIVIDAD FÍSICA, LA RECREACIÓN Y EL DEPORTE</t>
        </is>
      </c>
      <c r="G427" t="inlineStr">
        <is>
          <t>2024548740026</t>
        </is>
      </c>
      <c r="H427" t="inlineStr">
        <is>
          <t>APOYO PARA EL FOMENTO A LA RECREACIÓN LA ACTIVIDAD FISICA Y EL DEPORTE  PARA DESARROLLAR ENTORNOS DE CONVIVENCIA Y PAZ EN EL MUNICIPIO DE VILLA DEL ROSARIO.VILLA DEL ROSARIO UNA CIUDAD POSIBLE</t>
        </is>
      </c>
      <c r="I427" t="inlineStr">
        <is>
          <t>00</t>
        </is>
      </c>
      <c r="J427" t="inlineStr">
        <is>
          <t>SIN PRODUCTO DANE</t>
        </is>
      </c>
      <c r="K427" t="inlineStr">
        <is>
          <t>00</t>
        </is>
      </c>
      <c r="L427" t="inlineStr">
        <is>
          <t>SIN ATRIBUTO</t>
        </is>
      </c>
      <c r="N427" t="inlineStr">
        <is>
          <t>2.3.3.43.05</t>
        </is>
      </c>
      <c r="O427" t="inlineStr">
        <is>
          <t>Transferencias corrientes - Servicio de promoción de la actividad física, la recreación y el deporte</t>
        </is>
      </c>
      <c r="P427" t="inlineStr">
        <is>
          <t>1.2.3.1.18</t>
        </is>
      </c>
      <c r="Q427" t="inlineStr">
        <is>
          <t>TASA PRODEPORTE Y RECREACION</t>
        </is>
      </c>
      <c r="R427" t="n">
        <v>150000000</v>
      </c>
      <c r="S427" t="n">
        <v>0</v>
      </c>
      <c r="T427" t="n">
        <v>0</v>
      </c>
      <c r="U427" t="n">
        <v>0</v>
      </c>
      <c r="V427" t="n">
        <v>127700000</v>
      </c>
      <c r="W427" t="n">
        <v>0</v>
      </c>
      <c r="X427" t="n">
        <v>0</v>
      </c>
      <c r="Y427" t="n">
        <v>22300000</v>
      </c>
      <c r="Z427" t="n">
        <v>16266400</v>
      </c>
      <c r="AA427" t="n">
        <v>16266400</v>
      </c>
      <c r="AB427" t="n">
        <v>16266400</v>
      </c>
      <c r="AC427" t="n">
        <v>16266400</v>
      </c>
      <c r="AD427" t="n">
        <v>6033600</v>
      </c>
      <c r="AE427" t="n">
        <v>72.94</v>
      </c>
    </row>
    <row r="428">
      <c r="A428" t="inlineStr">
        <is>
          <t>1 - ADMINISTRACIÓN CENTRAL</t>
        </is>
      </c>
      <c r="B428" t="inlineStr">
        <is>
          <t>43 - DEPORTE Y RECREACIÓN</t>
        </is>
      </c>
      <c r="C428" t="inlineStr">
        <is>
          <t>1604</t>
        </is>
      </c>
      <c r="D428" t="inlineStr">
        <is>
          <t>4301</t>
        </is>
      </c>
      <c r="E428" t="inlineStr">
        <is>
          <t>4301001</t>
        </is>
      </c>
      <c r="F428" t="inlineStr">
        <is>
          <t>SERVICIO DE APOYO A LA ACTIVIDAD FÍSICA, LA RECREACIÓN Y EL DEPORTE</t>
        </is>
      </c>
      <c r="G428" t="inlineStr">
        <is>
          <t>2024548740026</t>
        </is>
      </c>
      <c r="H428" t="inlineStr">
        <is>
          <t>APOYO PARA EL FOMENTO A LA RECREACIÓN LA ACTIVIDAD FISICA Y EL DEPORTE  PARA DESARROLLAR ENTORNOS DE CONVIVENCIA Y PAZ EN EL MUNICIPIO DE VILLA DEL ROSARIO.VILLA DEL ROSARIO UNA CIUDAD POSIBLE</t>
        </is>
      </c>
      <c r="I428" t="inlineStr">
        <is>
          <t>00</t>
        </is>
      </c>
      <c r="J428" t="inlineStr">
        <is>
          <t>SIN PRODUCTO DANE</t>
        </is>
      </c>
      <c r="K428" t="inlineStr">
        <is>
          <t>00</t>
        </is>
      </c>
      <c r="L428" t="inlineStr">
        <is>
          <t>SIN ATRIBUTO</t>
        </is>
      </c>
      <c r="N428" t="inlineStr">
        <is>
          <t>2.3.3.43.06</t>
        </is>
      </c>
      <c r="O428" t="inlineStr">
        <is>
          <t>Transferencias corrientes - Servicio de apoyo a la actividad física, la recreación y el deporte</t>
        </is>
      </c>
      <c r="P428" t="inlineStr">
        <is>
          <t>1.2.3.1.18</t>
        </is>
      </c>
      <c r="Q428" t="inlineStr">
        <is>
          <t>TASA PRODEPORTE Y RECREACION</t>
        </is>
      </c>
      <c r="R428" t="n">
        <v>100000000</v>
      </c>
      <c r="S428" t="n">
        <v>0</v>
      </c>
      <c r="T428" t="n">
        <v>0</v>
      </c>
      <c r="U428" t="n">
        <v>0</v>
      </c>
      <c r="V428" t="n">
        <v>100000000</v>
      </c>
      <c r="W428" t="n">
        <v>0</v>
      </c>
      <c r="X428" t="n">
        <v>0</v>
      </c>
      <c r="Y428" t="n">
        <v>0</v>
      </c>
      <c r="Z428" t="n">
        <v>0</v>
      </c>
      <c r="AA428" t="n">
        <v>0</v>
      </c>
      <c r="AB428" t="n">
        <v>0</v>
      </c>
      <c r="AC428" t="n">
        <v>0</v>
      </c>
      <c r="AD428" t="n">
        <v>0</v>
      </c>
      <c r="AE428" t="n">
        <v>0</v>
      </c>
    </row>
    <row r="429">
      <c r="A429" t="inlineStr">
        <is>
          <t>1 - ADMINISTRACIÓN CENTRAL</t>
        </is>
      </c>
      <c r="B429" t="inlineStr">
        <is>
          <t>00 - SIN SECTOR</t>
        </is>
      </c>
      <c r="C429" t="inlineStr">
        <is>
          <t>00</t>
        </is>
      </c>
      <c r="D429" t="inlineStr">
        <is>
          <t>0000</t>
        </is>
      </c>
      <c r="E429" t="inlineStr">
        <is>
          <t>0000000</t>
        </is>
      </c>
      <c r="F429" t="inlineStr">
        <is>
          <t>SIN PRODUCTO</t>
        </is>
      </c>
      <c r="G429" t="inlineStr">
        <is>
          <t>00</t>
        </is>
      </c>
      <c r="H429" t="inlineStr">
        <is>
          <t>SIN CODIGO BPIN</t>
        </is>
      </c>
      <c r="I429" t="inlineStr">
        <is>
          <t>00</t>
        </is>
      </c>
      <c r="J429" t="inlineStr">
        <is>
          <t>SIN PRODUCTO DANE</t>
        </is>
      </c>
      <c r="K429" t="inlineStr">
        <is>
          <t>00</t>
        </is>
      </c>
      <c r="L429" t="inlineStr">
        <is>
          <t>SIN ATRIBUTO</t>
        </is>
      </c>
      <c r="N429" t="inlineStr">
        <is>
          <t>2.3.4</t>
        </is>
      </c>
      <c r="O429" t="inlineStr">
        <is>
          <t>Transferencias De Capital</t>
        </is>
      </c>
      <c r="P429" t="inlineStr">
        <is>
          <t>00</t>
        </is>
      </c>
      <c r="Q429" t="inlineStr">
        <is>
          <t>RECURSO PROPIOS</t>
        </is>
      </c>
      <c r="R429" t="n">
        <v>984260075</v>
      </c>
      <c r="S429" t="n">
        <v>242332798</v>
      </c>
      <c r="T429" t="n">
        <v>0</v>
      </c>
      <c r="U429" t="n">
        <v>677700000</v>
      </c>
      <c r="V429" t="n">
        <v>0</v>
      </c>
      <c r="W429" t="n">
        <v>0</v>
      </c>
      <c r="X429" t="n">
        <v>0</v>
      </c>
      <c r="Y429" t="n">
        <v>1904292873</v>
      </c>
      <c r="Z429" t="n">
        <v>719412223.65</v>
      </c>
      <c r="AA429" t="n">
        <v>719412223.65</v>
      </c>
      <c r="AB429" t="n">
        <v>180663600</v>
      </c>
      <c r="AC429" t="n">
        <v>180663600</v>
      </c>
      <c r="AD429" t="n">
        <v>1184880649.35</v>
      </c>
      <c r="AE429" t="n">
        <v>37.78</v>
      </c>
    </row>
    <row r="430">
      <c r="A430" t="inlineStr">
        <is>
          <t>1 - ADMINISTRACIÓN CENTRAL</t>
        </is>
      </c>
      <c r="B430" t="inlineStr">
        <is>
          <t>00 - SIN SECTOR</t>
        </is>
      </c>
      <c r="C430" t="inlineStr">
        <is>
          <t>00</t>
        </is>
      </c>
      <c r="D430" t="inlineStr">
        <is>
          <t>0000</t>
        </is>
      </c>
      <c r="E430" t="inlineStr">
        <is>
          <t>000000</t>
        </is>
      </c>
      <c r="F430" t="inlineStr">
        <is>
          <t>SIN PRODUCTO</t>
        </is>
      </c>
      <c r="G430" t="inlineStr">
        <is>
          <t>00</t>
        </is>
      </c>
      <c r="H430" t="inlineStr">
        <is>
          <t>SIN CODIGO BPIN</t>
        </is>
      </c>
      <c r="I430" t="inlineStr">
        <is>
          <t>00</t>
        </is>
      </c>
      <c r="J430" t="inlineStr">
        <is>
          <t>SIN PRODUCTO DANE</t>
        </is>
      </c>
      <c r="K430" t="inlineStr">
        <is>
          <t>00</t>
        </is>
      </c>
      <c r="L430" t="inlineStr">
        <is>
          <t>SIN ATRIBUTO</t>
        </is>
      </c>
      <c r="N430" t="inlineStr">
        <is>
          <t>2.3.4.02</t>
        </is>
      </c>
      <c r="O430" t="inlineStr">
        <is>
          <t>Entidades del gobierno general</t>
        </is>
      </c>
      <c r="P430" t="inlineStr">
        <is>
          <t>00</t>
        </is>
      </c>
      <c r="Q430" t="inlineStr">
        <is>
          <t>RECURSO PROPIOS</t>
        </is>
      </c>
      <c r="R430" t="n">
        <v>0</v>
      </c>
      <c r="S430" t="n">
        <v>242332798</v>
      </c>
      <c r="T430" t="n">
        <v>0</v>
      </c>
      <c r="U430" t="n">
        <v>677700000</v>
      </c>
      <c r="V430" t="n">
        <v>0</v>
      </c>
      <c r="W430" t="n">
        <v>0</v>
      </c>
      <c r="X430" t="n">
        <v>0</v>
      </c>
      <c r="Y430" t="n">
        <v>920032798</v>
      </c>
      <c r="Z430" t="n">
        <v>180663600</v>
      </c>
      <c r="AA430" t="n">
        <v>180663600</v>
      </c>
      <c r="AB430" t="n">
        <v>180663600</v>
      </c>
      <c r="AC430" t="n">
        <v>180663600</v>
      </c>
      <c r="AD430" t="n">
        <v>739369198</v>
      </c>
      <c r="AE430" t="n">
        <v>19.64</v>
      </c>
    </row>
    <row r="431">
      <c r="A431" t="inlineStr">
        <is>
          <t>1 - ADMINISTRACIÓN CENTRAL</t>
        </is>
      </c>
      <c r="B431" t="inlineStr">
        <is>
          <t>00 - SIN SECTOR</t>
        </is>
      </c>
      <c r="C431" t="inlineStr">
        <is>
          <t>00</t>
        </is>
      </c>
      <c r="D431" t="inlineStr">
        <is>
          <t>0000</t>
        </is>
      </c>
      <c r="E431" t="inlineStr">
        <is>
          <t>000000</t>
        </is>
      </c>
      <c r="F431" t="inlineStr">
        <is>
          <t>SIN PRODUCTO</t>
        </is>
      </c>
      <c r="G431" t="inlineStr">
        <is>
          <t>00</t>
        </is>
      </c>
      <c r="H431" t="inlineStr">
        <is>
          <t>SIN CODIGO BPIN</t>
        </is>
      </c>
      <c r="I431" t="inlineStr">
        <is>
          <t>00</t>
        </is>
      </c>
      <c r="J431" t="inlineStr">
        <is>
          <t>SIN PRODUCTO DANE</t>
        </is>
      </c>
      <c r="K431" t="inlineStr">
        <is>
          <t>00</t>
        </is>
      </c>
      <c r="L431" t="inlineStr">
        <is>
          <t>SIN ATRIBUTO</t>
        </is>
      </c>
      <c r="N431" t="inlineStr">
        <is>
          <t>2.3.4.02.04</t>
        </is>
      </c>
      <c r="O431" t="inlineStr">
        <is>
          <t>Entidades del gobierno general</t>
        </is>
      </c>
      <c r="P431" t="inlineStr">
        <is>
          <t>00</t>
        </is>
      </c>
      <c r="Q431" t="inlineStr">
        <is>
          <t>RECURSO PROPIOS</t>
        </is>
      </c>
      <c r="R431" t="n">
        <v>0</v>
      </c>
      <c r="S431" t="n">
        <v>242332798</v>
      </c>
      <c r="T431" t="n">
        <v>0</v>
      </c>
      <c r="U431" t="n">
        <v>677700000</v>
      </c>
      <c r="V431" t="n">
        <v>0</v>
      </c>
      <c r="W431" t="n">
        <v>0</v>
      </c>
      <c r="X431" t="n">
        <v>0</v>
      </c>
      <c r="Y431" t="n">
        <v>920032798</v>
      </c>
      <c r="Z431" t="n">
        <v>180663600</v>
      </c>
      <c r="AA431" t="n">
        <v>180663600</v>
      </c>
      <c r="AB431" t="n">
        <v>180663600</v>
      </c>
      <c r="AC431" t="n">
        <v>180663600</v>
      </c>
      <c r="AD431" t="n">
        <v>739369198</v>
      </c>
      <c r="AE431" t="n">
        <v>19.64</v>
      </c>
    </row>
    <row r="432">
      <c r="A432" t="inlineStr">
        <is>
          <t>1 - ADMINISTRACIÓN CENTRAL</t>
        </is>
      </c>
      <c r="B432" t="inlineStr">
        <is>
          <t>43 - DEPORTE Y RECREACIÓN</t>
        </is>
      </c>
      <c r="C432" t="inlineStr">
        <is>
          <t>1604</t>
        </is>
      </c>
      <c r="D432" t="inlineStr">
        <is>
          <t>4301</t>
        </is>
      </c>
      <c r="E432" t="inlineStr">
        <is>
          <t>4301004</t>
        </is>
      </c>
      <c r="F432" t="inlineStr">
        <is>
          <t>SERVICIO DE MANTENIMIENTO A LA INFRAESTRUCTURA DEPORTIVA</t>
        </is>
      </c>
      <c r="G432" t="inlineStr">
        <is>
          <t>2024548740026</t>
        </is>
      </c>
      <c r="H432" t="inlineStr">
        <is>
          <t>APOYO PARA EL FOMENTO A LA RECREACIÓN LA ACTIVIDAD FISICA Y EL DEPORTE  PARA DESARROLLAR ENTORNOS DE CONVIVENCIA Y PAZ EN EL MUNICIPIO DE VILLA DEL ROSARIO.VILLA DEL ROSARIO UNA CIUDAD POSIBLE</t>
        </is>
      </c>
      <c r="I432" t="inlineStr">
        <is>
          <t>00</t>
        </is>
      </c>
      <c r="J432" t="inlineStr">
        <is>
          <t>SIN PRODUCTO DANE</t>
        </is>
      </c>
      <c r="K432" t="inlineStr">
        <is>
          <t>00</t>
        </is>
      </c>
      <c r="L432" t="inlineStr">
        <is>
          <t>SIN ATRIBUTO</t>
        </is>
      </c>
      <c r="N432" t="inlineStr">
        <is>
          <t>2.3.4.02.04.01</t>
        </is>
      </c>
      <c r="O432" t="inlineStr">
        <is>
          <t>Transferencias corrientes-servicio de mantenimiento a la infraestructura deportiva</t>
        </is>
      </c>
      <c r="P432" t="inlineStr">
        <is>
          <t>1.2.3.1.18</t>
        </is>
      </c>
      <c r="Q432" t="inlineStr">
        <is>
          <t>TASA PRODEPORTE Y RECREACION</t>
        </is>
      </c>
      <c r="R432" t="n">
        <v>0</v>
      </c>
      <c r="S432" t="n">
        <v>0</v>
      </c>
      <c r="T432" t="n">
        <v>0</v>
      </c>
      <c r="U432" t="n">
        <v>227700000</v>
      </c>
      <c r="V432" t="n">
        <v>0</v>
      </c>
      <c r="W432" t="n">
        <v>0</v>
      </c>
      <c r="X432" t="n">
        <v>0</v>
      </c>
      <c r="Y432" t="n">
        <v>227700000</v>
      </c>
      <c r="Z432" t="n">
        <v>44954100</v>
      </c>
      <c r="AA432" t="n">
        <v>44954100</v>
      </c>
      <c r="AB432" t="n">
        <v>44954100</v>
      </c>
      <c r="AC432" t="n">
        <v>44954100</v>
      </c>
      <c r="AD432" t="n">
        <v>182745900</v>
      </c>
      <c r="AE432" t="n">
        <v>19.74</v>
      </c>
    </row>
    <row r="433">
      <c r="A433" t="inlineStr">
        <is>
          <t>1 - ADMINISTRACIÓN CENTRAL</t>
        </is>
      </c>
      <c r="B433" t="inlineStr">
        <is>
          <t>43 - DEPORTE Y RECREACIÓN</t>
        </is>
      </c>
      <c r="C433" t="inlineStr">
        <is>
          <t>1604</t>
        </is>
      </c>
      <c r="D433" t="inlineStr">
        <is>
          <t>4301</t>
        </is>
      </c>
      <c r="E433" t="inlineStr">
        <is>
          <t>4301001</t>
        </is>
      </c>
      <c r="F433" t="inlineStr">
        <is>
          <t>SERVICIO DE APOYO A LA ACTIVIDAD FÍSICA, LA RECREACIÓN Y EL DEPORTE</t>
        </is>
      </c>
      <c r="G433" t="inlineStr">
        <is>
          <t>2024548740026</t>
        </is>
      </c>
      <c r="H433" t="inlineStr">
        <is>
          <t>APOYO PARA EL FOMENTO A LA RECREACIÓN LA ACTIVIDAD FISICA Y EL DEPORTE  PARA DESARROLLAR ENTORNOS DE CONVIVENCIA Y PAZ EN EL MUNICIPIO DE VILLA DEL ROSARIO.VILLA DEL ROSARIO UNA CIUDAD POSIBLE</t>
        </is>
      </c>
      <c r="I433" t="inlineStr">
        <is>
          <t>00</t>
        </is>
      </c>
      <c r="J433" t="inlineStr">
        <is>
          <t>SIN PRODUCTO DANE</t>
        </is>
      </c>
      <c r="K433" t="inlineStr">
        <is>
          <t>00</t>
        </is>
      </c>
      <c r="L433" t="inlineStr">
        <is>
          <t>SIN ATRIBUTO</t>
        </is>
      </c>
      <c r="N433" t="inlineStr">
        <is>
          <t>2.3.4.02.04.02</t>
        </is>
      </c>
      <c r="O433" t="inlineStr">
        <is>
          <t>Transferencias corrientes-servicio de apoyo a la actividad fisica,la recreación y el deporte</t>
        </is>
      </c>
      <c r="P433" t="inlineStr">
        <is>
          <t>1.2.2.0.00.05</t>
        </is>
      </c>
      <c r="Q433" t="inlineStr">
        <is>
          <t>10% SOBRETASA GASOLINA INFRAESTRUCTURA ESCENARIOS DEPORTIVOS</t>
        </is>
      </c>
      <c r="R433" t="n">
        <v>0</v>
      </c>
      <c r="S433" t="n">
        <v>0</v>
      </c>
      <c r="T433" t="n">
        <v>0</v>
      </c>
      <c r="U433" t="n">
        <v>151800000</v>
      </c>
      <c r="V433" t="n">
        <v>0</v>
      </c>
      <c r="W433" t="n">
        <v>0</v>
      </c>
      <c r="X433" t="n">
        <v>0</v>
      </c>
      <c r="Y433" t="n">
        <v>151800000</v>
      </c>
      <c r="Z433" t="n">
        <v>135709500</v>
      </c>
      <c r="AA433" t="n">
        <v>135709500</v>
      </c>
      <c r="AB433" t="n">
        <v>135709500</v>
      </c>
      <c r="AC433" t="n">
        <v>135709500</v>
      </c>
      <c r="AD433" t="n">
        <v>16090500</v>
      </c>
      <c r="AE433" t="n">
        <v>89.40000000000001</v>
      </c>
    </row>
    <row r="434">
      <c r="A434" t="inlineStr">
        <is>
          <t>1 - ADMINISTRACIÓN CENTRAL</t>
        </is>
      </c>
      <c r="B434" t="inlineStr">
        <is>
          <t>43 - DEPORTE Y RECREACIÓN</t>
        </is>
      </c>
      <c r="C434" t="inlineStr">
        <is>
          <t>1604</t>
        </is>
      </c>
      <c r="D434" t="inlineStr">
        <is>
          <t>4301</t>
        </is>
      </c>
      <c r="E434" t="inlineStr">
        <is>
          <t>4301007</t>
        </is>
      </c>
      <c r="F434" t="inlineStr">
        <is>
          <t>SERVICIO DE ESCUELAS DEPORTIVAS</t>
        </is>
      </c>
      <c r="G434" t="inlineStr">
        <is>
          <t>2024548740026</t>
        </is>
      </c>
      <c r="H434" t="inlineStr">
        <is>
          <t>APOYO PARA EL FOMENTO A LA RECREACIÓN LA ACTIVIDAD FISICA Y EL DEPORTE  PARA DESARROLLAR ENTORNOS DE CONVIVENCIA Y PAZ EN EL MUNICIPIO DE VILLA DEL ROSARIO.VILLA DEL ROSARIO UNA CIUDAD POSIBLE</t>
        </is>
      </c>
      <c r="I434" t="inlineStr">
        <is>
          <t>00</t>
        </is>
      </c>
      <c r="J434" t="inlineStr">
        <is>
          <t>SIN PRODUCTO DANE</t>
        </is>
      </c>
      <c r="K434" t="inlineStr">
        <is>
          <t>00</t>
        </is>
      </c>
      <c r="L434" t="inlineStr">
        <is>
          <t>SIN ATRIBUTO</t>
        </is>
      </c>
      <c r="N434" t="inlineStr">
        <is>
          <t>2.3.4.02.04.03</t>
        </is>
      </c>
      <c r="O434" t="inlineStr">
        <is>
          <t>Transferencias corrientes-servicio de escuelas deportivas</t>
        </is>
      </c>
      <c r="P434" t="inlineStr">
        <is>
          <t>1.2.2.0.00.05</t>
        </is>
      </c>
      <c r="Q434" t="inlineStr">
        <is>
          <t>10% SOBRETASA GASOLINA INFRAESTRUCTURA ESCENARIOS DEPORTIVOS</t>
        </is>
      </c>
      <c r="R434" t="n">
        <v>0</v>
      </c>
      <c r="S434" t="n">
        <v>0</v>
      </c>
      <c r="T434" t="n">
        <v>0</v>
      </c>
      <c r="U434" t="n">
        <v>227700000</v>
      </c>
      <c r="V434" t="n">
        <v>0</v>
      </c>
      <c r="W434" t="n">
        <v>0</v>
      </c>
      <c r="X434" t="n">
        <v>0</v>
      </c>
      <c r="Y434" t="n">
        <v>227700000</v>
      </c>
      <c r="Z434" t="n">
        <v>0</v>
      </c>
      <c r="AA434" t="n">
        <v>0</v>
      </c>
      <c r="AB434" t="n">
        <v>0</v>
      </c>
      <c r="AC434" t="n">
        <v>0</v>
      </c>
      <c r="AD434" t="n">
        <v>227700000</v>
      </c>
      <c r="AE434" t="n">
        <v>0</v>
      </c>
    </row>
    <row r="435">
      <c r="A435" t="inlineStr">
        <is>
          <t>1 - ADMINISTRACIÓN CENTRAL</t>
        </is>
      </c>
      <c r="B435" t="inlineStr">
        <is>
          <t>43 - DEPORTE Y RECREACIÓN</t>
        </is>
      </c>
      <c r="C435" t="inlineStr">
        <is>
          <t>1604</t>
        </is>
      </c>
      <c r="D435" t="inlineStr">
        <is>
          <t>4301</t>
        </is>
      </c>
      <c r="E435" t="inlineStr">
        <is>
          <t>4301037</t>
        </is>
      </c>
      <c r="F435" t="inlineStr">
        <is>
          <t>SERVICIO DE PROMOCIÓN DE LA ACTIVIDAD FÍSICA, LA RECREACIÓN Y EL DEPORTE</t>
        </is>
      </c>
      <c r="G435" t="inlineStr">
        <is>
          <t>2024548740026</t>
        </is>
      </c>
      <c r="H435" t="inlineStr">
        <is>
          <t>APOYO PARA EL FOMENTO A LA RECREACIÓN LA ACTIVIDAD FISICA Y EL DEPORTE  PARA DESARROLLAR ENTORNOS DE CONVIVENCIA Y PAZ EN EL MUNICIPIO DE VILLA DEL ROSARIO.VILLA DEL ROSARIO UNA CIUDAD POSIBLE</t>
        </is>
      </c>
      <c r="I435" t="inlineStr">
        <is>
          <t>00</t>
        </is>
      </c>
      <c r="J435" t="inlineStr">
        <is>
          <t>SIN PRODUCTO DANE</t>
        </is>
      </c>
      <c r="K435" t="inlineStr">
        <is>
          <t>00</t>
        </is>
      </c>
      <c r="L435" t="inlineStr">
        <is>
          <t>SIN ATRIBUTO</t>
        </is>
      </c>
      <c r="N435" t="inlineStr">
        <is>
          <t>2.3.4.02.04.04</t>
        </is>
      </c>
      <c r="O435" t="inlineStr">
        <is>
          <t>Transferencias corrientes-servicio de promoción de la actividad fisica,la recreación y el deporte</t>
        </is>
      </c>
      <c r="P435" t="inlineStr">
        <is>
          <t>1.2.2.0.00.05</t>
        </is>
      </c>
      <c r="Q435" t="inlineStr">
        <is>
          <t>10% SOBRETASA GASOLINA INFRAESTRUCTURA ESCENARIOS DEPORTIVOS</t>
        </is>
      </c>
      <c r="R435" t="n">
        <v>0</v>
      </c>
      <c r="S435" t="n">
        <v>0</v>
      </c>
      <c r="T435" t="n">
        <v>0</v>
      </c>
      <c r="U435" t="n">
        <v>70500000</v>
      </c>
      <c r="V435" t="n">
        <v>0</v>
      </c>
      <c r="W435" t="n">
        <v>0</v>
      </c>
      <c r="X435" t="n">
        <v>0</v>
      </c>
      <c r="Y435" t="n">
        <v>70500000</v>
      </c>
      <c r="Z435" t="n">
        <v>0</v>
      </c>
      <c r="AA435" t="n">
        <v>0</v>
      </c>
      <c r="AB435" t="n">
        <v>0</v>
      </c>
      <c r="AC435" t="n">
        <v>0</v>
      </c>
      <c r="AD435" t="n">
        <v>70500000</v>
      </c>
      <c r="AE435" t="n">
        <v>0</v>
      </c>
    </row>
    <row r="436">
      <c r="A436" t="inlineStr">
        <is>
          <t>1 - ADMINISTRACIÓN CENTRAL</t>
        </is>
      </c>
      <c r="B436" t="inlineStr">
        <is>
          <t>43 - DEPORTE Y RECREACIÓN</t>
        </is>
      </c>
      <c r="C436" t="inlineStr">
        <is>
          <t>1604</t>
        </is>
      </c>
      <c r="D436" t="inlineStr">
        <is>
          <t>4301</t>
        </is>
      </c>
      <c r="E436" t="inlineStr">
        <is>
          <t>4301037</t>
        </is>
      </c>
      <c r="F436" t="inlineStr">
        <is>
          <t>SERVICIO DE PROMOCIÓN DE LA ACTIVIDAD FÍSICA, LA RECREACIÓN Y EL DEPORTE</t>
        </is>
      </c>
      <c r="G436" t="inlineStr">
        <is>
          <t>2024548740026</t>
        </is>
      </c>
      <c r="H436" t="inlineStr">
        <is>
          <t>APOYO PARA EL FOMENTO A LA RECREACIÓN LA ACTIVIDAD FISICA Y EL DEPORTE  PARA DESARROLLAR ENTORNOS DE CONVIVENCIA Y PAZ EN EL MUNICIPIO DE VILLA DEL ROSARIO.VILLA DEL ROSARIO UNA CIUDAD POSIBLE</t>
        </is>
      </c>
      <c r="I436" t="inlineStr">
        <is>
          <t>00</t>
        </is>
      </c>
      <c r="J436" t="inlineStr">
        <is>
          <t>SIN PRODUCTO DANE</t>
        </is>
      </c>
      <c r="K436" t="inlineStr">
        <is>
          <t>00</t>
        </is>
      </c>
      <c r="L436" t="inlineStr">
        <is>
          <t>SIN ATRIBUTO</t>
        </is>
      </c>
      <c r="N436" t="inlineStr">
        <is>
          <t>2.3.4.02.04.05</t>
        </is>
      </c>
      <c r="O436" t="inlineStr">
        <is>
          <t>Transferencias corrientes-servicio de promoción de la actividad fisica,la recreación y el deporte</t>
        </is>
      </c>
      <c r="P436" t="inlineStr">
        <is>
          <t>1.3.2.3.01.02</t>
        </is>
      </c>
      <c r="Q436" t="inlineStr">
        <is>
          <t>R.F. DISTINTOS AL SGP - TASA PRO DEPORTES Y RECREACION</t>
        </is>
      </c>
      <c r="R436" t="n">
        <v>0</v>
      </c>
      <c r="S436" t="n">
        <v>38049</v>
      </c>
      <c r="T436" t="n">
        <v>0</v>
      </c>
      <c r="U436" t="n">
        <v>0</v>
      </c>
      <c r="V436" t="n">
        <v>0</v>
      </c>
      <c r="W436" t="n">
        <v>0</v>
      </c>
      <c r="X436" t="n">
        <v>0</v>
      </c>
      <c r="Y436" t="n">
        <v>38049</v>
      </c>
      <c r="Z436" t="n">
        <v>0</v>
      </c>
      <c r="AA436" t="n">
        <v>0</v>
      </c>
      <c r="AB436" t="n">
        <v>0</v>
      </c>
      <c r="AC436" t="n">
        <v>0</v>
      </c>
      <c r="AD436" t="n">
        <v>38049</v>
      </c>
      <c r="AE436" t="n">
        <v>0</v>
      </c>
    </row>
    <row r="437">
      <c r="A437" t="inlineStr">
        <is>
          <t>1 - ADMINISTRACIÓN CENTRAL</t>
        </is>
      </c>
      <c r="B437" t="inlineStr">
        <is>
          <t>43 - DEPORTE Y RECREACIÓN</t>
        </is>
      </c>
      <c r="C437" t="inlineStr">
        <is>
          <t>1604</t>
        </is>
      </c>
      <c r="D437" t="inlineStr">
        <is>
          <t>4301</t>
        </is>
      </c>
      <c r="E437" t="inlineStr">
        <is>
          <t>4301037</t>
        </is>
      </c>
      <c r="F437" t="inlineStr">
        <is>
          <t>SERVICIO DE PROMOCIÓN DE LA ACTIVIDAD FÍSICA, LA RECREACIÓN Y EL DEPORTE</t>
        </is>
      </c>
      <c r="G437" t="inlineStr">
        <is>
          <t>2024548740026</t>
        </is>
      </c>
      <c r="H437" t="inlineStr">
        <is>
          <t>APOYO PARA EL FOMENTO A LA RECREACIÓN LA ACTIVIDAD FISICA Y EL DEPORTE  PARA DESARROLLAR ENTORNOS DE CONVIVENCIA Y PAZ EN EL MUNICIPIO DE VILLA DEL ROSARIO.VILLA DEL ROSARIO UNA CIUDAD POSIBLE</t>
        </is>
      </c>
      <c r="I437" t="inlineStr">
        <is>
          <t>00</t>
        </is>
      </c>
      <c r="J437" t="inlineStr">
        <is>
          <t>SIN PRODUCTO DANE</t>
        </is>
      </c>
      <c r="K437" t="inlineStr">
        <is>
          <t>00</t>
        </is>
      </c>
      <c r="L437" t="inlineStr">
        <is>
          <t>SIN ATRIBUTO</t>
        </is>
      </c>
      <c r="N437" t="inlineStr">
        <is>
          <t>2.3.4.02.04.06</t>
        </is>
      </c>
      <c r="O437" t="inlineStr">
        <is>
          <t>Transferencias corrientes-servicio de promoción de la actividad fisica,la recreación y el deporte</t>
        </is>
      </c>
      <c r="P437" t="inlineStr">
        <is>
          <t>1.3.3.3.19</t>
        </is>
      </c>
      <c r="Q437" t="inlineStr">
        <is>
          <t>R.B. TASA PRO DEPORTE</t>
        </is>
      </c>
      <c r="R437" t="n">
        <v>0</v>
      </c>
      <c r="S437" t="n">
        <v>121230101</v>
      </c>
      <c r="T437" t="n">
        <v>0</v>
      </c>
      <c r="U437" t="n">
        <v>0</v>
      </c>
      <c r="V437" t="n">
        <v>0</v>
      </c>
      <c r="W437" t="n">
        <v>0</v>
      </c>
      <c r="X437" t="n">
        <v>0</v>
      </c>
      <c r="Y437" t="n">
        <v>121230101</v>
      </c>
      <c r="Z437" t="n">
        <v>0</v>
      </c>
      <c r="AA437" t="n">
        <v>0</v>
      </c>
      <c r="AB437" t="n">
        <v>0</v>
      </c>
      <c r="AC437" t="n">
        <v>0</v>
      </c>
      <c r="AD437" t="n">
        <v>121230101</v>
      </c>
      <c r="AE437" t="n">
        <v>0</v>
      </c>
    </row>
    <row r="438">
      <c r="A438" t="inlineStr">
        <is>
          <t>1 - ADMINISTRACIÓN CENTRAL</t>
        </is>
      </c>
      <c r="B438" t="inlineStr">
        <is>
          <t>43 - DEPORTE Y RECREACIÓN</t>
        </is>
      </c>
      <c r="C438" t="inlineStr">
        <is>
          <t>1604</t>
        </is>
      </c>
      <c r="D438" t="inlineStr">
        <is>
          <t>4301</t>
        </is>
      </c>
      <c r="E438" t="inlineStr">
        <is>
          <t>4301037</t>
        </is>
      </c>
      <c r="F438" t="inlineStr">
        <is>
          <t>SERVICIO DE PROMOCIÓN DE LA ACTIVIDAD FÍSICA, LA RECREACIÓN Y EL DEPORTE</t>
        </is>
      </c>
      <c r="G438" t="inlineStr">
        <is>
          <t>2024548740026</t>
        </is>
      </c>
      <c r="H438" t="inlineStr">
        <is>
          <t>APOYO PARA EL FOMENTO A LA RECREACIÓN LA ACTIVIDAD FISICA Y EL DEPORTE  PARA DESARROLLAR ENTORNOS DE CONVIVENCIA Y PAZ EN EL MUNICIPIO DE VILLA DEL ROSARIO.VILLA DEL ROSARIO UNA CIUDAD POSIBLE</t>
        </is>
      </c>
      <c r="I438" t="inlineStr">
        <is>
          <t>00</t>
        </is>
      </c>
      <c r="J438" t="inlineStr">
        <is>
          <t>SIN PRODUCTO DANE</t>
        </is>
      </c>
      <c r="K438" t="inlineStr">
        <is>
          <t>00</t>
        </is>
      </c>
      <c r="L438" t="inlineStr">
        <is>
          <t>SIN ATRIBUTO</t>
        </is>
      </c>
      <c r="N438" t="inlineStr">
        <is>
          <t>2.3.4.02.04.07</t>
        </is>
      </c>
      <c r="O438" t="inlineStr">
        <is>
          <t>Transferencias corrientes-servicio de promoción de la actividad fisica,la recreación y el deporte</t>
        </is>
      </c>
      <c r="P438" t="inlineStr">
        <is>
          <t>1.3.3.8.01</t>
        </is>
      </c>
      <c r="Q438" t="inlineStr">
        <is>
          <t>R.B. SGP - PROPOSITO GENERAL - DEPORTE Y RECREACIÓN</t>
        </is>
      </c>
      <c r="R438" t="n">
        <v>0</v>
      </c>
      <c r="S438" t="n">
        <v>121064648</v>
      </c>
      <c r="T438" t="n">
        <v>0</v>
      </c>
      <c r="U438" t="n">
        <v>0</v>
      </c>
      <c r="V438" t="n">
        <v>0</v>
      </c>
      <c r="W438" t="n">
        <v>0</v>
      </c>
      <c r="X438" t="n">
        <v>0</v>
      </c>
      <c r="Y438" t="n">
        <v>121064648</v>
      </c>
      <c r="Z438" t="n">
        <v>0</v>
      </c>
      <c r="AA438" t="n">
        <v>0</v>
      </c>
      <c r="AB438" t="n">
        <v>0</v>
      </c>
      <c r="AC438" t="n">
        <v>0</v>
      </c>
      <c r="AD438" t="n">
        <v>121064648</v>
      </c>
      <c r="AE438" t="n">
        <v>0</v>
      </c>
    </row>
    <row r="439">
      <c r="A439" t="inlineStr">
        <is>
          <t>1 - ADMINISTRACIÓN CENTRAL</t>
        </is>
      </c>
      <c r="B439" t="inlineStr">
        <is>
          <t>00 - SIN SECTOR</t>
        </is>
      </c>
      <c r="C439" t="inlineStr">
        <is>
          <t>00</t>
        </is>
      </c>
      <c r="D439" t="inlineStr">
        <is>
          <t>0000</t>
        </is>
      </c>
      <c r="E439" t="inlineStr">
        <is>
          <t>0000000</t>
        </is>
      </c>
      <c r="F439" t="inlineStr">
        <is>
          <t>SIN PRODUCTO</t>
        </is>
      </c>
      <c r="G439" t="inlineStr">
        <is>
          <t>00</t>
        </is>
      </c>
      <c r="H439" t="inlineStr">
        <is>
          <t>SIN CODIGO BPIN</t>
        </is>
      </c>
      <c r="I439" t="inlineStr">
        <is>
          <t>00</t>
        </is>
      </c>
      <c r="J439" t="inlineStr">
        <is>
          <t>SIN PRODUCTO DANE</t>
        </is>
      </c>
      <c r="K439" t="inlineStr">
        <is>
          <t>00</t>
        </is>
      </c>
      <c r="L439" t="inlineStr">
        <is>
          <t>SIN ATRIBUTO</t>
        </is>
      </c>
      <c r="N439" t="inlineStr">
        <is>
          <t>2.3.4.09</t>
        </is>
      </c>
      <c r="O439" t="inlineStr">
        <is>
          <t xml:space="preserve">Planes Departamentales Para El Manejo Empresarial De Los Servicios De Agua Y Saneamiento (Pda) </t>
        </is>
      </c>
      <c r="P439" t="inlineStr">
        <is>
          <t>00</t>
        </is>
      </c>
      <c r="Q439" t="inlineStr">
        <is>
          <t>RECURSO PROPIOS</t>
        </is>
      </c>
      <c r="R439" t="n">
        <v>984260075</v>
      </c>
      <c r="S439" t="n">
        <v>0</v>
      </c>
      <c r="T439" t="n">
        <v>0</v>
      </c>
      <c r="U439" t="n">
        <v>0</v>
      </c>
      <c r="V439" t="n">
        <v>0</v>
      </c>
      <c r="W439" t="n">
        <v>0</v>
      </c>
      <c r="X439" t="n">
        <v>0</v>
      </c>
      <c r="Y439" t="n">
        <v>984260075</v>
      </c>
      <c r="Z439" t="n">
        <v>538748623.65</v>
      </c>
      <c r="AA439" t="n">
        <v>538748623.65</v>
      </c>
      <c r="AB439" t="n">
        <v>0</v>
      </c>
      <c r="AC439" t="n">
        <v>0</v>
      </c>
      <c r="AD439" t="n">
        <v>445511451.35</v>
      </c>
      <c r="AE439" t="n">
        <v>54.74</v>
      </c>
    </row>
    <row r="440">
      <c r="A440" t="inlineStr">
        <is>
          <t>1 - ADMINISTRACIÓN CENTRAL</t>
        </is>
      </c>
      <c r="B440" t="inlineStr">
        <is>
          <t>40 - VIVIENDA, CIUDAD Y TERRITORIO</t>
        </is>
      </c>
      <c r="C440" t="inlineStr">
        <is>
          <t>1400</t>
        </is>
      </c>
      <c r="D440" t="inlineStr">
        <is>
          <t>4003</t>
        </is>
      </c>
      <c r="E440" t="inlineStr">
        <is>
          <t>4003008</t>
        </is>
      </c>
      <c r="F440" t="inlineStr">
        <is>
          <t>SERVICIO DE APOYO FINANCIERO A LOS PLANES, PROGRAMAS Y PROYECTOS DE AGUA POTABLE Y SANEAMIENTO BÁSICO</t>
        </is>
      </c>
      <c r="G440" t="inlineStr">
        <is>
          <t>2024548740021</t>
        </is>
      </c>
      <c r="H440" t="inlineStr">
        <is>
          <t>APOYO PARA EL ACCESO DE LA POBLACIÓN A LOS SERVICIOS DE AGUA POTABLE Y SANEAMIENTO BASICO EN EL MUNICIPIO DE VILLA DEL ROSARIO. VILLA DEL ROSARIO UNA CIUDAD POSIBLE</t>
        </is>
      </c>
      <c r="I440" t="inlineStr">
        <is>
          <t>00</t>
        </is>
      </c>
      <c r="J440" t="inlineStr">
        <is>
          <t>SIN PRODUCTO DANE</t>
        </is>
      </c>
      <c r="K440" t="inlineStr">
        <is>
          <t>00</t>
        </is>
      </c>
      <c r="L440" t="inlineStr">
        <is>
          <t>SIN ATRIBUTO</t>
        </is>
      </c>
      <c r="N440" t="inlineStr">
        <is>
          <t>2.3.4.09.40.01</t>
        </is>
      </c>
      <c r="O440" t="inlineStr">
        <is>
          <t>Planes departamentales para el manejo empresarial de los servicios de agua y saneamiento (PDA)</t>
        </is>
      </c>
      <c r="P440" t="inlineStr">
        <is>
          <t>1.2.4.6.00</t>
        </is>
      </c>
      <c r="Q440" t="inlineStr">
        <is>
          <t>SGP-AGUA POTABLE Y SANEAMIENTO BASICO</t>
        </is>
      </c>
      <c r="R440" t="n">
        <v>984260075</v>
      </c>
      <c r="S440" t="n">
        <v>0</v>
      </c>
      <c r="T440" t="n">
        <v>0</v>
      </c>
      <c r="U440" t="n">
        <v>0</v>
      </c>
      <c r="V440" t="n">
        <v>0</v>
      </c>
      <c r="W440" t="n">
        <v>0</v>
      </c>
      <c r="X440" t="n">
        <v>0</v>
      </c>
      <c r="Y440" t="n">
        <v>984260075</v>
      </c>
      <c r="Z440" t="n">
        <v>538748623.65</v>
      </c>
      <c r="AA440" t="n">
        <v>538748623.65</v>
      </c>
      <c r="AB440" t="n">
        <v>0</v>
      </c>
      <c r="AC440" t="n">
        <v>0</v>
      </c>
      <c r="AD440" t="n">
        <v>445511451.35</v>
      </c>
      <c r="AE440" t="n">
        <v>54.74</v>
      </c>
    </row>
    <row r="441">
      <c r="A441" t="inlineStr">
        <is>
          <t>1 - ADMINISTRACIÓN CENTRAL</t>
        </is>
      </c>
      <c r="B441" t="inlineStr">
        <is>
          <t>00 - SIN SECTOR</t>
        </is>
      </c>
      <c r="C441" t="inlineStr">
        <is>
          <t>00</t>
        </is>
      </c>
      <c r="D441" t="inlineStr">
        <is>
          <t>0000</t>
        </is>
      </c>
      <c r="E441" t="inlineStr">
        <is>
          <t>000000</t>
        </is>
      </c>
      <c r="F441" t="inlineStr">
        <is>
          <t>SIN PRODUCTO</t>
        </is>
      </c>
      <c r="G441" t="inlineStr">
        <is>
          <t>00</t>
        </is>
      </c>
      <c r="H441" t="inlineStr">
        <is>
          <t>SIN CODIGO BPIN</t>
        </is>
      </c>
      <c r="I441" t="inlineStr">
        <is>
          <t>00</t>
        </is>
      </c>
      <c r="J441" t="inlineStr">
        <is>
          <t>SIN PRODUCTO DANE</t>
        </is>
      </c>
      <c r="K441" t="inlineStr">
        <is>
          <t>00</t>
        </is>
      </c>
      <c r="L441" t="inlineStr">
        <is>
          <t>SIN ATRIBUTO</t>
        </is>
      </c>
      <c r="N441" t="inlineStr">
        <is>
          <t>2.3.7</t>
        </is>
      </c>
      <c r="O441" t="inlineStr">
        <is>
          <t>Disminución de pasivos</t>
        </is>
      </c>
      <c r="P441" t="inlineStr">
        <is>
          <t>00</t>
        </is>
      </c>
      <c r="Q441" t="inlineStr">
        <is>
          <t>RECURSO PROPIOS</t>
        </is>
      </c>
      <c r="R441" t="n">
        <v>0</v>
      </c>
      <c r="S441" t="n">
        <v>0</v>
      </c>
      <c r="T441" t="n">
        <v>0</v>
      </c>
      <c r="U441" t="n">
        <v>1000000000</v>
      </c>
      <c r="V441" t="n">
        <v>0</v>
      </c>
      <c r="W441" t="n">
        <v>0</v>
      </c>
      <c r="X441" t="n">
        <v>0</v>
      </c>
      <c r="Y441" t="n">
        <v>1000000000</v>
      </c>
      <c r="Z441" t="n">
        <v>0</v>
      </c>
      <c r="AA441" t="n">
        <v>0</v>
      </c>
      <c r="AB441" t="n">
        <v>0</v>
      </c>
      <c r="AC441" t="n">
        <v>0</v>
      </c>
      <c r="AD441" t="n">
        <v>1000000000</v>
      </c>
      <c r="AE441" t="n">
        <v>0</v>
      </c>
    </row>
    <row r="442">
      <c r="A442" t="inlineStr">
        <is>
          <t>1 - ADMINISTRACIÓN CENTRAL</t>
        </is>
      </c>
      <c r="B442" t="inlineStr">
        <is>
          <t>00 - SIN SECTOR</t>
        </is>
      </c>
      <c r="C442" t="inlineStr">
        <is>
          <t>00</t>
        </is>
      </c>
      <c r="D442" t="inlineStr">
        <is>
          <t>0000</t>
        </is>
      </c>
      <c r="E442" t="inlineStr">
        <is>
          <t>000000</t>
        </is>
      </c>
      <c r="F442" t="inlineStr">
        <is>
          <t>SIN PRODUCTO</t>
        </is>
      </c>
      <c r="G442" t="inlineStr">
        <is>
          <t>00</t>
        </is>
      </c>
      <c r="H442" t="inlineStr">
        <is>
          <t>SIN CODIGO BPIN</t>
        </is>
      </c>
      <c r="I442" t="inlineStr">
        <is>
          <t>00</t>
        </is>
      </c>
      <c r="J442" t="inlineStr">
        <is>
          <t>SIN PRODUCTO DANE</t>
        </is>
      </c>
      <c r="K442" t="inlineStr">
        <is>
          <t>00</t>
        </is>
      </c>
      <c r="L442" t="inlineStr">
        <is>
          <t>SIN ATRIBUTO</t>
        </is>
      </c>
      <c r="N442" t="inlineStr">
        <is>
          <t>2.3.7.06</t>
        </is>
      </c>
      <c r="O442" t="inlineStr">
        <is>
          <t>Financiación de déficit fiscal</t>
        </is>
      </c>
      <c r="P442" t="inlineStr">
        <is>
          <t>00</t>
        </is>
      </c>
      <c r="Q442" t="inlineStr">
        <is>
          <t>RECURSO PROPIOS</t>
        </is>
      </c>
      <c r="R442" t="n">
        <v>0</v>
      </c>
      <c r="S442" t="n">
        <v>0</v>
      </c>
      <c r="T442" t="n">
        <v>0</v>
      </c>
      <c r="U442" t="n">
        <v>1000000000</v>
      </c>
      <c r="V442" t="n">
        <v>0</v>
      </c>
      <c r="W442" t="n">
        <v>0</v>
      </c>
      <c r="X442" t="n">
        <v>0</v>
      </c>
      <c r="Y442" t="n">
        <v>1000000000</v>
      </c>
      <c r="Z442" t="n">
        <v>0</v>
      </c>
      <c r="AA442" t="n">
        <v>0</v>
      </c>
      <c r="AB442" t="n">
        <v>0</v>
      </c>
      <c r="AC442" t="n">
        <v>0</v>
      </c>
      <c r="AD442" t="n">
        <v>1000000000</v>
      </c>
      <c r="AE442" t="n">
        <v>0</v>
      </c>
    </row>
    <row r="443">
      <c r="A443" t="inlineStr">
        <is>
          <t>1 - ADMINISTRACIÓN CENTRAL</t>
        </is>
      </c>
      <c r="B443" t="inlineStr">
        <is>
          <t>00 - SIN SECTOR</t>
        </is>
      </c>
      <c r="C443" t="inlineStr">
        <is>
          <t>00</t>
        </is>
      </c>
      <c r="D443" t="inlineStr">
        <is>
          <t>0000</t>
        </is>
      </c>
      <c r="E443" t="inlineStr">
        <is>
          <t>000000</t>
        </is>
      </c>
      <c r="F443" t="inlineStr">
        <is>
          <t>SIN PRODUCTO</t>
        </is>
      </c>
      <c r="G443" t="inlineStr">
        <is>
          <t>00</t>
        </is>
      </c>
      <c r="H443" t="inlineStr">
        <is>
          <t>SIN CODIGO BPIN</t>
        </is>
      </c>
      <c r="I443" t="inlineStr">
        <is>
          <t>00</t>
        </is>
      </c>
      <c r="J443" t="inlineStr">
        <is>
          <t>SIN PRODUCTO DANE</t>
        </is>
      </c>
      <c r="K443" t="inlineStr">
        <is>
          <t>00</t>
        </is>
      </c>
      <c r="L443" t="inlineStr">
        <is>
          <t>SIN ATRIBUTO</t>
        </is>
      </c>
      <c r="N443" t="inlineStr">
        <is>
          <t>2.3.7.06.02</t>
        </is>
      </c>
      <c r="O443" t="inlineStr">
        <is>
          <t>Adquisición de bienes y servicios</t>
        </is>
      </c>
      <c r="P443" t="inlineStr">
        <is>
          <t>00</t>
        </is>
      </c>
      <c r="Q443" t="inlineStr">
        <is>
          <t>RECURSO PROPIOS</t>
        </is>
      </c>
      <c r="R443" t="n">
        <v>0</v>
      </c>
      <c r="S443" t="n">
        <v>0</v>
      </c>
      <c r="T443" t="n">
        <v>0</v>
      </c>
      <c r="U443" t="n">
        <v>1000000000</v>
      </c>
      <c r="V443" t="n">
        <v>0</v>
      </c>
      <c r="W443" t="n">
        <v>0</v>
      </c>
      <c r="X443" t="n">
        <v>0</v>
      </c>
      <c r="Y443" t="n">
        <v>1000000000</v>
      </c>
      <c r="Z443" t="n">
        <v>0</v>
      </c>
      <c r="AA443" t="n">
        <v>0</v>
      </c>
      <c r="AB443" t="n">
        <v>0</v>
      </c>
      <c r="AC443" t="n">
        <v>0</v>
      </c>
      <c r="AD443" t="n">
        <v>1000000000</v>
      </c>
      <c r="AE443" t="n">
        <v>0</v>
      </c>
    </row>
    <row r="444">
      <c r="A444" t="inlineStr">
        <is>
          <t>1 - ADMINISTRACIÓN CENTRAL</t>
        </is>
      </c>
      <c r="B444" t="inlineStr">
        <is>
          <t>45 - GOBIERNO TERRITORIAL</t>
        </is>
      </c>
      <c r="C444" t="inlineStr">
        <is>
          <t>1000</t>
        </is>
      </c>
      <c r="D444" t="inlineStr">
        <is>
          <t>4599</t>
        </is>
      </c>
      <c r="E444" t="inlineStr">
        <is>
          <t>4599031</t>
        </is>
      </c>
      <c r="F444" t="inlineStr">
        <is>
          <t>SERVICIO DE ASISTENCIA TÉCNICA</t>
        </is>
      </c>
      <c r="G444" t="inlineStr">
        <is>
          <t>2024548740017</t>
        </is>
      </c>
      <c r="H444" t="inlineStr">
        <is>
          <t>FORTALECIMIENTO A LA GESTION Y DIRECCION DE LA ADMINISTRACION PUBLICA TERRITORIAL EN EL MUNICIPIO DE VILLA DEL ROSARIO</t>
        </is>
      </c>
      <c r="I444" t="inlineStr">
        <is>
          <t>00</t>
        </is>
      </c>
      <c r="J444" t="inlineStr">
        <is>
          <t>SIN PRODUCTO DANE</t>
        </is>
      </c>
      <c r="K444" t="inlineStr">
        <is>
          <t>00</t>
        </is>
      </c>
      <c r="L444" t="inlineStr">
        <is>
          <t>SIN ATRIBUTO</t>
        </is>
      </c>
      <c r="N444" t="inlineStr">
        <is>
          <t>2.3.7.06.02.01</t>
        </is>
      </c>
      <c r="O444" t="inlineStr">
        <is>
          <t>Deficit fiscal Adquisición de bienes y servicios</t>
        </is>
      </c>
      <c r="P444" t="inlineStr">
        <is>
          <t>1.2.1.0.00</t>
        </is>
      </c>
      <c r="Q444" t="inlineStr">
        <is>
          <t>INGRESOS CORRIENTES DE LIBRE DESTINACION</t>
        </is>
      </c>
      <c r="R444" t="n">
        <v>0</v>
      </c>
      <c r="S444" t="n">
        <v>0</v>
      </c>
      <c r="T444" t="n">
        <v>0</v>
      </c>
      <c r="U444" t="n">
        <v>1000000000</v>
      </c>
      <c r="V444" t="n">
        <v>0</v>
      </c>
      <c r="W444" t="n">
        <v>0</v>
      </c>
      <c r="X444" t="n">
        <v>0</v>
      </c>
      <c r="Y444" t="n">
        <v>1000000000</v>
      </c>
      <c r="Z444" t="n">
        <v>0</v>
      </c>
      <c r="AA444" t="n">
        <v>0</v>
      </c>
      <c r="AB444" t="n">
        <v>0</v>
      </c>
      <c r="AC444" t="n">
        <v>0</v>
      </c>
      <c r="AD444" t="n">
        <v>1000000000</v>
      </c>
      <c r="AE444" t="n">
        <v>0</v>
      </c>
    </row>
    <row r="445">
      <c r="A445" t="inlineStr">
        <is>
          <t>8 - SECRETARÍA DE SALUD</t>
        </is>
      </c>
      <c r="B445" t="inlineStr">
        <is>
          <t>00 - SIN SECTOR</t>
        </is>
      </c>
      <c r="C445" t="inlineStr">
        <is>
          <t>00</t>
        </is>
      </c>
      <c r="D445" t="inlineStr">
        <is>
          <t>0000</t>
        </is>
      </c>
      <c r="E445" t="inlineStr">
        <is>
          <t>0000000</t>
        </is>
      </c>
      <c r="F445" t="inlineStr">
        <is>
          <t>SIN PRODUCTO</t>
        </is>
      </c>
      <c r="G445" t="inlineStr">
        <is>
          <t>00</t>
        </is>
      </c>
      <c r="H445" t="inlineStr">
        <is>
          <t>SIN CODIGO BPIN</t>
        </is>
      </c>
      <c r="I445" t="inlineStr">
        <is>
          <t>00</t>
        </is>
      </c>
      <c r="J445" t="inlineStr">
        <is>
          <t>SIN PRODUCTO DANE</t>
        </is>
      </c>
      <c r="K445" t="inlineStr">
        <is>
          <t>00</t>
        </is>
      </c>
      <c r="L445" t="inlineStr">
        <is>
          <t>SIN ATRIBUTO</t>
        </is>
      </c>
      <c r="N445" t="inlineStr">
        <is>
          <t>2</t>
        </is>
      </c>
      <c r="O445" t="inlineStr">
        <is>
          <t>Gastos del Fondo Local de Salud</t>
        </is>
      </c>
      <c r="P445" t="inlineStr">
        <is>
          <t>00</t>
        </is>
      </c>
      <c r="Q445" t="inlineStr">
        <is>
          <t>RECURSO PROPIOS</t>
        </is>
      </c>
      <c r="R445" t="n">
        <v>229906291761</v>
      </c>
      <c r="S445" t="n">
        <v>13555337535.31</v>
      </c>
      <c r="T445" t="n">
        <v>0</v>
      </c>
      <c r="U445" t="n">
        <v>1332208510.67</v>
      </c>
      <c r="V445" t="n">
        <v>1328608510.67</v>
      </c>
      <c r="W445" t="n">
        <v>0</v>
      </c>
      <c r="X445" t="n">
        <v>0</v>
      </c>
      <c r="Y445" t="n">
        <v>243465229296.31</v>
      </c>
      <c r="Z445" t="n">
        <v>229234342036.1</v>
      </c>
      <c r="AA445" t="n">
        <v>110081437467.3</v>
      </c>
      <c r="AB445" t="n">
        <v>108352136286.3</v>
      </c>
      <c r="AC445" t="n">
        <v>108335622923.3</v>
      </c>
      <c r="AD445" t="n">
        <v>133383791829.01</v>
      </c>
      <c r="AE445" t="n">
        <v>45.21</v>
      </c>
    </row>
    <row r="446">
      <c r="A446" t="inlineStr">
        <is>
          <t>8 - SECRETARÍA DE SALUD</t>
        </is>
      </c>
      <c r="B446" t="inlineStr">
        <is>
          <t>00 - SIN SECTOR</t>
        </is>
      </c>
      <c r="C446" t="inlineStr">
        <is>
          <t>00</t>
        </is>
      </c>
      <c r="D446" t="inlineStr">
        <is>
          <t>0000</t>
        </is>
      </c>
      <c r="E446" t="inlineStr">
        <is>
          <t>0000000</t>
        </is>
      </c>
      <c r="F446" t="inlineStr">
        <is>
          <t>SIN PRODUCTO</t>
        </is>
      </c>
      <c r="G446" t="inlineStr">
        <is>
          <t>00</t>
        </is>
      </c>
      <c r="H446" t="inlineStr">
        <is>
          <t>SIN CODIGO BPIN</t>
        </is>
      </c>
      <c r="I446" t="inlineStr">
        <is>
          <t>00</t>
        </is>
      </c>
      <c r="J446" t="inlineStr">
        <is>
          <t>SIN PRODUCTO DANE</t>
        </is>
      </c>
      <c r="K446" t="inlineStr">
        <is>
          <t>00</t>
        </is>
      </c>
      <c r="L446" t="inlineStr">
        <is>
          <t>SIN ATRIBUTO</t>
        </is>
      </c>
      <c r="N446" t="inlineStr">
        <is>
          <t>2.1</t>
        </is>
      </c>
      <c r="O446" t="inlineStr">
        <is>
          <t>Funcionamiento</t>
        </is>
      </c>
      <c r="P446" t="inlineStr">
        <is>
          <t>00</t>
        </is>
      </c>
      <c r="Q446" t="inlineStr">
        <is>
          <t>RECURSO PROPIOS</t>
        </is>
      </c>
      <c r="R446" t="n">
        <v>400513560</v>
      </c>
      <c r="S446" t="n">
        <v>0</v>
      </c>
      <c r="T446" t="n">
        <v>0</v>
      </c>
      <c r="U446" t="n">
        <v>3600000</v>
      </c>
      <c r="V446" t="n">
        <v>0</v>
      </c>
      <c r="W446" t="n">
        <v>0</v>
      </c>
      <c r="X446" t="n">
        <v>0</v>
      </c>
      <c r="Y446" t="n">
        <v>404113560</v>
      </c>
      <c r="Z446" t="n">
        <v>137780565</v>
      </c>
      <c r="AA446" t="n">
        <v>137780565</v>
      </c>
      <c r="AB446" t="n">
        <v>134742986</v>
      </c>
      <c r="AC446" t="n">
        <v>132529623</v>
      </c>
      <c r="AD446" t="n">
        <v>266332995</v>
      </c>
      <c r="AE446" t="n">
        <v>34.09</v>
      </c>
    </row>
    <row r="447">
      <c r="A447" t="inlineStr">
        <is>
          <t>8 - SECRETARÍA DE SALUD</t>
        </is>
      </c>
      <c r="B447" t="inlineStr">
        <is>
          <t>00 - SIN SECTOR</t>
        </is>
      </c>
      <c r="C447" t="inlineStr">
        <is>
          <t>00</t>
        </is>
      </c>
      <c r="D447" t="inlineStr">
        <is>
          <t>0000</t>
        </is>
      </c>
      <c r="E447" t="inlineStr">
        <is>
          <t>0000000</t>
        </is>
      </c>
      <c r="F447" t="inlineStr">
        <is>
          <t>SIN PRODUCTO</t>
        </is>
      </c>
      <c r="G447" t="inlineStr">
        <is>
          <t>00</t>
        </is>
      </c>
      <c r="H447" t="inlineStr">
        <is>
          <t>SIN CODIGO BPIN</t>
        </is>
      </c>
      <c r="I447" t="inlineStr">
        <is>
          <t>00</t>
        </is>
      </c>
      <c r="J447" t="inlineStr">
        <is>
          <t>SIN PRODUCTO DANE</t>
        </is>
      </c>
      <c r="K447" t="inlineStr">
        <is>
          <t>00</t>
        </is>
      </c>
      <c r="L447" t="inlineStr">
        <is>
          <t>SIN ATRIBUTO</t>
        </is>
      </c>
      <c r="N447" t="inlineStr">
        <is>
          <t>2.1.1</t>
        </is>
      </c>
      <c r="O447" t="inlineStr">
        <is>
          <t>Gastos de personal</t>
        </is>
      </c>
      <c r="P447" t="inlineStr">
        <is>
          <t>00</t>
        </is>
      </c>
      <c r="Q447" t="inlineStr">
        <is>
          <t>RECURSO PROPIOS</t>
        </is>
      </c>
      <c r="R447" t="n">
        <v>385513560</v>
      </c>
      <c r="S447" t="n">
        <v>0</v>
      </c>
      <c r="T447" t="n">
        <v>0</v>
      </c>
      <c r="U447" t="n">
        <v>3600000</v>
      </c>
      <c r="V447" t="n">
        <v>0</v>
      </c>
      <c r="W447" t="n">
        <v>0</v>
      </c>
      <c r="X447" t="n">
        <v>0</v>
      </c>
      <c r="Y447" t="n">
        <v>389113560</v>
      </c>
      <c r="Z447" t="n">
        <v>137780565</v>
      </c>
      <c r="AA447" t="n">
        <v>137780565</v>
      </c>
      <c r="AB447" t="n">
        <v>134742986</v>
      </c>
      <c r="AC447" t="n">
        <v>132529623</v>
      </c>
      <c r="AD447" t="n">
        <v>251332995</v>
      </c>
      <c r="AE447" t="n">
        <v>35.41</v>
      </c>
    </row>
    <row r="448">
      <c r="A448" t="inlineStr">
        <is>
          <t>8 - SECRETARÍA DE SALUD</t>
        </is>
      </c>
      <c r="B448" t="inlineStr">
        <is>
          <t>00 - SIN SECTOR</t>
        </is>
      </c>
      <c r="C448" t="inlineStr">
        <is>
          <t>00</t>
        </is>
      </c>
      <c r="D448" t="inlineStr">
        <is>
          <t>0000</t>
        </is>
      </c>
      <c r="E448" t="inlineStr">
        <is>
          <t>0000000</t>
        </is>
      </c>
      <c r="F448" t="inlineStr">
        <is>
          <t>SIN PRODUCTO</t>
        </is>
      </c>
      <c r="G448" t="inlineStr">
        <is>
          <t>00</t>
        </is>
      </c>
      <c r="H448" t="inlineStr">
        <is>
          <t>SIN CODIGO BPIN</t>
        </is>
      </c>
      <c r="I448" t="inlineStr">
        <is>
          <t>00</t>
        </is>
      </c>
      <c r="J448" t="inlineStr">
        <is>
          <t>SIN PRODUCTO DANE</t>
        </is>
      </c>
      <c r="K448" t="inlineStr">
        <is>
          <t>00</t>
        </is>
      </c>
      <c r="L448" t="inlineStr">
        <is>
          <t>SIN ATRIBUTO</t>
        </is>
      </c>
      <c r="N448" t="inlineStr">
        <is>
          <t>2.1.1.01</t>
        </is>
      </c>
      <c r="O448" t="inlineStr">
        <is>
          <t>Planta de personal permanente</t>
        </is>
      </c>
      <c r="P448" t="inlineStr">
        <is>
          <t>00</t>
        </is>
      </c>
      <c r="Q448" t="inlineStr">
        <is>
          <t>RECURSO PROPIOS</t>
        </is>
      </c>
      <c r="R448" t="n">
        <v>385513560</v>
      </c>
      <c r="S448" t="n">
        <v>0</v>
      </c>
      <c r="T448" t="n">
        <v>0</v>
      </c>
      <c r="U448" t="n">
        <v>3600000</v>
      </c>
      <c r="V448" t="n">
        <v>0</v>
      </c>
      <c r="W448" t="n">
        <v>0</v>
      </c>
      <c r="X448" t="n">
        <v>0</v>
      </c>
      <c r="Y448" t="n">
        <v>389113560</v>
      </c>
      <c r="Z448" t="n">
        <v>137780565</v>
      </c>
      <c r="AA448" t="n">
        <v>137780565</v>
      </c>
      <c r="AB448" t="n">
        <v>134742986</v>
      </c>
      <c r="AC448" t="n">
        <v>132529623</v>
      </c>
      <c r="AD448" t="n">
        <v>251332995</v>
      </c>
      <c r="AE448" t="n">
        <v>35.41</v>
      </c>
    </row>
    <row r="449">
      <c r="A449" t="inlineStr">
        <is>
          <t>8 - SECRETARÍA DE SALUD</t>
        </is>
      </c>
      <c r="B449" t="inlineStr">
        <is>
          <t>00 - SIN SECTOR</t>
        </is>
      </c>
      <c r="C449" t="inlineStr">
        <is>
          <t>00</t>
        </is>
      </c>
      <c r="D449" t="inlineStr">
        <is>
          <t>0000</t>
        </is>
      </c>
      <c r="E449" t="inlineStr">
        <is>
          <t>0000000</t>
        </is>
      </c>
      <c r="F449" t="inlineStr">
        <is>
          <t>SIN PRODUCTO</t>
        </is>
      </c>
      <c r="G449" t="inlineStr">
        <is>
          <t>00</t>
        </is>
      </c>
      <c r="H449" t="inlineStr">
        <is>
          <t>SIN CODIGO BPIN</t>
        </is>
      </c>
      <c r="I449" t="inlineStr">
        <is>
          <t>00</t>
        </is>
      </c>
      <c r="J449" t="inlineStr">
        <is>
          <t>SIN PRODUCTO DANE</t>
        </is>
      </c>
      <c r="K449" t="inlineStr">
        <is>
          <t>00</t>
        </is>
      </c>
      <c r="L449" t="inlineStr">
        <is>
          <t>SIN ATRIBUTO</t>
        </is>
      </c>
      <c r="N449" t="inlineStr">
        <is>
          <t>2.1.1.01.01</t>
        </is>
      </c>
      <c r="O449" t="inlineStr">
        <is>
          <t>Factores constitutivos de salario</t>
        </is>
      </c>
      <c r="P449" t="inlineStr">
        <is>
          <t>00</t>
        </is>
      </c>
      <c r="Q449" t="inlineStr">
        <is>
          <t>RECURSO PROPIOS</t>
        </is>
      </c>
      <c r="R449" t="n">
        <v>268711017</v>
      </c>
      <c r="S449" t="n">
        <v>0</v>
      </c>
      <c r="T449" t="n">
        <v>0</v>
      </c>
      <c r="U449" t="n">
        <v>3600000</v>
      </c>
      <c r="V449" t="n">
        <v>0</v>
      </c>
      <c r="W449" t="n">
        <v>0</v>
      </c>
      <c r="X449" t="n">
        <v>0</v>
      </c>
      <c r="Y449" t="n">
        <v>272311017</v>
      </c>
      <c r="Z449" t="n">
        <v>103264031</v>
      </c>
      <c r="AA449" t="n">
        <v>103264031</v>
      </c>
      <c r="AB449" t="n">
        <v>103264031</v>
      </c>
      <c r="AC449" t="n">
        <v>101283001</v>
      </c>
      <c r="AD449" t="n">
        <v>169046986</v>
      </c>
      <c r="AE449" t="n">
        <v>37.92</v>
      </c>
    </row>
    <row r="450">
      <c r="A450" t="inlineStr">
        <is>
          <t>8 - SECRETARÍA DE SALUD</t>
        </is>
      </c>
      <c r="B450" t="inlineStr">
        <is>
          <t>00 - SIN SECTOR</t>
        </is>
      </c>
      <c r="C450" t="inlineStr">
        <is>
          <t>00</t>
        </is>
      </c>
      <c r="D450" t="inlineStr">
        <is>
          <t>0000</t>
        </is>
      </c>
      <c r="E450" t="inlineStr">
        <is>
          <t>0000000</t>
        </is>
      </c>
      <c r="F450" t="inlineStr">
        <is>
          <t>SIN PRODUCTO</t>
        </is>
      </c>
      <c r="G450" t="inlineStr">
        <is>
          <t>00</t>
        </is>
      </c>
      <c r="H450" t="inlineStr">
        <is>
          <t>SIN CODIGO BPIN</t>
        </is>
      </c>
      <c r="I450" t="inlineStr">
        <is>
          <t>00</t>
        </is>
      </c>
      <c r="J450" t="inlineStr">
        <is>
          <t>SIN PRODUCTO DANE</t>
        </is>
      </c>
      <c r="K450" t="inlineStr">
        <is>
          <t>00</t>
        </is>
      </c>
      <c r="L450" t="inlineStr">
        <is>
          <t>SIN ATRIBUTO</t>
        </is>
      </c>
      <c r="N450" t="inlineStr">
        <is>
          <t>2.1.1.01.01.001</t>
        </is>
      </c>
      <c r="O450" t="inlineStr">
        <is>
          <t>Factores salariales comunes</t>
        </is>
      </c>
      <c r="P450" t="inlineStr">
        <is>
          <t>00</t>
        </is>
      </c>
      <c r="Q450" t="inlineStr">
        <is>
          <t>RECURSO PROPIOS</t>
        </is>
      </c>
      <c r="R450" t="n">
        <v>268711017</v>
      </c>
      <c r="S450" t="n">
        <v>0</v>
      </c>
      <c r="T450" t="n">
        <v>0</v>
      </c>
      <c r="U450" t="n">
        <v>3600000</v>
      </c>
      <c r="V450" t="n">
        <v>0</v>
      </c>
      <c r="W450" t="n">
        <v>0</v>
      </c>
      <c r="X450" t="n">
        <v>0</v>
      </c>
      <c r="Y450" t="n">
        <v>272311017</v>
      </c>
      <c r="Z450" t="n">
        <v>103264031</v>
      </c>
      <c r="AA450" t="n">
        <v>103264031</v>
      </c>
      <c r="AB450" t="n">
        <v>103264031</v>
      </c>
      <c r="AC450" t="n">
        <v>101283001</v>
      </c>
      <c r="AD450" t="n">
        <v>169046986</v>
      </c>
      <c r="AE450" t="n">
        <v>37.92</v>
      </c>
    </row>
    <row r="451">
      <c r="A451" t="inlineStr">
        <is>
          <t>8 - SECRETARÍA DE SALUD</t>
        </is>
      </c>
      <c r="B451" t="inlineStr">
        <is>
          <t>00 - SIN SECTOR</t>
        </is>
      </c>
      <c r="C451" t="inlineStr">
        <is>
          <t>00</t>
        </is>
      </c>
      <c r="D451" t="inlineStr">
        <is>
          <t>0000</t>
        </is>
      </c>
      <c r="E451" t="inlineStr">
        <is>
          <t>0000000</t>
        </is>
      </c>
      <c r="F451" t="inlineStr">
        <is>
          <t>SIN PRODUCTO</t>
        </is>
      </c>
      <c r="G451" t="inlineStr">
        <is>
          <t>00</t>
        </is>
      </c>
      <c r="H451" t="inlineStr">
        <is>
          <t>SIN CODIGO BPIN</t>
        </is>
      </c>
      <c r="I451" t="inlineStr">
        <is>
          <t>00</t>
        </is>
      </c>
      <c r="J451" t="inlineStr">
        <is>
          <t>SIN PRODUCTO DANE</t>
        </is>
      </c>
      <c r="K451" t="inlineStr">
        <is>
          <t>00</t>
        </is>
      </c>
      <c r="L451" t="inlineStr">
        <is>
          <t>SIN ATRIBUTO</t>
        </is>
      </c>
      <c r="N451" t="inlineStr">
        <is>
          <t>2.1.1.01.01.001.01</t>
        </is>
      </c>
      <c r="O451" t="inlineStr">
        <is>
          <t>Sueldo basico</t>
        </is>
      </c>
      <c r="P451" t="inlineStr">
        <is>
          <t>1.2.1.0.00</t>
        </is>
      </c>
      <c r="Q451" t="inlineStr">
        <is>
          <t>INGRESOS CORRIENTES DE LIBRE DESTINACION</t>
        </is>
      </c>
      <c r="R451" t="n">
        <v>218400000</v>
      </c>
      <c r="S451" t="n">
        <v>0</v>
      </c>
      <c r="T451" t="n">
        <v>0</v>
      </c>
      <c r="U451" t="n">
        <v>0</v>
      </c>
      <c r="V451" t="n">
        <v>0</v>
      </c>
      <c r="W451" t="n">
        <v>0</v>
      </c>
      <c r="X451" t="n">
        <v>0</v>
      </c>
      <c r="Y451" t="n">
        <v>218400000</v>
      </c>
      <c r="Z451" t="n">
        <v>91000000</v>
      </c>
      <c r="AA451" t="n">
        <v>91000000</v>
      </c>
      <c r="AB451" t="n">
        <v>91000000</v>
      </c>
      <c r="AC451" t="n">
        <v>91000000</v>
      </c>
      <c r="AD451" t="n">
        <v>127400000</v>
      </c>
      <c r="AE451" t="n">
        <v>41.67</v>
      </c>
    </row>
    <row r="452">
      <c r="A452" t="inlineStr">
        <is>
          <t>8 - SECRETARÍA DE SALUD</t>
        </is>
      </c>
      <c r="B452" t="inlineStr">
        <is>
          <t>00 - SIN SECTOR</t>
        </is>
      </c>
      <c r="C452" t="inlineStr">
        <is>
          <t>00</t>
        </is>
      </c>
      <c r="D452" t="inlineStr">
        <is>
          <t>0000</t>
        </is>
      </c>
      <c r="E452" t="inlineStr">
        <is>
          <t>0000000</t>
        </is>
      </c>
      <c r="F452" t="inlineStr">
        <is>
          <t>SIN PRODUCTO</t>
        </is>
      </c>
      <c r="G452" t="inlineStr">
        <is>
          <t>00</t>
        </is>
      </c>
      <c r="H452" t="inlineStr">
        <is>
          <t>SIN CODIGO BPIN</t>
        </is>
      </c>
      <c r="I452" t="inlineStr">
        <is>
          <t>00</t>
        </is>
      </c>
      <c r="J452" t="inlineStr">
        <is>
          <t>SIN PRODUCTO DANE</t>
        </is>
      </c>
      <c r="K452" t="inlineStr">
        <is>
          <t>00</t>
        </is>
      </c>
      <c r="L452" t="inlineStr">
        <is>
          <t>SIN ATRIBUTO</t>
        </is>
      </c>
      <c r="N452" t="inlineStr">
        <is>
          <t>2.1.1.01.01.001.04</t>
        </is>
      </c>
      <c r="O452" t="inlineStr">
        <is>
          <t>Subsidio de alimentacion</t>
        </is>
      </c>
      <c r="P452" t="inlineStr">
        <is>
          <t>1.2.1.0.00</t>
        </is>
      </c>
      <c r="Q452" t="inlineStr">
        <is>
          <t>INGRESOS CORRIENTES DE LIBRE DESTINACION</t>
        </is>
      </c>
      <c r="R452" t="n">
        <v>1109496</v>
      </c>
      <c r="S452" t="n">
        <v>0</v>
      </c>
      <c r="T452" t="n">
        <v>0</v>
      </c>
      <c r="U452" t="n">
        <v>0</v>
      </c>
      <c r="V452" t="n">
        <v>0</v>
      </c>
      <c r="W452" t="n">
        <v>0</v>
      </c>
      <c r="X452" t="n">
        <v>0</v>
      </c>
      <c r="Y452" t="n">
        <v>1109496</v>
      </c>
      <c r="Z452" t="n">
        <v>529285</v>
      </c>
      <c r="AA452" t="n">
        <v>529285</v>
      </c>
      <c r="AB452" t="n">
        <v>529285</v>
      </c>
      <c r="AC452" t="n">
        <v>529285</v>
      </c>
      <c r="AD452" t="n">
        <v>580211</v>
      </c>
      <c r="AE452" t="n">
        <v>47.7</v>
      </c>
    </row>
    <row r="453">
      <c r="A453" t="inlineStr">
        <is>
          <t>8 - SECRETARÍA DE SALUD</t>
        </is>
      </c>
      <c r="B453" t="inlineStr">
        <is>
          <t>00 - SIN SECTOR</t>
        </is>
      </c>
      <c r="C453" t="inlineStr">
        <is>
          <t>00</t>
        </is>
      </c>
      <c r="D453" t="inlineStr">
        <is>
          <t>0000</t>
        </is>
      </c>
      <c r="E453" t="inlineStr">
        <is>
          <t>0000000</t>
        </is>
      </c>
      <c r="F453" t="inlineStr">
        <is>
          <t>SIN PRODUCTO</t>
        </is>
      </c>
      <c r="G453" t="inlineStr">
        <is>
          <t>00</t>
        </is>
      </c>
      <c r="H453" t="inlineStr">
        <is>
          <t>SIN CODIGO BPIN</t>
        </is>
      </c>
      <c r="I453" t="inlineStr">
        <is>
          <t>00</t>
        </is>
      </c>
      <c r="J453" t="inlineStr">
        <is>
          <t>SIN PRODUCTO DANE</t>
        </is>
      </c>
      <c r="K453" t="inlineStr">
        <is>
          <t>00</t>
        </is>
      </c>
      <c r="L453" t="inlineStr">
        <is>
          <t>SIN ATRIBUTO</t>
        </is>
      </c>
      <c r="N453" t="inlineStr">
        <is>
          <t>2.1.1.01.01.001.05</t>
        </is>
      </c>
      <c r="O453" t="inlineStr">
        <is>
          <t>Auxilio de transporte</t>
        </is>
      </c>
      <c r="P453" t="inlineStr">
        <is>
          <t>1.2.1.0.00</t>
        </is>
      </c>
      <c r="Q453" t="inlineStr">
        <is>
          <t>INGRESOS CORRIENTES DE LIBRE DESTINACION</t>
        </is>
      </c>
      <c r="R453" t="n">
        <v>2400000</v>
      </c>
      <c r="S453" t="n">
        <v>0</v>
      </c>
      <c r="T453" t="n">
        <v>0</v>
      </c>
      <c r="U453" t="n">
        <v>3600000</v>
      </c>
      <c r="V453" t="n">
        <v>0</v>
      </c>
      <c r="W453" t="n">
        <v>0</v>
      </c>
      <c r="X453" t="n">
        <v>0</v>
      </c>
      <c r="Y453" t="n">
        <v>6000000</v>
      </c>
      <c r="Z453" t="n">
        <v>2490950</v>
      </c>
      <c r="AA453" t="n">
        <v>2490950</v>
      </c>
      <c r="AB453" t="n">
        <v>2490950</v>
      </c>
      <c r="AC453" t="n">
        <v>2490950</v>
      </c>
      <c r="AD453" t="n">
        <v>3509050</v>
      </c>
      <c r="AE453" t="n">
        <v>41.52</v>
      </c>
    </row>
    <row r="454">
      <c r="A454" t="inlineStr">
        <is>
          <t>8 - SECRETARÍA DE SALUD</t>
        </is>
      </c>
      <c r="B454" t="inlineStr">
        <is>
          <t>00 - SIN SECTOR</t>
        </is>
      </c>
      <c r="C454" t="inlineStr">
        <is>
          <t>00</t>
        </is>
      </c>
      <c r="D454" t="inlineStr">
        <is>
          <t>0000</t>
        </is>
      </c>
      <c r="E454" t="inlineStr">
        <is>
          <t>0000000</t>
        </is>
      </c>
      <c r="F454" t="inlineStr">
        <is>
          <t>SIN PRODUCTO</t>
        </is>
      </c>
      <c r="G454" t="inlineStr">
        <is>
          <t>00</t>
        </is>
      </c>
      <c r="H454" t="inlineStr">
        <is>
          <t>SIN CODIGO BPIN</t>
        </is>
      </c>
      <c r="I454" t="inlineStr">
        <is>
          <t>00</t>
        </is>
      </c>
      <c r="J454" t="inlineStr">
        <is>
          <t>SIN PRODUCTO DANE</t>
        </is>
      </c>
      <c r="K454" t="inlineStr">
        <is>
          <t>00</t>
        </is>
      </c>
      <c r="L454" t="inlineStr">
        <is>
          <t>SIN ATRIBUTO</t>
        </is>
      </c>
      <c r="N454" t="inlineStr">
        <is>
          <t>2.1.1.01.01.001.06</t>
        </is>
      </c>
      <c r="O454" t="inlineStr">
        <is>
          <t>Prima de servicio</t>
        </is>
      </c>
      <c r="P454" t="inlineStr">
        <is>
          <t>1.2.1.0.00</t>
        </is>
      </c>
      <c r="Q454" t="inlineStr">
        <is>
          <t>INGRESOS CORRIENTES DE LIBRE DESTINACION</t>
        </is>
      </c>
      <c r="R454" t="n">
        <v>9907964</v>
      </c>
      <c r="S454" t="n">
        <v>0</v>
      </c>
      <c r="T454" t="n">
        <v>0</v>
      </c>
      <c r="U454" t="n">
        <v>0</v>
      </c>
      <c r="V454" t="n">
        <v>0</v>
      </c>
      <c r="W454" t="n">
        <v>0</v>
      </c>
      <c r="X454" t="n">
        <v>0</v>
      </c>
      <c r="Y454" t="n">
        <v>9907964</v>
      </c>
      <c r="Z454" t="n">
        <v>0</v>
      </c>
      <c r="AA454" t="n">
        <v>0</v>
      </c>
      <c r="AB454" t="n">
        <v>0</v>
      </c>
      <c r="AC454" t="n">
        <v>0</v>
      </c>
      <c r="AD454" t="n">
        <v>9907964</v>
      </c>
      <c r="AE454" t="n">
        <v>0</v>
      </c>
    </row>
    <row r="455">
      <c r="A455" t="inlineStr">
        <is>
          <t>8 - SECRETARÍA DE SALUD</t>
        </is>
      </c>
      <c r="B455" t="inlineStr">
        <is>
          <t>00 - SIN SECTOR</t>
        </is>
      </c>
      <c r="C455" t="inlineStr">
        <is>
          <t>00</t>
        </is>
      </c>
      <c r="D455" t="inlineStr">
        <is>
          <t>0000</t>
        </is>
      </c>
      <c r="E455" t="inlineStr">
        <is>
          <t>0000000</t>
        </is>
      </c>
      <c r="F455" t="inlineStr">
        <is>
          <t>SIN PRODUCTO</t>
        </is>
      </c>
      <c r="G455" t="inlineStr">
        <is>
          <t>00</t>
        </is>
      </c>
      <c r="H455" t="inlineStr">
        <is>
          <t>SIN CODIGO BPIN</t>
        </is>
      </c>
      <c r="I455" t="inlineStr">
        <is>
          <t>00</t>
        </is>
      </c>
      <c r="J455" t="inlineStr">
        <is>
          <t>SIN PRODUCTO DANE</t>
        </is>
      </c>
      <c r="K455" t="inlineStr">
        <is>
          <t>00</t>
        </is>
      </c>
      <c r="L455" t="inlineStr">
        <is>
          <t>SIN ATRIBUTO</t>
        </is>
      </c>
      <c r="N455" t="inlineStr">
        <is>
          <t>2.1.1.01.01.001.07</t>
        </is>
      </c>
      <c r="O455" t="inlineStr">
        <is>
          <t>Bonificacion por servicios prestados</t>
        </is>
      </c>
      <c r="P455" t="inlineStr">
        <is>
          <t>1.2.1.0.00</t>
        </is>
      </c>
      <c r="Q455" t="inlineStr">
        <is>
          <t>INGRESOS CORRIENTES DE LIBRE DESTINACION</t>
        </is>
      </c>
      <c r="R455" t="n">
        <v>6370000</v>
      </c>
      <c r="S455" t="n">
        <v>0</v>
      </c>
      <c r="T455" t="n">
        <v>0</v>
      </c>
      <c r="U455" t="n">
        <v>0</v>
      </c>
      <c r="V455" t="n">
        <v>0</v>
      </c>
      <c r="W455" t="n">
        <v>0</v>
      </c>
      <c r="X455" t="n">
        <v>0</v>
      </c>
      <c r="Y455" t="n">
        <v>6370000</v>
      </c>
      <c r="Z455" t="n">
        <v>3774580</v>
      </c>
      <c r="AA455" t="n">
        <v>3774580</v>
      </c>
      <c r="AB455" t="n">
        <v>3774580</v>
      </c>
      <c r="AC455" t="n">
        <v>3774580</v>
      </c>
      <c r="AD455" t="n">
        <v>2595420</v>
      </c>
      <c r="AE455" t="n">
        <v>59.26</v>
      </c>
    </row>
    <row r="456">
      <c r="A456" t="inlineStr">
        <is>
          <t>8 - SECRETARÍA DE SALUD</t>
        </is>
      </c>
      <c r="B456" t="inlineStr">
        <is>
          <t>00 - SIN SECTOR</t>
        </is>
      </c>
      <c r="C456" t="inlineStr">
        <is>
          <t>00</t>
        </is>
      </c>
      <c r="D456" t="inlineStr">
        <is>
          <t>0000</t>
        </is>
      </c>
      <c r="E456" t="inlineStr">
        <is>
          <t>0000000</t>
        </is>
      </c>
      <c r="F456" t="inlineStr">
        <is>
          <t>SIN PRODUCTO</t>
        </is>
      </c>
      <c r="G456" t="inlineStr">
        <is>
          <t>00</t>
        </is>
      </c>
      <c r="H456" t="inlineStr">
        <is>
          <t>SIN CODIGO BPIN</t>
        </is>
      </c>
      <c r="I456" t="inlineStr">
        <is>
          <t>00</t>
        </is>
      </c>
      <c r="J456" t="inlineStr">
        <is>
          <t>SIN PRODUCTO DANE</t>
        </is>
      </c>
      <c r="K456" t="inlineStr">
        <is>
          <t>00</t>
        </is>
      </c>
      <c r="L456" t="inlineStr">
        <is>
          <t>SIN ATRIBUTO</t>
        </is>
      </c>
      <c r="N456" t="inlineStr">
        <is>
          <t>2.1.1.01.01.001.08</t>
        </is>
      </c>
      <c r="O456" t="inlineStr">
        <is>
          <t>Prestaciones sociales</t>
        </is>
      </c>
      <c r="P456" t="inlineStr">
        <is>
          <t>00</t>
        </is>
      </c>
      <c r="Q456" t="inlineStr">
        <is>
          <t>RECURSO PROPIOS</t>
        </is>
      </c>
      <c r="R456" t="n">
        <v>30523557</v>
      </c>
      <c r="S456" t="n">
        <v>0</v>
      </c>
      <c r="T456" t="n">
        <v>0</v>
      </c>
      <c r="U456" t="n">
        <v>0</v>
      </c>
      <c r="V456" t="n">
        <v>0</v>
      </c>
      <c r="W456" t="n">
        <v>0</v>
      </c>
      <c r="X456" t="n">
        <v>0</v>
      </c>
      <c r="Y456" t="n">
        <v>30523557</v>
      </c>
      <c r="Z456" t="n">
        <v>5469216</v>
      </c>
      <c r="AA456" t="n">
        <v>5469216</v>
      </c>
      <c r="AB456" t="n">
        <v>5469216</v>
      </c>
      <c r="AC456" t="n">
        <v>3488186</v>
      </c>
      <c r="AD456" t="n">
        <v>25054341</v>
      </c>
      <c r="AE456" t="n">
        <v>17.92</v>
      </c>
    </row>
    <row r="457">
      <c r="A457" t="inlineStr">
        <is>
          <t>8 - SECRETARÍA DE SALUD</t>
        </is>
      </c>
      <c r="B457" t="inlineStr">
        <is>
          <t>00 - SIN SECTOR</t>
        </is>
      </c>
      <c r="C457" t="inlineStr">
        <is>
          <t>00</t>
        </is>
      </c>
      <c r="D457" t="inlineStr">
        <is>
          <t>0000</t>
        </is>
      </c>
      <c r="E457" t="inlineStr">
        <is>
          <t>0000000</t>
        </is>
      </c>
      <c r="F457" t="inlineStr">
        <is>
          <t>SIN PRODUCTO</t>
        </is>
      </c>
      <c r="G457" t="inlineStr">
        <is>
          <t>00</t>
        </is>
      </c>
      <c r="H457" t="inlineStr">
        <is>
          <t>SIN CODIGO BPIN</t>
        </is>
      </c>
      <c r="I457" t="inlineStr">
        <is>
          <t>00</t>
        </is>
      </c>
      <c r="J457" t="inlineStr">
        <is>
          <t>SIN PRODUCTO DANE</t>
        </is>
      </c>
      <c r="K457" t="inlineStr">
        <is>
          <t>00</t>
        </is>
      </c>
      <c r="L457" t="inlineStr">
        <is>
          <t>SIN ATRIBUTO</t>
        </is>
      </c>
      <c r="N457" t="inlineStr">
        <is>
          <t>2.1.1.01.01.001.08.01</t>
        </is>
      </c>
      <c r="O457" t="inlineStr">
        <is>
          <t>Prima de navidad</t>
        </is>
      </c>
      <c r="P457" t="inlineStr">
        <is>
          <t>1.2.1.0.00</t>
        </is>
      </c>
      <c r="Q457" t="inlineStr">
        <is>
          <t>INGRESOS CORRIENTES DE LIBRE DESTINACION</t>
        </is>
      </c>
      <c r="R457" t="n">
        <v>20615593</v>
      </c>
      <c r="S457" t="n">
        <v>0</v>
      </c>
      <c r="T457" t="n">
        <v>0</v>
      </c>
      <c r="U457" t="n">
        <v>0</v>
      </c>
      <c r="V457" t="n">
        <v>0</v>
      </c>
      <c r="W457" t="n">
        <v>0</v>
      </c>
      <c r="X457" t="n">
        <v>0</v>
      </c>
      <c r="Y457" t="n">
        <v>20615593</v>
      </c>
      <c r="Z457" t="n">
        <v>0</v>
      </c>
      <c r="AA457" t="n">
        <v>0</v>
      </c>
      <c r="AB457" t="n">
        <v>0</v>
      </c>
      <c r="AC457" t="n">
        <v>0</v>
      </c>
      <c r="AD457" t="n">
        <v>20615593</v>
      </c>
      <c r="AE457" t="n">
        <v>0</v>
      </c>
    </row>
    <row r="458">
      <c r="A458" t="inlineStr">
        <is>
          <t>8 - SECRETARÍA DE SALUD</t>
        </is>
      </c>
      <c r="B458" t="inlineStr">
        <is>
          <t>00 - SIN SECTOR</t>
        </is>
      </c>
      <c r="C458" t="inlineStr">
        <is>
          <t>00</t>
        </is>
      </c>
      <c r="D458" t="inlineStr">
        <is>
          <t>0000</t>
        </is>
      </c>
      <c r="E458" t="inlineStr">
        <is>
          <t>0000000</t>
        </is>
      </c>
      <c r="F458" t="inlineStr">
        <is>
          <t>SIN PRODUCTO</t>
        </is>
      </c>
      <c r="G458" t="inlineStr">
        <is>
          <t>00</t>
        </is>
      </c>
      <c r="H458" t="inlineStr">
        <is>
          <t>SIN CODIGO BPIN</t>
        </is>
      </c>
      <c r="I458" t="inlineStr">
        <is>
          <t>00</t>
        </is>
      </c>
      <c r="J458" t="inlineStr">
        <is>
          <t>SIN PRODUCTO DANE</t>
        </is>
      </c>
      <c r="K458" t="inlineStr">
        <is>
          <t>00</t>
        </is>
      </c>
      <c r="L458" t="inlineStr">
        <is>
          <t>SIN ATRIBUTO</t>
        </is>
      </c>
      <c r="N458" t="inlineStr">
        <is>
          <t>2.1.1.01.01.001.08.02</t>
        </is>
      </c>
      <c r="O458" t="inlineStr">
        <is>
          <t>Prima de vacaciones</t>
        </is>
      </c>
      <c r="P458" t="inlineStr">
        <is>
          <t>1.2.1.0.00</t>
        </is>
      </c>
      <c r="Q458" t="inlineStr">
        <is>
          <t>INGRESOS CORRIENTES DE LIBRE DESTINACION</t>
        </is>
      </c>
      <c r="R458" t="n">
        <v>9907964</v>
      </c>
      <c r="S458" t="n">
        <v>0</v>
      </c>
      <c r="T458" t="n">
        <v>0</v>
      </c>
      <c r="U458" t="n">
        <v>0</v>
      </c>
      <c r="V458" t="n">
        <v>0</v>
      </c>
      <c r="W458" t="n">
        <v>0</v>
      </c>
      <c r="X458" t="n">
        <v>0</v>
      </c>
      <c r="Y458" t="n">
        <v>9907964</v>
      </c>
      <c r="Z458" t="n">
        <v>5469216</v>
      </c>
      <c r="AA458" t="n">
        <v>5469216</v>
      </c>
      <c r="AB458" t="n">
        <v>5469216</v>
      </c>
      <c r="AC458" t="n">
        <v>3488186</v>
      </c>
      <c r="AD458" t="n">
        <v>4438748</v>
      </c>
      <c r="AE458" t="n">
        <v>55.2</v>
      </c>
    </row>
    <row r="459">
      <c r="A459" t="inlineStr">
        <is>
          <t>8 - SECRETARÍA DE SALUD</t>
        </is>
      </c>
      <c r="B459" t="inlineStr">
        <is>
          <t>00 - SIN SECTOR</t>
        </is>
      </c>
      <c r="C459" t="inlineStr">
        <is>
          <t>00</t>
        </is>
      </c>
      <c r="D459" t="inlineStr">
        <is>
          <t>0000</t>
        </is>
      </c>
      <c r="E459" t="inlineStr">
        <is>
          <t>0000000</t>
        </is>
      </c>
      <c r="F459" t="inlineStr">
        <is>
          <t>SIN PRODUCTO</t>
        </is>
      </c>
      <c r="G459" t="inlineStr">
        <is>
          <t>00</t>
        </is>
      </c>
      <c r="H459" t="inlineStr">
        <is>
          <t>SIN CODIGO BPIN</t>
        </is>
      </c>
      <c r="I459" t="inlineStr">
        <is>
          <t>00</t>
        </is>
      </c>
      <c r="J459" t="inlineStr">
        <is>
          <t>SIN PRODUCTO DANE</t>
        </is>
      </c>
      <c r="K459" t="inlineStr">
        <is>
          <t>00</t>
        </is>
      </c>
      <c r="L459" t="inlineStr">
        <is>
          <t>SIN ATRIBUTO</t>
        </is>
      </c>
      <c r="N459" t="inlineStr">
        <is>
          <t>2.1.1.01.02</t>
        </is>
      </c>
      <c r="O459" t="inlineStr">
        <is>
          <t>Contribuciones inherentes a la nomina</t>
        </is>
      </c>
      <c r="P459" t="inlineStr">
        <is>
          <t>00</t>
        </is>
      </c>
      <c r="Q459" t="inlineStr">
        <is>
          <t>RECURSO PROPIOS</t>
        </is>
      </c>
      <c r="R459" t="n">
        <v>94589210</v>
      </c>
      <c r="S459" t="n">
        <v>0</v>
      </c>
      <c r="T459" t="n">
        <v>0</v>
      </c>
      <c r="U459" t="n">
        <v>0</v>
      </c>
      <c r="V459" t="n">
        <v>0</v>
      </c>
      <c r="W459" t="n">
        <v>0</v>
      </c>
      <c r="X459" t="n">
        <v>0</v>
      </c>
      <c r="Y459" t="n">
        <v>94589210</v>
      </c>
      <c r="Z459" t="n">
        <v>25696215</v>
      </c>
      <c r="AA459" t="n">
        <v>25696215</v>
      </c>
      <c r="AB459" t="n">
        <v>25696215</v>
      </c>
      <c r="AC459" t="n">
        <v>25696215</v>
      </c>
      <c r="AD459" t="n">
        <v>68892995</v>
      </c>
      <c r="AE459" t="n">
        <v>27.17</v>
      </c>
    </row>
    <row r="460">
      <c r="A460" t="inlineStr">
        <is>
          <t>8 - SECRETARÍA DE SALUD</t>
        </is>
      </c>
      <c r="B460" t="inlineStr">
        <is>
          <t>00 - SIN SECTOR</t>
        </is>
      </c>
      <c r="C460" t="inlineStr">
        <is>
          <t>00</t>
        </is>
      </c>
      <c r="D460" t="inlineStr">
        <is>
          <t>0000</t>
        </is>
      </c>
      <c r="E460" t="inlineStr">
        <is>
          <t>0000000</t>
        </is>
      </c>
      <c r="F460" t="inlineStr">
        <is>
          <t>SIN PRODUCTO</t>
        </is>
      </c>
      <c r="G460" t="inlineStr">
        <is>
          <t>00</t>
        </is>
      </c>
      <c r="H460" t="inlineStr">
        <is>
          <t>SIN CODIGO BPIN</t>
        </is>
      </c>
      <c r="I460" t="inlineStr">
        <is>
          <t>00</t>
        </is>
      </c>
      <c r="J460" t="inlineStr">
        <is>
          <t>SIN PRODUCTO DANE</t>
        </is>
      </c>
      <c r="K460" t="inlineStr">
        <is>
          <t>00</t>
        </is>
      </c>
      <c r="L460" t="inlineStr">
        <is>
          <t>SIN ATRIBUTO</t>
        </is>
      </c>
      <c r="N460" t="inlineStr">
        <is>
          <t>2.1.1.01.02.001</t>
        </is>
      </c>
      <c r="O460" t="inlineStr">
        <is>
          <t>Aportes a la seguridad social en pensiones</t>
        </is>
      </c>
      <c r="P460" t="inlineStr">
        <is>
          <t>1.2.1.0.00</t>
        </is>
      </c>
      <c r="Q460" t="inlineStr">
        <is>
          <t>INGRESOS CORRIENTES DE LIBRE DESTINACION</t>
        </is>
      </c>
      <c r="R460" t="n">
        <v>26972408</v>
      </c>
      <c r="S460" t="n">
        <v>0</v>
      </c>
      <c r="T460" t="n">
        <v>0</v>
      </c>
      <c r="U460" t="n">
        <v>0</v>
      </c>
      <c r="V460" t="n">
        <v>0</v>
      </c>
      <c r="W460" t="n">
        <v>0</v>
      </c>
      <c r="X460" t="n">
        <v>0</v>
      </c>
      <c r="Y460" t="n">
        <v>26972408</v>
      </c>
      <c r="Z460" t="n">
        <v>9009700</v>
      </c>
      <c r="AA460" t="n">
        <v>9009700</v>
      </c>
      <c r="AB460" t="n">
        <v>9009700</v>
      </c>
      <c r="AC460" t="n">
        <v>9009700</v>
      </c>
      <c r="AD460" t="n">
        <v>17962708</v>
      </c>
      <c r="AE460" t="n">
        <v>33.4</v>
      </c>
    </row>
    <row r="461">
      <c r="A461" t="inlineStr">
        <is>
          <t>8 - SECRETARÍA DE SALUD</t>
        </is>
      </c>
      <c r="B461" t="inlineStr">
        <is>
          <t>00 - SIN SECTOR</t>
        </is>
      </c>
      <c r="C461" t="inlineStr">
        <is>
          <t>00</t>
        </is>
      </c>
      <c r="D461" t="inlineStr">
        <is>
          <t>0000</t>
        </is>
      </c>
      <c r="E461" t="inlineStr">
        <is>
          <t>0000000</t>
        </is>
      </c>
      <c r="F461" t="inlineStr">
        <is>
          <t>SIN PRODUCTO</t>
        </is>
      </c>
      <c r="G461" t="inlineStr">
        <is>
          <t>00</t>
        </is>
      </c>
      <c r="H461" t="inlineStr">
        <is>
          <t>SIN CODIGO BPIN</t>
        </is>
      </c>
      <c r="I461" t="inlineStr">
        <is>
          <t>00</t>
        </is>
      </c>
      <c r="J461" t="inlineStr">
        <is>
          <t>SIN PRODUCTO DANE</t>
        </is>
      </c>
      <c r="K461" t="inlineStr">
        <is>
          <t>00</t>
        </is>
      </c>
      <c r="L461" t="inlineStr">
        <is>
          <t>SIN ATRIBUTO</t>
        </is>
      </c>
      <c r="N461" t="inlineStr">
        <is>
          <t>2.1.1.01.02.002</t>
        </is>
      </c>
      <c r="O461" t="inlineStr">
        <is>
          <t>Aportes a la seguridad social en salud</t>
        </is>
      </c>
      <c r="P461" t="inlineStr">
        <is>
          <t>1.2.1.0.00</t>
        </is>
      </c>
      <c r="Q461" t="inlineStr">
        <is>
          <t>INGRESOS CORRIENTES DE LIBRE DESTINACION</t>
        </is>
      </c>
      <c r="R461" t="n">
        <v>19105451</v>
      </c>
      <c r="S461" t="n">
        <v>0</v>
      </c>
      <c r="T461" t="n">
        <v>0</v>
      </c>
      <c r="U461" t="n">
        <v>0</v>
      </c>
      <c r="V461" t="n">
        <v>0</v>
      </c>
      <c r="W461" t="n">
        <v>0</v>
      </c>
      <c r="X461" t="n">
        <v>0</v>
      </c>
      <c r="Y461" t="n">
        <v>19105451</v>
      </c>
      <c r="Z461" t="n">
        <v>6382300</v>
      </c>
      <c r="AA461" t="n">
        <v>6382300</v>
      </c>
      <c r="AB461" t="n">
        <v>6382300</v>
      </c>
      <c r="AC461" t="n">
        <v>6382300</v>
      </c>
      <c r="AD461" t="n">
        <v>12723151</v>
      </c>
      <c r="AE461" t="n">
        <v>33.41</v>
      </c>
    </row>
    <row r="462">
      <c r="A462" t="inlineStr">
        <is>
          <t>8 - SECRETARÍA DE SALUD</t>
        </is>
      </c>
      <c r="B462" t="inlineStr">
        <is>
          <t>00 - SIN SECTOR</t>
        </is>
      </c>
      <c r="C462" t="inlineStr">
        <is>
          <t>00</t>
        </is>
      </c>
      <c r="D462" t="inlineStr">
        <is>
          <t>0000</t>
        </is>
      </c>
      <c r="E462" t="inlineStr">
        <is>
          <t>0000000</t>
        </is>
      </c>
      <c r="F462" t="inlineStr">
        <is>
          <t>SIN PRODUCTO</t>
        </is>
      </c>
      <c r="G462" t="inlineStr">
        <is>
          <t>00</t>
        </is>
      </c>
      <c r="H462" t="inlineStr">
        <is>
          <t>SIN CODIGO BPIN</t>
        </is>
      </c>
      <c r="I462" t="inlineStr">
        <is>
          <t>00</t>
        </is>
      </c>
      <c r="J462" t="inlineStr">
        <is>
          <t>SIN PRODUCTO DANE</t>
        </is>
      </c>
      <c r="K462" t="inlineStr">
        <is>
          <t>00</t>
        </is>
      </c>
      <c r="L462" t="inlineStr">
        <is>
          <t>SIN ATRIBUTO</t>
        </is>
      </c>
      <c r="N462" t="inlineStr">
        <is>
          <t>2.1.1.01.02.003</t>
        </is>
      </c>
      <c r="O462" t="inlineStr">
        <is>
          <t>Aportes de cesantias</t>
        </is>
      </c>
      <c r="P462" t="inlineStr">
        <is>
          <t>1.2.1.0.00</t>
        </is>
      </c>
      <c r="Q462" t="inlineStr">
        <is>
          <t>INGRESOS CORRIENTES DE LIBRE DESTINACION</t>
        </is>
      </c>
      <c r="R462" t="n">
        <v>25045131</v>
      </c>
      <c r="S462" t="n">
        <v>0</v>
      </c>
      <c r="T462" t="n">
        <v>0</v>
      </c>
      <c r="U462" t="n">
        <v>0</v>
      </c>
      <c r="V462" t="n">
        <v>0</v>
      </c>
      <c r="W462" t="n">
        <v>0</v>
      </c>
      <c r="X462" t="n">
        <v>0</v>
      </c>
      <c r="Y462" t="n">
        <v>25045131</v>
      </c>
      <c r="Z462" t="n">
        <v>2342015</v>
      </c>
      <c r="AA462" t="n">
        <v>2342015</v>
      </c>
      <c r="AB462" t="n">
        <v>2342015</v>
      </c>
      <c r="AC462" t="n">
        <v>2342015</v>
      </c>
      <c r="AD462" t="n">
        <v>22703116</v>
      </c>
      <c r="AE462" t="n">
        <v>9.35</v>
      </c>
    </row>
    <row r="463">
      <c r="A463" t="inlineStr">
        <is>
          <t>8 - SECRETARÍA DE SALUD</t>
        </is>
      </c>
      <c r="B463" t="inlineStr">
        <is>
          <t>00 - SIN SECTOR</t>
        </is>
      </c>
      <c r="C463" t="inlineStr">
        <is>
          <t>00</t>
        </is>
      </c>
      <c r="D463" t="inlineStr">
        <is>
          <t>0000</t>
        </is>
      </c>
      <c r="E463" t="inlineStr">
        <is>
          <t>0000000</t>
        </is>
      </c>
      <c r="F463" t="inlineStr">
        <is>
          <t>SIN PRODUCTO</t>
        </is>
      </c>
      <c r="G463" t="inlineStr">
        <is>
          <t>00</t>
        </is>
      </c>
      <c r="H463" t="inlineStr">
        <is>
          <t>SIN CODIGO BPIN</t>
        </is>
      </c>
      <c r="I463" t="inlineStr">
        <is>
          <t>00</t>
        </is>
      </c>
      <c r="J463" t="inlineStr">
        <is>
          <t>SIN PRODUCTO DANE</t>
        </is>
      </c>
      <c r="K463" t="inlineStr">
        <is>
          <t>00</t>
        </is>
      </c>
      <c r="L463" t="inlineStr">
        <is>
          <t>SIN ATRIBUTO</t>
        </is>
      </c>
      <c r="N463" t="inlineStr">
        <is>
          <t>2.1.1.01.02.004</t>
        </is>
      </c>
      <c r="O463" t="inlineStr">
        <is>
          <t>Aportes a cajas de compensacion familiar</t>
        </is>
      </c>
      <c r="P463" t="inlineStr">
        <is>
          <t>1.2.1.0.00</t>
        </is>
      </c>
      <c r="Q463" t="inlineStr">
        <is>
          <t>INGRESOS CORRIENTES DE LIBRE DESTINACION</t>
        </is>
      </c>
      <c r="R463" t="n">
        <v>9907964</v>
      </c>
      <c r="S463" t="n">
        <v>0</v>
      </c>
      <c r="T463" t="n">
        <v>0</v>
      </c>
      <c r="U463" t="n">
        <v>0</v>
      </c>
      <c r="V463" t="n">
        <v>0</v>
      </c>
      <c r="W463" t="n">
        <v>0</v>
      </c>
      <c r="X463" t="n">
        <v>0</v>
      </c>
      <c r="Y463" t="n">
        <v>9907964</v>
      </c>
      <c r="Z463" t="n">
        <v>3363300</v>
      </c>
      <c r="AA463" t="n">
        <v>3363300</v>
      </c>
      <c r="AB463" t="n">
        <v>3363300</v>
      </c>
      <c r="AC463" t="n">
        <v>3363300</v>
      </c>
      <c r="AD463" t="n">
        <v>6544664</v>
      </c>
      <c r="AE463" t="n">
        <v>33.95</v>
      </c>
    </row>
    <row r="464">
      <c r="A464" t="inlineStr">
        <is>
          <t>8 - SECRETARÍA DE SALUD</t>
        </is>
      </c>
      <c r="B464" t="inlineStr">
        <is>
          <t>00 - SIN SECTOR</t>
        </is>
      </c>
      <c r="C464" t="inlineStr">
        <is>
          <t>00</t>
        </is>
      </c>
      <c r="D464" t="inlineStr">
        <is>
          <t>0000</t>
        </is>
      </c>
      <c r="E464" t="inlineStr">
        <is>
          <t>0000000</t>
        </is>
      </c>
      <c r="F464" t="inlineStr">
        <is>
          <t>SIN PRODUCTO</t>
        </is>
      </c>
      <c r="G464" t="inlineStr">
        <is>
          <t>00</t>
        </is>
      </c>
      <c r="H464" t="inlineStr">
        <is>
          <t>SIN CODIGO BPIN</t>
        </is>
      </c>
      <c r="I464" t="inlineStr">
        <is>
          <t>00</t>
        </is>
      </c>
      <c r="J464" t="inlineStr">
        <is>
          <t>SIN PRODUCTO DANE</t>
        </is>
      </c>
      <c r="K464" t="inlineStr">
        <is>
          <t>00</t>
        </is>
      </c>
      <c r="L464" t="inlineStr">
        <is>
          <t>SIN ATRIBUTO</t>
        </is>
      </c>
      <c r="N464" t="inlineStr">
        <is>
          <t>2.1.1.01.02.005</t>
        </is>
      </c>
      <c r="O464" t="inlineStr">
        <is>
          <t>Aportes generales al sistema de riesgos laborales</t>
        </is>
      </c>
      <c r="P464" t="inlineStr">
        <is>
          <t>1.2.1.0.00</t>
        </is>
      </c>
      <c r="Q464" t="inlineStr">
        <is>
          <t>INGRESOS CORRIENTES DE LIBRE DESTINACION</t>
        </is>
      </c>
      <c r="R464" t="n">
        <v>1173299</v>
      </c>
      <c r="S464" t="n">
        <v>0</v>
      </c>
      <c r="T464" t="n">
        <v>0</v>
      </c>
      <c r="U464" t="n">
        <v>0</v>
      </c>
      <c r="V464" t="n">
        <v>0</v>
      </c>
      <c r="W464" t="n">
        <v>0</v>
      </c>
      <c r="X464" t="n">
        <v>0</v>
      </c>
      <c r="Y464" t="n">
        <v>1173299</v>
      </c>
      <c r="Z464" t="n">
        <v>392700</v>
      </c>
      <c r="AA464" t="n">
        <v>392700</v>
      </c>
      <c r="AB464" t="n">
        <v>392700</v>
      </c>
      <c r="AC464" t="n">
        <v>392700</v>
      </c>
      <c r="AD464" t="n">
        <v>780599</v>
      </c>
      <c r="AE464" t="n">
        <v>33.47</v>
      </c>
    </row>
    <row r="465">
      <c r="A465" t="inlineStr">
        <is>
          <t>8 - SECRETARÍA DE SALUD</t>
        </is>
      </c>
      <c r="B465" t="inlineStr">
        <is>
          <t>00 - SIN SECTOR</t>
        </is>
      </c>
      <c r="C465" t="inlineStr">
        <is>
          <t>00</t>
        </is>
      </c>
      <c r="D465" t="inlineStr">
        <is>
          <t>0000</t>
        </is>
      </c>
      <c r="E465" t="inlineStr">
        <is>
          <t>0000000</t>
        </is>
      </c>
      <c r="F465" t="inlineStr">
        <is>
          <t>SIN PRODUCTO</t>
        </is>
      </c>
      <c r="G465" t="inlineStr">
        <is>
          <t>00</t>
        </is>
      </c>
      <c r="H465" t="inlineStr">
        <is>
          <t>SIN CODIGO BPIN</t>
        </is>
      </c>
      <c r="I465" t="inlineStr">
        <is>
          <t>00</t>
        </is>
      </c>
      <c r="J465" t="inlineStr">
        <is>
          <t>SIN PRODUCTO DANE</t>
        </is>
      </c>
      <c r="K465" t="inlineStr">
        <is>
          <t>00</t>
        </is>
      </c>
      <c r="L465" t="inlineStr">
        <is>
          <t>SIN ATRIBUTO</t>
        </is>
      </c>
      <c r="N465" t="inlineStr">
        <is>
          <t>2.1.1.01.02.006</t>
        </is>
      </c>
      <c r="O465" t="inlineStr">
        <is>
          <t>Aportes al icbf</t>
        </is>
      </c>
      <c r="P465" t="inlineStr">
        <is>
          <t>1.2.1.0.00</t>
        </is>
      </c>
      <c r="Q465" t="inlineStr">
        <is>
          <t>INGRESOS CORRIENTES DE LIBRE DESTINACION</t>
        </is>
      </c>
      <c r="R465" t="n">
        <v>7430974</v>
      </c>
      <c r="S465" t="n">
        <v>0</v>
      </c>
      <c r="T465" t="n">
        <v>0</v>
      </c>
      <c r="U465" t="n">
        <v>0</v>
      </c>
      <c r="V465" t="n">
        <v>0</v>
      </c>
      <c r="W465" t="n">
        <v>0</v>
      </c>
      <c r="X465" t="n">
        <v>0</v>
      </c>
      <c r="Y465" t="n">
        <v>7430974</v>
      </c>
      <c r="Z465" t="n">
        <v>2522600</v>
      </c>
      <c r="AA465" t="n">
        <v>2522600</v>
      </c>
      <c r="AB465" t="n">
        <v>2522600</v>
      </c>
      <c r="AC465" t="n">
        <v>2522600</v>
      </c>
      <c r="AD465" t="n">
        <v>4908374</v>
      </c>
      <c r="AE465" t="n">
        <v>33.95</v>
      </c>
    </row>
    <row r="466">
      <c r="A466" t="inlineStr">
        <is>
          <t>8 - SECRETARÍA DE SALUD</t>
        </is>
      </c>
      <c r="B466" t="inlineStr">
        <is>
          <t>00 - SIN SECTOR</t>
        </is>
      </c>
      <c r="C466" t="inlineStr">
        <is>
          <t>00</t>
        </is>
      </c>
      <c r="D466" t="inlineStr">
        <is>
          <t>0000</t>
        </is>
      </c>
      <c r="E466" t="inlineStr">
        <is>
          <t>0000000</t>
        </is>
      </c>
      <c r="F466" t="inlineStr">
        <is>
          <t>SIN PRODUCTO</t>
        </is>
      </c>
      <c r="G466" t="inlineStr">
        <is>
          <t>00</t>
        </is>
      </c>
      <c r="H466" t="inlineStr">
        <is>
          <t>SIN CODIGO BPIN</t>
        </is>
      </c>
      <c r="I466" t="inlineStr">
        <is>
          <t>00</t>
        </is>
      </c>
      <c r="J466" t="inlineStr">
        <is>
          <t>SIN PRODUCTO DANE</t>
        </is>
      </c>
      <c r="K466" t="inlineStr">
        <is>
          <t>00</t>
        </is>
      </c>
      <c r="L466" t="inlineStr">
        <is>
          <t>SIN ATRIBUTO</t>
        </is>
      </c>
      <c r="N466" t="inlineStr">
        <is>
          <t>2.1.1.01.02.007</t>
        </is>
      </c>
      <c r="O466" t="inlineStr">
        <is>
          <t>Aportes al sena</t>
        </is>
      </c>
      <c r="P466" t="inlineStr">
        <is>
          <t>1.2.1.0.00</t>
        </is>
      </c>
      <c r="Q466" t="inlineStr">
        <is>
          <t>INGRESOS CORRIENTES DE LIBRE DESTINACION</t>
        </is>
      </c>
      <c r="R466" t="n">
        <v>1238496</v>
      </c>
      <c r="S466" t="n">
        <v>0</v>
      </c>
      <c r="T466" t="n">
        <v>0</v>
      </c>
      <c r="U466" t="n">
        <v>0</v>
      </c>
      <c r="V466" t="n">
        <v>0</v>
      </c>
      <c r="W466" t="n">
        <v>0</v>
      </c>
      <c r="X466" t="n">
        <v>0</v>
      </c>
      <c r="Y466" t="n">
        <v>1238496</v>
      </c>
      <c r="Z466" t="n">
        <v>421200</v>
      </c>
      <c r="AA466" t="n">
        <v>421200</v>
      </c>
      <c r="AB466" t="n">
        <v>421200</v>
      </c>
      <c r="AC466" t="n">
        <v>421200</v>
      </c>
      <c r="AD466" t="n">
        <v>817296</v>
      </c>
      <c r="AE466" t="n">
        <v>34.01</v>
      </c>
    </row>
    <row r="467">
      <c r="A467" t="inlineStr">
        <is>
          <t>8 - SECRETARÍA DE SALUD</t>
        </is>
      </c>
      <c r="B467" t="inlineStr">
        <is>
          <t>00 - SIN SECTOR</t>
        </is>
      </c>
      <c r="C467" t="inlineStr">
        <is>
          <t>00</t>
        </is>
      </c>
      <c r="D467" t="inlineStr">
        <is>
          <t>0000</t>
        </is>
      </c>
      <c r="E467" t="inlineStr">
        <is>
          <t>0000000</t>
        </is>
      </c>
      <c r="F467" t="inlineStr">
        <is>
          <t>SIN PRODUCTO</t>
        </is>
      </c>
      <c r="G467" t="inlineStr">
        <is>
          <t>00</t>
        </is>
      </c>
      <c r="H467" t="inlineStr">
        <is>
          <t>SIN CODIGO BPIN</t>
        </is>
      </c>
      <c r="I467" t="inlineStr">
        <is>
          <t>00</t>
        </is>
      </c>
      <c r="J467" t="inlineStr">
        <is>
          <t>SIN PRODUCTO DANE</t>
        </is>
      </c>
      <c r="K467" t="inlineStr">
        <is>
          <t>00</t>
        </is>
      </c>
      <c r="L467" t="inlineStr">
        <is>
          <t>SIN ATRIBUTO</t>
        </is>
      </c>
      <c r="N467" t="inlineStr">
        <is>
          <t>2.1.1.01.02.008</t>
        </is>
      </c>
      <c r="O467" t="inlineStr">
        <is>
          <t>Aportes a la esap</t>
        </is>
      </c>
      <c r="P467" t="inlineStr">
        <is>
          <t>1.2.1.0.00</t>
        </is>
      </c>
      <c r="Q467" t="inlineStr">
        <is>
          <t>INGRESOS CORRIENTES DE LIBRE DESTINACION</t>
        </is>
      </c>
      <c r="R467" t="n">
        <v>1238496</v>
      </c>
      <c r="S467" t="n">
        <v>0</v>
      </c>
      <c r="T467" t="n">
        <v>0</v>
      </c>
      <c r="U467" t="n">
        <v>0</v>
      </c>
      <c r="V467" t="n">
        <v>0</v>
      </c>
      <c r="W467" t="n">
        <v>0</v>
      </c>
      <c r="X467" t="n">
        <v>0</v>
      </c>
      <c r="Y467" t="n">
        <v>1238496</v>
      </c>
      <c r="Z467" t="n">
        <v>421200</v>
      </c>
      <c r="AA467" t="n">
        <v>421200</v>
      </c>
      <c r="AB467" t="n">
        <v>421200</v>
      </c>
      <c r="AC467" t="n">
        <v>421200</v>
      </c>
      <c r="AD467" t="n">
        <v>817296</v>
      </c>
      <c r="AE467" t="n">
        <v>34.01</v>
      </c>
    </row>
    <row r="468">
      <c r="A468" t="inlineStr">
        <is>
          <t>8 - SECRETARÍA DE SALUD</t>
        </is>
      </c>
      <c r="B468" t="inlineStr">
        <is>
          <t>00 - SIN SECTOR</t>
        </is>
      </c>
      <c r="C468" t="inlineStr">
        <is>
          <t>00</t>
        </is>
      </c>
      <c r="D468" t="inlineStr">
        <is>
          <t>0000</t>
        </is>
      </c>
      <c r="E468" t="inlineStr">
        <is>
          <t>0000000</t>
        </is>
      </c>
      <c r="F468" t="inlineStr">
        <is>
          <t>SIN PRODUCTO</t>
        </is>
      </c>
      <c r="G468" t="inlineStr">
        <is>
          <t>00</t>
        </is>
      </c>
      <c r="H468" t="inlineStr">
        <is>
          <t>SIN CODIGO BPIN</t>
        </is>
      </c>
      <c r="I468" t="inlineStr">
        <is>
          <t>00</t>
        </is>
      </c>
      <c r="J468" t="inlineStr">
        <is>
          <t>SIN PRODUCTO DANE</t>
        </is>
      </c>
      <c r="K468" t="inlineStr">
        <is>
          <t>00</t>
        </is>
      </c>
      <c r="L468" t="inlineStr">
        <is>
          <t>SIN ATRIBUTO</t>
        </is>
      </c>
      <c r="N468" t="inlineStr">
        <is>
          <t>2.1.1.01.02.009</t>
        </is>
      </c>
      <c r="O468" t="inlineStr">
        <is>
          <t>Aportes a escuelas industriales e institutos tecnicos</t>
        </is>
      </c>
      <c r="P468" t="inlineStr">
        <is>
          <t>1.2.1.0.00</t>
        </is>
      </c>
      <c r="Q468" t="inlineStr">
        <is>
          <t>INGRESOS CORRIENTES DE LIBRE DESTINACION</t>
        </is>
      </c>
      <c r="R468" t="n">
        <v>2476991</v>
      </c>
      <c r="S468" t="n">
        <v>0</v>
      </c>
      <c r="T468" t="n">
        <v>0</v>
      </c>
      <c r="U468" t="n">
        <v>0</v>
      </c>
      <c r="V468" t="n">
        <v>0</v>
      </c>
      <c r="W468" t="n">
        <v>0</v>
      </c>
      <c r="X468" t="n">
        <v>0</v>
      </c>
      <c r="Y468" t="n">
        <v>2476991</v>
      </c>
      <c r="Z468" t="n">
        <v>841200</v>
      </c>
      <c r="AA468" t="n">
        <v>841200</v>
      </c>
      <c r="AB468" t="n">
        <v>841200</v>
      </c>
      <c r="AC468" t="n">
        <v>841200</v>
      </c>
      <c r="AD468" t="n">
        <v>1635791</v>
      </c>
      <c r="AE468" t="n">
        <v>33.96</v>
      </c>
    </row>
    <row r="469">
      <c r="A469" t="inlineStr">
        <is>
          <t>8 - SECRETARÍA DE SALUD</t>
        </is>
      </c>
      <c r="B469" t="inlineStr">
        <is>
          <t>00 - SIN SECTOR</t>
        </is>
      </c>
      <c r="C469" t="inlineStr">
        <is>
          <t>00</t>
        </is>
      </c>
      <c r="D469" t="inlineStr">
        <is>
          <t>0000</t>
        </is>
      </c>
      <c r="E469" t="inlineStr">
        <is>
          <t>0000000</t>
        </is>
      </c>
      <c r="F469" t="inlineStr">
        <is>
          <t>SIN PRODUCTO</t>
        </is>
      </c>
      <c r="G469" t="inlineStr">
        <is>
          <t>00</t>
        </is>
      </c>
      <c r="H469" t="inlineStr">
        <is>
          <t>SIN CODIGO BPIN</t>
        </is>
      </c>
      <c r="I469" t="inlineStr">
        <is>
          <t>00</t>
        </is>
      </c>
      <c r="J469" t="inlineStr">
        <is>
          <t>SIN PRODUCTO DANE</t>
        </is>
      </c>
      <c r="K469" t="inlineStr">
        <is>
          <t>00</t>
        </is>
      </c>
      <c r="L469" t="inlineStr">
        <is>
          <t>SIN ATRIBUTO</t>
        </is>
      </c>
      <c r="N469" t="inlineStr">
        <is>
          <t>2.1.1.01.03</t>
        </is>
      </c>
      <c r="O469" t="inlineStr">
        <is>
          <t>Remuneraciones no constitutivas de factor salarial</t>
        </is>
      </c>
      <c r="P469" t="inlineStr">
        <is>
          <t>00</t>
        </is>
      </c>
      <c r="Q469" t="inlineStr">
        <is>
          <t>RECURSO PROPIOS</t>
        </is>
      </c>
      <c r="R469" t="n">
        <v>22213333</v>
      </c>
      <c r="S469" t="n">
        <v>0</v>
      </c>
      <c r="T469" t="n">
        <v>0</v>
      </c>
      <c r="U469" t="n">
        <v>0</v>
      </c>
      <c r="V469" t="n">
        <v>0</v>
      </c>
      <c r="W469" t="n">
        <v>0</v>
      </c>
      <c r="X469" t="n">
        <v>0</v>
      </c>
      <c r="Y469" t="n">
        <v>22213333</v>
      </c>
      <c r="Z469" t="n">
        <v>8820319</v>
      </c>
      <c r="AA469" t="n">
        <v>8820319</v>
      </c>
      <c r="AB469" t="n">
        <v>5782740</v>
      </c>
      <c r="AC469" t="n">
        <v>5550407</v>
      </c>
      <c r="AD469" t="n">
        <v>13393014</v>
      </c>
      <c r="AE469" t="n">
        <v>39.71</v>
      </c>
    </row>
    <row r="470">
      <c r="A470" t="inlineStr">
        <is>
          <t>8 - SECRETARÍA DE SALUD</t>
        </is>
      </c>
      <c r="B470" t="inlineStr">
        <is>
          <t>00 - SIN SECTOR</t>
        </is>
      </c>
      <c r="C470" t="inlineStr">
        <is>
          <t>00</t>
        </is>
      </c>
      <c r="D470" t="inlineStr">
        <is>
          <t>0000</t>
        </is>
      </c>
      <c r="E470" t="inlineStr">
        <is>
          <t>0000000</t>
        </is>
      </c>
      <c r="F470" t="inlineStr">
        <is>
          <t>SIN PRODUCTO</t>
        </is>
      </c>
      <c r="G470" t="inlineStr">
        <is>
          <t>00</t>
        </is>
      </c>
      <c r="H470" t="inlineStr">
        <is>
          <t>SIN CODIGO BPIN</t>
        </is>
      </c>
      <c r="I470" t="inlineStr">
        <is>
          <t>00</t>
        </is>
      </c>
      <c r="J470" t="inlineStr">
        <is>
          <t>SIN PRODUCTO DANE</t>
        </is>
      </c>
      <c r="K470" t="inlineStr">
        <is>
          <t>00</t>
        </is>
      </c>
      <c r="L470" t="inlineStr">
        <is>
          <t>SIN ATRIBUTO</t>
        </is>
      </c>
      <c r="N470" t="inlineStr">
        <is>
          <t>2.1.1.01.03.001</t>
        </is>
      </c>
      <c r="O470" t="inlineStr">
        <is>
          <t>Prestaciones sociales</t>
        </is>
      </c>
      <c r="P470" t="inlineStr">
        <is>
          <t>00</t>
        </is>
      </c>
      <c r="Q470" t="inlineStr">
        <is>
          <t>RECURSO PROPIOS</t>
        </is>
      </c>
      <c r="R470" t="n">
        <v>22213333</v>
      </c>
      <c r="S470" t="n">
        <v>0</v>
      </c>
      <c r="T470" t="n">
        <v>0</v>
      </c>
      <c r="U470" t="n">
        <v>0</v>
      </c>
      <c r="V470" t="n">
        <v>0</v>
      </c>
      <c r="W470" t="n">
        <v>0</v>
      </c>
      <c r="X470" t="n">
        <v>0</v>
      </c>
      <c r="Y470" t="n">
        <v>22213333</v>
      </c>
      <c r="Z470" t="n">
        <v>8820319</v>
      </c>
      <c r="AA470" t="n">
        <v>8820319</v>
      </c>
      <c r="AB470" t="n">
        <v>5782740</v>
      </c>
      <c r="AC470" t="n">
        <v>5550407</v>
      </c>
      <c r="AD470" t="n">
        <v>13393014</v>
      </c>
      <c r="AE470" t="n">
        <v>39.71</v>
      </c>
    </row>
    <row r="471">
      <c r="A471" t="inlineStr">
        <is>
          <t>8 - SECRETARÍA DE SALUD</t>
        </is>
      </c>
      <c r="B471" t="inlineStr">
        <is>
          <t>00 - SIN SECTOR</t>
        </is>
      </c>
      <c r="C471" t="inlineStr">
        <is>
          <t>00</t>
        </is>
      </c>
      <c r="D471" t="inlineStr">
        <is>
          <t>0000</t>
        </is>
      </c>
      <c r="E471" t="inlineStr">
        <is>
          <t>0000000</t>
        </is>
      </c>
      <c r="F471" t="inlineStr">
        <is>
          <t>SIN PRODUCTO</t>
        </is>
      </c>
      <c r="G471" t="inlineStr">
        <is>
          <t>00</t>
        </is>
      </c>
      <c r="H471" t="inlineStr">
        <is>
          <t>SIN CODIGO BPIN</t>
        </is>
      </c>
      <c r="I471" t="inlineStr">
        <is>
          <t>00</t>
        </is>
      </c>
      <c r="J471" t="inlineStr">
        <is>
          <t>SIN PRODUCTO DANE</t>
        </is>
      </c>
      <c r="K471" t="inlineStr">
        <is>
          <t>00</t>
        </is>
      </c>
      <c r="L471" t="inlineStr">
        <is>
          <t>SIN ATRIBUTO</t>
        </is>
      </c>
      <c r="N471" t="inlineStr">
        <is>
          <t>2.1.1.01.03.001.01</t>
        </is>
      </c>
      <c r="O471" t="inlineStr">
        <is>
          <t>Vacaciones</t>
        </is>
      </c>
      <c r="P471" t="inlineStr">
        <is>
          <t>1.2.1.0.00</t>
        </is>
      </c>
      <c r="Q471" t="inlineStr">
        <is>
          <t>INGRESOS CORRIENTES DE LIBRE DESTINACION</t>
        </is>
      </c>
      <c r="R471" t="n">
        <v>12000000</v>
      </c>
      <c r="S471" t="n">
        <v>0</v>
      </c>
      <c r="T471" t="n">
        <v>0</v>
      </c>
      <c r="U471" t="n">
        <v>0</v>
      </c>
      <c r="V471" t="n">
        <v>0</v>
      </c>
      <c r="W471" t="n">
        <v>0</v>
      </c>
      <c r="X471" t="n">
        <v>0</v>
      </c>
      <c r="Y471" t="n">
        <v>12000000</v>
      </c>
      <c r="Z471" t="n">
        <v>3037579</v>
      </c>
      <c r="AA471" t="n">
        <v>3037579</v>
      </c>
      <c r="AB471" t="n">
        <v>0</v>
      </c>
      <c r="AC471" t="n">
        <v>0</v>
      </c>
      <c r="AD471" t="n">
        <v>8962421</v>
      </c>
      <c r="AE471" t="n">
        <v>25.31</v>
      </c>
    </row>
    <row r="472">
      <c r="A472" t="inlineStr">
        <is>
          <t>8 - SECRETARÍA DE SALUD</t>
        </is>
      </c>
      <c r="B472" t="inlineStr">
        <is>
          <t>00 - SIN SECTOR</t>
        </is>
      </c>
      <c r="C472" t="inlineStr">
        <is>
          <t>00</t>
        </is>
      </c>
      <c r="D472" t="inlineStr">
        <is>
          <t>0000</t>
        </is>
      </c>
      <c r="E472" t="inlineStr">
        <is>
          <t>0000000</t>
        </is>
      </c>
      <c r="F472" t="inlineStr">
        <is>
          <t>SIN PRODUCTO</t>
        </is>
      </c>
      <c r="G472" t="inlineStr">
        <is>
          <t>00</t>
        </is>
      </c>
      <c r="H472" t="inlineStr">
        <is>
          <t>SIN CODIGO BPIN</t>
        </is>
      </c>
      <c r="I472" t="inlineStr">
        <is>
          <t>00</t>
        </is>
      </c>
      <c r="J472" t="inlineStr">
        <is>
          <t>SIN PRODUCTO DANE</t>
        </is>
      </c>
      <c r="K472" t="inlineStr">
        <is>
          <t>00</t>
        </is>
      </c>
      <c r="L472" t="inlineStr">
        <is>
          <t>SIN ATRIBUTO</t>
        </is>
      </c>
      <c r="N472" t="inlineStr">
        <is>
          <t>2.1.1.01.03.001.02</t>
        </is>
      </c>
      <c r="O472" t="inlineStr">
        <is>
          <t>Indemnizacion por vacaciones</t>
        </is>
      </c>
      <c r="P472" t="inlineStr">
        <is>
          <t>1.2.1.0.00</t>
        </is>
      </c>
      <c r="Q472" t="inlineStr">
        <is>
          <t>INGRESOS CORRIENTES DE LIBRE DESTINACION</t>
        </is>
      </c>
      <c r="R472" t="n">
        <v>9000000</v>
      </c>
      <c r="S472" t="n">
        <v>0</v>
      </c>
      <c r="T472" t="n">
        <v>0</v>
      </c>
      <c r="U472" t="n">
        <v>0</v>
      </c>
      <c r="V472" t="n">
        <v>0</v>
      </c>
      <c r="W472" t="n">
        <v>0</v>
      </c>
      <c r="X472" t="n">
        <v>0</v>
      </c>
      <c r="Y472" t="n">
        <v>9000000</v>
      </c>
      <c r="Z472" t="n">
        <v>5116007</v>
      </c>
      <c r="AA472" t="n">
        <v>5116007</v>
      </c>
      <c r="AB472" t="n">
        <v>5116007</v>
      </c>
      <c r="AC472" t="n">
        <v>5116007</v>
      </c>
      <c r="AD472" t="n">
        <v>3883993</v>
      </c>
      <c r="AE472" t="n">
        <v>56.84</v>
      </c>
    </row>
    <row r="473">
      <c r="A473" t="inlineStr">
        <is>
          <t>8 - SECRETARÍA DE SALUD</t>
        </is>
      </c>
      <c r="B473" t="inlineStr">
        <is>
          <t>00 - SIN SECTOR</t>
        </is>
      </c>
      <c r="C473" t="inlineStr">
        <is>
          <t>00</t>
        </is>
      </c>
      <c r="D473" t="inlineStr">
        <is>
          <t>0000</t>
        </is>
      </c>
      <c r="E473" t="inlineStr">
        <is>
          <t>0000000</t>
        </is>
      </c>
      <c r="F473" t="inlineStr">
        <is>
          <t>SIN PRODUCTO</t>
        </is>
      </c>
      <c r="G473" t="inlineStr">
        <is>
          <t>00</t>
        </is>
      </c>
      <c r="H473" t="inlineStr">
        <is>
          <t>SIN CODIGO BPIN</t>
        </is>
      </c>
      <c r="I473" t="inlineStr">
        <is>
          <t>00</t>
        </is>
      </c>
      <c r="J473" t="inlineStr">
        <is>
          <t>SIN PRODUCTO DANE</t>
        </is>
      </c>
      <c r="K473" t="inlineStr">
        <is>
          <t>00</t>
        </is>
      </c>
      <c r="L473" t="inlineStr">
        <is>
          <t>SIN ATRIBUTO</t>
        </is>
      </c>
      <c r="N473" t="inlineStr">
        <is>
          <t>2.1.1.01.03.001.03</t>
        </is>
      </c>
      <c r="O473" t="inlineStr">
        <is>
          <t>Bonificacion especial de recreacion</t>
        </is>
      </c>
      <c r="P473" t="inlineStr">
        <is>
          <t>1.2.1.0.00</t>
        </is>
      </c>
      <c r="Q473" t="inlineStr">
        <is>
          <t>INGRESOS CORRIENTES DE LIBRE DESTINACION</t>
        </is>
      </c>
      <c r="R473" t="n">
        <v>1213333</v>
      </c>
      <c r="S473" t="n">
        <v>0</v>
      </c>
      <c r="T473" t="n">
        <v>0</v>
      </c>
      <c r="U473" t="n">
        <v>0</v>
      </c>
      <c r="V473" t="n">
        <v>0</v>
      </c>
      <c r="W473" t="n">
        <v>0</v>
      </c>
      <c r="X473" t="n">
        <v>0</v>
      </c>
      <c r="Y473" t="n">
        <v>1213333</v>
      </c>
      <c r="Z473" t="n">
        <v>666733</v>
      </c>
      <c r="AA473" t="n">
        <v>666733</v>
      </c>
      <c r="AB473" t="n">
        <v>666733</v>
      </c>
      <c r="AC473" t="n">
        <v>434400</v>
      </c>
      <c r="AD473" t="n">
        <v>546600</v>
      </c>
      <c r="AE473" t="n">
        <v>54.95</v>
      </c>
    </row>
    <row r="474">
      <c r="A474" t="inlineStr">
        <is>
          <t>8 - SECRETARÍA DE SALUD</t>
        </is>
      </c>
      <c r="B474" t="inlineStr">
        <is>
          <t>00 - SIN SECTOR</t>
        </is>
      </c>
      <c r="C474" t="inlineStr">
        <is>
          <t>00</t>
        </is>
      </c>
      <c r="D474" t="inlineStr">
        <is>
          <t>0000</t>
        </is>
      </c>
      <c r="E474" t="inlineStr">
        <is>
          <t>0000000</t>
        </is>
      </c>
      <c r="F474" t="inlineStr">
        <is>
          <t>SIN PRODUCTO</t>
        </is>
      </c>
      <c r="G474" t="inlineStr">
        <is>
          <t>00</t>
        </is>
      </c>
      <c r="H474" t="inlineStr">
        <is>
          <t>SIN CODIGO BPIN</t>
        </is>
      </c>
      <c r="I474" t="inlineStr">
        <is>
          <t>00</t>
        </is>
      </c>
      <c r="J474" t="inlineStr">
        <is>
          <t>SIN PRODUCTO DANE</t>
        </is>
      </c>
      <c r="K474" t="inlineStr">
        <is>
          <t>00</t>
        </is>
      </c>
      <c r="L474" t="inlineStr">
        <is>
          <t>SIN ATRIBUTO</t>
        </is>
      </c>
      <c r="N474" t="inlineStr">
        <is>
          <t>2.1.3</t>
        </is>
      </c>
      <c r="O474" t="inlineStr">
        <is>
          <t>Transferencias corrientes</t>
        </is>
      </c>
      <c r="P474" t="inlineStr">
        <is>
          <t>00</t>
        </is>
      </c>
      <c r="Q474" t="inlineStr">
        <is>
          <t>RECURSO PROPIOS</t>
        </is>
      </c>
      <c r="R474" t="n">
        <v>15000000</v>
      </c>
      <c r="S474" t="n">
        <v>0</v>
      </c>
      <c r="T474" t="n">
        <v>0</v>
      </c>
      <c r="U474" t="n">
        <v>0</v>
      </c>
      <c r="V474" t="n">
        <v>0</v>
      </c>
      <c r="W474" t="n">
        <v>0</v>
      </c>
      <c r="X474" t="n">
        <v>0</v>
      </c>
      <c r="Y474" t="n">
        <v>15000000</v>
      </c>
      <c r="Z474" t="n">
        <v>0</v>
      </c>
      <c r="AA474" t="n">
        <v>0</v>
      </c>
      <c r="AB474" t="n">
        <v>0</v>
      </c>
      <c r="AC474" t="n">
        <v>0</v>
      </c>
      <c r="AD474" t="n">
        <v>15000000</v>
      </c>
      <c r="AE474" t="n">
        <v>0</v>
      </c>
    </row>
    <row r="475">
      <c r="A475" t="inlineStr">
        <is>
          <t>8 - SECRETARÍA DE SALUD</t>
        </is>
      </c>
      <c r="B475" t="inlineStr">
        <is>
          <t>00 - SIN SECTOR</t>
        </is>
      </c>
      <c r="C475" t="inlineStr">
        <is>
          <t>00</t>
        </is>
      </c>
      <c r="D475" t="inlineStr">
        <is>
          <t>0000</t>
        </is>
      </c>
      <c r="E475" t="inlineStr">
        <is>
          <t>0000000</t>
        </is>
      </c>
      <c r="F475" t="inlineStr">
        <is>
          <t>SIN PRODUCTO</t>
        </is>
      </c>
      <c r="G475" t="inlineStr">
        <is>
          <t>00</t>
        </is>
      </c>
      <c r="H475" t="inlineStr">
        <is>
          <t>SIN CODIGO BPIN</t>
        </is>
      </c>
      <c r="I475" t="inlineStr">
        <is>
          <t>00</t>
        </is>
      </c>
      <c r="J475" t="inlineStr">
        <is>
          <t>SIN PRODUCTO DANE</t>
        </is>
      </c>
      <c r="K475" t="inlineStr">
        <is>
          <t>00</t>
        </is>
      </c>
      <c r="L475" t="inlineStr">
        <is>
          <t>SIN ATRIBUTO</t>
        </is>
      </c>
      <c r="N475" t="inlineStr">
        <is>
          <t>2.1.3.07</t>
        </is>
      </c>
      <c r="O475" t="inlineStr">
        <is>
          <t>Prestaciones para cubrir riesgos sociales</t>
        </is>
      </c>
      <c r="P475" t="inlineStr">
        <is>
          <t>00</t>
        </is>
      </c>
      <c r="Q475" t="inlineStr">
        <is>
          <t>RECURSO PROPIOS</t>
        </is>
      </c>
      <c r="R475" t="n">
        <v>15000000</v>
      </c>
      <c r="S475" t="n">
        <v>0</v>
      </c>
      <c r="T475" t="n">
        <v>0</v>
      </c>
      <c r="U475" t="n">
        <v>0</v>
      </c>
      <c r="V475" t="n">
        <v>0</v>
      </c>
      <c r="W475" t="n">
        <v>0</v>
      </c>
      <c r="X475" t="n">
        <v>0</v>
      </c>
      <c r="Y475" t="n">
        <v>15000000</v>
      </c>
      <c r="Z475" t="n">
        <v>0</v>
      </c>
      <c r="AA475" t="n">
        <v>0</v>
      </c>
      <c r="AB475" t="n">
        <v>0</v>
      </c>
      <c r="AC475" t="n">
        <v>0</v>
      </c>
      <c r="AD475" t="n">
        <v>15000000</v>
      </c>
      <c r="AE475" t="n">
        <v>0</v>
      </c>
    </row>
    <row r="476">
      <c r="A476" t="inlineStr">
        <is>
          <t>8 - SECRETARÍA DE SALUD</t>
        </is>
      </c>
      <c r="B476" t="inlineStr">
        <is>
          <t>00 - SIN SECTOR</t>
        </is>
      </c>
      <c r="C476" t="inlineStr">
        <is>
          <t>00</t>
        </is>
      </c>
      <c r="D476" t="inlineStr">
        <is>
          <t>0000</t>
        </is>
      </c>
      <c r="E476" t="inlineStr">
        <is>
          <t>0000000</t>
        </is>
      </c>
      <c r="F476" t="inlineStr">
        <is>
          <t>SIN PRODUCTO</t>
        </is>
      </c>
      <c r="G476" t="inlineStr">
        <is>
          <t>00</t>
        </is>
      </c>
      <c r="H476" t="inlineStr">
        <is>
          <t>SIN CODIGO BPIN</t>
        </is>
      </c>
      <c r="I476" t="inlineStr">
        <is>
          <t>00</t>
        </is>
      </c>
      <c r="J476" t="inlineStr">
        <is>
          <t>SIN PRODUCTO DANE</t>
        </is>
      </c>
      <c r="K476" t="inlineStr">
        <is>
          <t>00</t>
        </is>
      </c>
      <c r="L476" t="inlineStr">
        <is>
          <t>SIN ATRIBUTO</t>
        </is>
      </c>
      <c r="N476" t="inlineStr">
        <is>
          <t>2.1.3.07.02</t>
        </is>
      </c>
      <c r="O476" t="inlineStr">
        <is>
          <t>Prestaciones sociales relacionadas con el empleo</t>
        </is>
      </c>
      <c r="P476" t="inlineStr">
        <is>
          <t>00</t>
        </is>
      </c>
      <c r="Q476" t="inlineStr">
        <is>
          <t>RECURSO PROPIOS</t>
        </is>
      </c>
      <c r="R476" t="n">
        <v>15000000</v>
      </c>
      <c r="S476" t="n">
        <v>0</v>
      </c>
      <c r="T476" t="n">
        <v>0</v>
      </c>
      <c r="U476" t="n">
        <v>0</v>
      </c>
      <c r="V476" t="n">
        <v>0</v>
      </c>
      <c r="W476" t="n">
        <v>0</v>
      </c>
      <c r="X476" t="n">
        <v>0</v>
      </c>
      <c r="Y476" t="n">
        <v>15000000</v>
      </c>
      <c r="Z476" t="n">
        <v>0</v>
      </c>
      <c r="AA476" t="n">
        <v>0</v>
      </c>
      <c r="AB476" t="n">
        <v>0</v>
      </c>
      <c r="AC476" t="n">
        <v>0</v>
      </c>
      <c r="AD476" t="n">
        <v>15000000</v>
      </c>
      <c r="AE476" t="n">
        <v>0</v>
      </c>
    </row>
    <row r="477">
      <c r="A477" t="inlineStr">
        <is>
          <t>8 - SECRETARÍA DE SALUD</t>
        </is>
      </c>
      <c r="B477" t="inlineStr">
        <is>
          <t>00 - SIN SECTOR</t>
        </is>
      </c>
      <c r="C477" t="inlineStr">
        <is>
          <t>00</t>
        </is>
      </c>
      <c r="D477" t="inlineStr">
        <is>
          <t>0000</t>
        </is>
      </c>
      <c r="E477" t="inlineStr">
        <is>
          <t>0000000</t>
        </is>
      </c>
      <c r="F477" t="inlineStr">
        <is>
          <t>SIN PRODUCTO</t>
        </is>
      </c>
      <c r="G477" t="inlineStr">
        <is>
          <t>00</t>
        </is>
      </c>
      <c r="H477" t="inlineStr">
        <is>
          <t>SIN CODIGO BPIN</t>
        </is>
      </c>
      <c r="I477" t="inlineStr">
        <is>
          <t>00</t>
        </is>
      </c>
      <c r="J477" t="inlineStr">
        <is>
          <t>SIN PRODUCTO DANE</t>
        </is>
      </c>
      <c r="K477" t="inlineStr">
        <is>
          <t>00</t>
        </is>
      </c>
      <c r="L477" t="inlineStr">
        <is>
          <t>SIN ATRIBUTO</t>
        </is>
      </c>
      <c r="N477" t="inlineStr">
        <is>
          <t>2.1.3.07.02.010</t>
        </is>
      </c>
      <c r="O477" t="inlineStr">
        <is>
          <t>Incapacidades y licencias de maternidad y paternidad no de pensiones</t>
        </is>
      </c>
      <c r="P477" t="inlineStr">
        <is>
          <t>00</t>
        </is>
      </c>
      <c r="Q477" t="inlineStr">
        <is>
          <t>RECURSO PROPIOS</t>
        </is>
      </c>
      <c r="R477" t="n">
        <v>15000000</v>
      </c>
      <c r="S477" t="n">
        <v>0</v>
      </c>
      <c r="T477" t="n">
        <v>0</v>
      </c>
      <c r="U477" t="n">
        <v>0</v>
      </c>
      <c r="V477" t="n">
        <v>0</v>
      </c>
      <c r="W477" t="n">
        <v>0</v>
      </c>
      <c r="X477" t="n">
        <v>0</v>
      </c>
      <c r="Y477" t="n">
        <v>15000000</v>
      </c>
      <c r="Z477" t="n">
        <v>0</v>
      </c>
      <c r="AA477" t="n">
        <v>0</v>
      </c>
      <c r="AB477" t="n">
        <v>0</v>
      </c>
      <c r="AC477" t="n">
        <v>0</v>
      </c>
      <c r="AD477" t="n">
        <v>15000000</v>
      </c>
      <c r="AE477" t="n">
        <v>0</v>
      </c>
    </row>
    <row r="478">
      <c r="A478" t="inlineStr">
        <is>
          <t>8 - SECRETARÍA DE SALUD</t>
        </is>
      </c>
      <c r="B478" t="inlineStr">
        <is>
          <t>00 - SIN SECTOR</t>
        </is>
      </c>
      <c r="C478" t="inlineStr">
        <is>
          <t>00</t>
        </is>
      </c>
      <c r="D478" t="inlineStr">
        <is>
          <t>0000</t>
        </is>
      </c>
      <c r="E478" t="inlineStr">
        <is>
          <t>0000000</t>
        </is>
      </c>
      <c r="F478" t="inlineStr">
        <is>
          <t>SIN PRODUCTO</t>
        </is>
      </c>
      <c r="G478" t="inlineStr">
        <is>
          <t>00</t>
        </is>
      </c>
      <c r="H478" t="inlineStr">
        <is>
          <t>SIN CODIGO BPIN</t>
        </is>
      </c>
      <c r="I478" t="inlineStr">
        <is>
          <t>00</t>
        </is>
      </c>
      <c r="J478" t="inlineStr">
        <is>
          <t>SIN PRODUCTO DANE</t>
        </is>
      </c>
      <c r="K478" t="inlineStr">
        <is>
          <t>00</t>
        </is>
      </c>
      <c r="L478" t="inlineStr">
        <is>
          <t>SIN ATRIBUTO</t>
        </is>
      </c>
      <c r="N478" t="inlineStr">
        <is>
          <t>2.1.3.07.02.010.01</t>
        </is>
      </c>
      <c r="O478" t="inlineStr">
        <is>
          <t>Incapacidades no de pensiones</t>
        </is>
      </c>
      <c r="P478" t="inlineStr">
        <is>
          <t>00</t>
        </is>
      </c>
      <c r="Q478" t="inlineStr">
        <is>
          <t>RECURSO PROPIOS</t>
        </is>
      </c>
      <c r="R478" t="n">
        <v>15000000</v>
      </c>
      <c r="S478" t="n">
        <v>0</v>
      </c>
      <c r="T478" t="n">
        <v>0</v>
      </c>
      <c r="U478" t="n">
        <v>0</v>
      </c>
      <c r="V478" t="n">
        <v>0</v>
      </c>
      <c r="W478" t="n">
        <v>0</v>
      </c>
      <c r="X478" t="n">
        <v>0</v>
      </c>
      <c r="Y478" t="n">
        <v>15000000</v>
      </c>
      <c r="Z478" t="n">
        <v>0</v>
      </c>
      <c r="AA478" t="n">
        <v>0</v>
      </c>
      <c r="AB478" t="n">
        <v>0</v>
      </c>
      <c r="AC478" t="n">
        <v>0</v>
      </c>
      <c r="AD478" t="n">
        <v>15000000</v>
      </c>
      <c r="AE478" t="n">
        <v>0</v>
      </c>
    </row>
    <row r="479">
      <c r="A479" t="inlineStr">
        <is>
          <t>8 - SECRETARÍA DE SALUD</t>
        </is>
      </c>
      <c r="B479" t="inlineStr">
        <is>
          <t>00 - SIN SECTOR</t>
        </is>
      </c>
      <c r="C479" t="inlineStr">
        <is>
          <t>00</t>
        </is>
      </c>
      <c r="D479" t="inlineStr">
        <is>
          <t>0000</t>
        </is>
      </c>
      <c r="E479" t="inlineStr">
        <is>
          <t>0000000</t>
        </is>
      </c>
      <c r="F479" t="inlineStr">
        <is>
          <t>SIN PRODUCTO</t>
        </is>
      </c>
      <c r="G479" t="inlineStr">
        <is>
          <t>00</t>
        </is>
      </c>
      <c r="H479" t="inlineStr">
        <is>
          <t>SIN CODIGO BPIN</t>
        </is>
      </c>
      <c r="I479" t="inlineStr">
        <is>
          <t>00</t>
        </is>
      </c>
      <c r="J479" t="inlineStr">
        <is>
          <t>SIN PRODUCTO DANE</t>
        </is>
      </c>
      <c r="K479" t="inlineStr">
        <is>
          <t>00</t>
        </is>
      </c>
      <c r="L479" t="inlineStr">
        <is>
          <t>SIN ATRIBUTO</t>
        </is>
      </c>
      <c r="N479" t="inlineStr">
        <is>
          <t>2.1.3.07.02.010.01.01</t>
        </is>
      </c>
      <c r="O479" t="inlineStr">
        <is>
          <t>Incapacidades</t>
        </is>
      </c>
      <c r="P479" t="inlineStr">
        <is>
          <t>1.2.1.0.00</t>
        </is>
      </c>
      <c r="Q479" t="inlineStr">
        <is>
          <t>INGRESOS CORRIENTES DE LIBRE DESTINACION</t>
        </is>
      </c>
      <c r="R479" t="n">
        <v>10000000</v>
      </c>
      <c r="S479" t="n">
        <v>0</v>
      </c>
      <c r="T479" t="n">
        <v>0</v>
      </c>
      <c r="U479" t="n">
        <v>0</v>
      </c>
      <c r="V479" t="n">
        <v>0</v>
      </c>
      <c r="W479" t="n">
        <v>0</v>
      </c>
      <c r="X479" t="n">
        <v>0</v>
      </c>
      <c r="Y479" t="n">
        <v>10000000</v>
      </c>
      <c r="Z479" t="n">
        <v>0</v>
      </c>
      <c r="AA479" t="n">
        <v>0</v>
      </c>
      <c r="AB479" t="n">
        <v>0</v>
      </c>
      <c r="AC479" t="n">
        <v>0</v>
      </c>
      <c r="AD479" t="n">
        <v>10000000</v>
      </c>
      <c r="AE479" t="n">
        <v>0</v>
      </c>
    </row>
    <row r="480">
      <c r="A480" t="inlineStr">
        <is>
          <t>8 - SECRETARÍA DE SALUD</t>
        </is>
      </c>
      <c r="B480" t="inlineStr">
        <is>
          <t>00 - SIN SECTOR</t>
        </is>
      </c>
      <c r="C480" t="inlineStr">
        <is>
          <t>00</t>
        </is>
      </c>
      <c r="D480" t="inlineStr">
        <is>
          <t>0000</t>
        </is>
      </c>
      <c r="E480" t="inlineStr">
        <is>
          <t>0000000</t>
        </is>
      </c>
      <c r="F480" t="inlineStr">
        <is>
          <t>SIN PRODUCTO</t>
        </is>
      </c>
      <c r="G480" t="inlineStr">
        <is>
          <t>00</t>
        </is>
      </c>
      <c r="H480" t="inlineStr">
        <is>
          <t>SIN CODIGO BPIN</t>
        </is>
      </c>
      <c r="I480" t="inlineStr">
        <is>
          <t>00</t>
        </is>
      </c>
      <c r="J480" t="inlineStr">
        <is>
          <t>SIN PRODUCTO DANE</t>
        </is>
      </c>
      <c r="K480" t="inlineStr">
        <is>
          <t>00</t>
        </is>
      </c>
      <c r="L480" t="inlineStr">
        <is>
          <t>SIN ATRIBUTO</t>
        </is>
      </c>
      <c r="N480" t="inlineStr">
        <is>
          <t>2.1.3.07.02.010.01.02</t>
        </is>
      </c>
      <c r="O480" t="inlineStr">
        <is>
          <t>licencias de maternidad y paternidad (no de pensiones)</t>
        </is>
      </c>
      <c r="P480" t="inlineStr">
        <is>
          <t>1.2.1.0.00</t>
        </is>
      </c>
      <c r="Q480" t="inlineStr">
        <is>
          <t>INGRESOS CORRIENTES DE LIBRE DESTINACION</t>
        </is>
      </c>
      <c r="R480" t="n">
        <v>5000000</v>
      </c>
      <c r="S480" t="n">
        <v>0</v>
      </c>
      <c r="T480" t="n">
        <v>0</v>
      </c>
      <c r="U480" t="n">
        <v>0</v>
      </c>
      <c r="V480" t="n">
        <v>0</v>
      </c>
      <c r="W480" t="n">
        <v>0</v>
      </c>
      <c r="X480" t="n">
        <v>0</v>
      </c>
      <c r="Y480" t="n">
        <v>5000000</v>
      </c>
      <c r="Z480" t="n">
        <v>0</v>
      </c>
      <c r="AA480" t="n">
        <v>0</v>
      </c>
      <c r="AB480" t="n">
        <v>0</v>
      </c>
      <c r="AC480" t="n">
        <v>0</v>
      </c>
      <c r="AD480" t="n">
        <v>5000000</v>
      </c>
      <c r="AE480" t="n">
        <v>0</v>
      </c>
    </row>
    <row r="481">
      <c r="A481" t="inlineStr">
        <is>
          <t>8 - SECRETARÍA DE SALUD</t>
        </is>
      </c>
      <c r="B481" t="inlineStr">
        <is>
          <t>00 - SIN SECTOR</t>
        </is>
      </c>
      <c r="C481" t="inlineStr">
        <is>
          <t>00</t>
        </is>
      </c>
      <c r="D481" t="inlineStr">
        <is>
          <t>0000</t>
        </is>
      </c>
      <c r="E481" t="inlineStr">
        <is>
          <t>000000</t>
        </is>
      </c>
      <c r="F481" t="inlineStr">
        <is>
          <t>SIN PRODUCTO</t>
        </is>
      </c>
      <c r="G481" t="inlineStr">
        <is>
          <t>00</t>
        </is>
      </c>
      <c r="H481" t="inlineStr">
        <is>
          <t>SIN CODIGO BPIN</t>
        </is>
      </c>
      <c r="I481" t="inlineStr">
        <is>
          <t>00</t>
        </is>
      </c>
      <c r="J481" t="inlineStr">
        <is>
          <t>SIN PRODUCTO DANE</t>
        </is>
      </c>
      <c r="K481" t="inlineStr">
        <is>
          <t>00</t>
        </is>
      </c>
      <c r="L481" t="inlineStr">
        <is>
          <t>SIN ATRIBUTO</t>
        </is>
      </c>
      <c r="N481" t="inlineStr">
        <is>
          <t>2.3</t>
        </is>
      </c>
      <c r="O481" t="inlineStr">
        <is>
          <t>Inversión</t>
        </is>
      </c>
      <c r="P481" t="inlineStr">
        <is>
          <t>00</t>
        </is>
      </c>
      <c r="Q481" t="inlineStr">
        <is>
          <t>RECURSO PROPIOS</t>
        </is>
      </c>
      <c r="R481" t="n">
        <v>229505778201</v>
      </c>
      <c r="S481" t="n">
        <v>13555337535.31</v>
      </c>
      <c r="T481" t="n">
        <v>0</v>
      </c>
      <c r="U481" t="n">
        <v>1328608510.67</v>
      </c>
      <c r="V481" t="n">
        <v>1328608510.67</v>
      </c>
      <c r="W481" t="n">
        <v>0</v>
      </c>
      <c r="X481" t="n">
        <v>0</v>
      </c>
      <c r="Y481" t="n">
        <v>243061115736.31</v>
      </c>
      <c r="Z481" t="n">
        <v>229096561471.1</v>
      </c>
      <c r="AA481" t="n">
        <v>109943656902.3</v>
      </c>
      <c r="AB481" t="n">
        <v>108217393300.3</v>
      </c>
      <c r="AC481" t="n">
        <v>108203093300.3</v>
      </c>
      <c r="AD481" t="n">
        <v>133117458834.01</v>
      </c>
      <c r="AE481" t="n">
        <v>45.23</v>
      </c>
    </row>
    <row r="482">
      <c r="A482" t="inlineStr">
        <is>
          <t>8 - SECRETARÍA DE SALUD</t>
        </is>
      </c>
      <c r="B482" t="inlineStr">
        <is>
          <t>00 - SIN SECTOR</t>
        </is>
      </c>
      <c r="C482" t="inlineStr">
        <is>
          <t>00</t>
        </is>
      </c>
      <c r="D482" t="inlineStr">
        <is>
          <t>0000</t>
        </is>
      </c>
      <c r="E482" t="inlineStr">
        <is>
          <t>000000</t>
        </is>
      </c>
      <c r="F482" t="inlineStr">
        <is>
          <t>SIN PRODUCTO</t>
        </is>
      </c>
      <c r="G482" t="inlineStr">
        <is>
          <t>00</t>
        </is>
      </c>
      <c r="H482" t="inlineStr">
        <is>
          <t>SIN CODIGO BPIN</t>
        </is>
      </c>
      <c r="I482" t="inlineStr">
        <is>
          <t>00</t>
        </is>
      </c>
      <c r="J482" t="inlineStr">
        <is>
          <t>SIN PRODUCTO DANE</t>
        </is>
      </c>
      <c r="K482" t="inlineStr">
        <is>
          <t>00</t>
        </is>
      </c>
      <c r="L482" t="inlineStr">
        <is>
          <t>SIN ATRIBUTO</t>
        </is>
      </c>
      <c r="N482" t="inlineStr">
        <is>
          <t>2.3.2</t>
        </is>
      </c>
      <c r="O482" t="inlineStr">
        <is>
          <t>Adquisición de Bienes y Servicios</t>
        </is>
      </c>
      <c r="P482" t="inlineStr">
        <is>
          <t>00</t>
        </is>
      </c>
      <c r="Q482" t="inlineStr">
        <is>
          <t>RECURSO PROPIOS</t>
        </is>
      </c>
      <c r="R482" t="n">
        <v>229505778201</v>
      </c>
      <c r="S482" t="n">
        <v>13555337535.31</v>
      </c>
      <c r="T482" t="n">
        <v>0</v>
      </c>
      <c r="U482" t="n">
        <v>1328608510.67</v>
      </c>
      <c r="V482" t="n">
        <v>1328608510.67</v>
      </c>
      <c r="W482" t="n">
        <v>0</v>
      </c>
      <c r="X482" t="n">
        <v>0</v>
      </c>
      <c r="Y482" t="n">
        <v>243061115736.31</v>
      </c>
      <c r="Z482" t="n">
        <v>229096561471.1</v>
      </c>
      <c r="AA482" t="n">
        <v>109943656902.3</v>
      </c>
      <c r="AB482" t="n">
        <v>108217393300.3</v>
      </c>
      <c r="AC482" t="n">
        <v>108203093300.3</v>
      </c>
      <c r="AD482" t="n">
        <v>133117458834.01</v>
      </c>
      <c r="AE482" t="n">
        <v>45.23</v>
      </c>
    </row>
    <row r="483">
      <c r="A483" t="inlineStr">
        <is>
          <t>8 - SECRETARÍA DE SALUD</t>
        </is>
      </c>
      <c r="B483" t="inlineStr">
        <is>
          <t>00 - SIN SECTOR</t>
        </is>
      </c>
      <c r="C483" t="inlineStr">
        <is>
          <t>00</t>
        </is>
      </c>
      <c r="D483" t="inlineStr">
        <is>
          <t>0000</t>
        </is>
      </c>
      <c r="E483" t="inlineStr">
        <is>
          <t>000000</t>
        </is>
      </c>
      <c r="F483" t="inlineStr">
        <is>
          <t>SIN PRODUCTO</t>
        </is>
      </c>
      <c r="G483" t="inlineStr">
        <is>
          <t>00</t>
        </is>
      </c>
      <c r="H483" t="inlineStr">
        <is>
          <t>SIN CODIGO BPIN</t>
        </is>
      </c>
      <c r="I483" t="inlineStr">
        <is>
          <t>00</t>
        </is>
      </c>
      <c r="J483" t="inlineStr">
        <is>
          <t>SIN PRODUCTO DANE</t>
        </is>
      </c>
      <c r="K483" t="inlineStr">
        <is>
          <t>00</t>
        </is>
      </c>
      <c r="L483" t="inlineStr">
        <is>
          <t>SIN ATRIBUTO</t>
        </is>
      </c>
      <c r="N483" t="inlineStr">
        <is>
          <t>2.3.2.02</t>
        </is>
      </c>
      <c r="O483" t="inlineStr">
        <is>
          <t>Adquisiciones Diferentes De Activos</t>
        </is>
      </c>
      <c r="P483" t="inlineStr">
        <is>
          <t>00</t>
        </is>
      </c>
      <c r="Q483" t="inlineStr">
        <is>
          <t>RECURSO PROPIOS</t>
        </is>
      </c>
      <c r="R483" t="n">
        <v>229505778201</v>
      </c>
      <c r="S483" t="n">
        <v>13555337535.31</v>
      </c>
      <c r="T483" t="n">
        <v>0</v>
      </c>
      <c r="U483" t="n">
        <v>1328608510.67</v>
      </c>
      <c r="V483" t="n">
        <v>1328608510.67</v>
      </c>
      <c r="W483" t="n">
        <v>0</v>
      </c>
      <c r="X483" t="n">
        <v>0</v>
      </c>
      <c r="Y483" t="n">
        <v>243061115736.31</v>
      </c>
      <c r="Z483" t="n">
        <v>229096561471.1</v>
      </c>
      <c r="AA483" t="n">
        <v>109943656902.3</v>
      </c>
      <c r="AB483" t="n">
        <v>108217393300.3</v>
      </c>
      <c r="AC483" t="n">
        <v>108203093300.3</v>
      </c>
      <c r="AD483" t="n">
        <v>133117458834.01</v>
      </c>
      <c r="AE483" t="n">
        <v>45.23</v>
      </c>
    </row>
    <row r="484">
      <c r="A484" t="inlineStr">
        <is>
          <t>8 - SECRETARÍA DE SALUD</t>
        </is>
      </c>
      <c r="B484" t="inlineStr">
        <is>
          <t>00 - SIN SECTOR</t>
        </is>
      </c>
      <c r="C484" t="inlineStr">
        <is>
          <t>00</t>
        </is>
      </c>
      <c r="D484" t="inlineStr">
        <is>
          <t>0000</t>
        </is>
      </c>
      <c r="E484" t="inlineStr">
        <is>
          <t>000000</t>
        </is>
      </c>
      <c r="F484" t="inlineStr">
        <is>
          <t>SIN PRODUCTO</t>
        </is>
      </c>
      <c r="G484" t="inlineStr">
        <is>
          <t>00</t>
        </is>
      </c>
      <c r="H484" t="inlineStr">
        <is>
          <t>SIN CODIGO BPIN</t>
        </is>
      </c>
      <c r="I484" t="inlineStr">
        <is>
          <t>00</t>
        </is>
      </c>
      <c r="J484" t="inlineStr">
        <is>
          <t>SIN PRODUCTO DANE</t>
        </is>
      </c>
      <c r="K484" t="inlineStr">
        <is>
          <t>00</t>
        </is>
      </c>
      <c r="L484" t="inlineStr">
        <is>
          <t>SIN ATRIBUTO</t>
        </is>
      </c>
      <c r="N484" t="inlineStr">
        <is>
          <t>2.3.2.02.02</t>
        </is>
      </c>
      <c r="O484" t="inlineStr">
        <is>
          <t>Adquisición De Servicios</t>
        </is>
      </c>
      <c r="P484" t="inlineStr">
        <is>
          <t>00</t>
        </is>
      </c>
      <c r="Q484" t="inlineStr">
        <is>
          <t>RECURSO PROPIOS</t>
        </is>
      </c>
      <c r="R484" t="n">
        <v>229505778201</v>
      </c>
      <c r="S484" t="n">
        <v>13555337535.31</v>
      </c>
      <c r="T484" t="n">
        <v>0</v>
      </c>
      <c r="U484" t="n">
        <v>1328608510.67</v>
      </c>
      <c r="V484" t="n">
        <v>1328608510.67</v>
      </c>
      <c r="W484" t="n">
        <v>0</v>
      </c>
      <c r="X484" t="n">
        <v>0</v>
      </c>
      <c r="Y484" t="n">
        <v>243061115736.31</v>
      </c>
      <c r="Z484" t="n">
        <v>229096561471.1</v>
      </c>
      <c r="AA484" t="n">
        <v>109943656902.3</v>
      </c>
      <c r="AB484" t="n">
        <v>108217393300.3</v>
      </c>
      <c r="AC484" t="n">
        <v>108203093300.3</v>
      </c>
      <c r="AD484" t="n">
        <v>133117458834.01</v>
      </c>
      <c r="AE484" t="n">
        <v>45.23</v>
      </c>
    </row>
    <row r="485">
      <c r="A485" t="inlineStr">
        <is>
          <t>8 - SECRETARÍA DE SALUD</t>
        </is>
      </c>
      <c r="B485" t="inlineStr">
        <is>
          <t>00 - SIN SECTOR</t>
        </is>
      </c>
      <c r="C485" t="inlineStr">
        <is>
          <t>00</t>
        </is>
      </c>
      <c r="D485" t="inlineStr">
        <is>
          <t>0000</t>
        </is>
      </c>
      <c r="E485" t="inlineStr">
        <is>
          <t>000000</t>
        </is>
      </c>
      <c r="F485" t="inlineStr">
        <is>
          <t>SIN PRODUCTO</t>
        </is>
      </c>
      <c r="G485" t="inlineStr">
        <is>
          <t>00</t>
        </is>
      </c>
      <c r="H485" t="inlineStr">
        <is>
          <t>SIN CODIGO BPIN</t>
        </is>
      </c>
      <c r="I485" t="inlineStr">
        <is>
          <t>00</t>
        </is>
      </c>
      <c r="J485" t="inlineStr">
        <is>
          <t>SIN PRODUCTO DANE</t>
        </is>
      </c>
      <c r="K485" t="inlineStr">
        <is>
          <t>00</t>
        </is>
      </c>
      <c r="L485" t="inlineStr">
        <is>
          <t>SIN ATRIBUTO</t>
        </is>
      </c>
      <c r="N485" t="inlineStr">
        <is>
          <t>2.3.2.02.02.009</t>
        </is>
      </c>
      <c r="O485" t="inlineStr">
        <is>
          <t>Servicios Para la Comunidad Sociales y Personales</t>
        </is>
      </c>
      <c r="P485" t="inlineStr">
        <is>
          <t>00</t>
        </is>
      </c>
      <c r="Q485" t="inlineStr">
        <is>
          <t>RECURSO PROPIOS</t>
        </is>
      </c>
      <c r="R485" t="n">
        <v>229505778201</v>
      </c>
      <c r="S485" t="n">
        <v>13555337535.31</v>
      </c>
      <c r="T485" t="n">
        <v>0</v>
      </c>
      <c r="U485" t="n">
        <v>1328608510.67</v>
      </c>
      <c r="V485" t="n">
        <v>1328608510.67</v>
      </c>
      <c r="W485" t="n">
        <v>0</v>
      </c>
      <c r="X485" t="n">
        <v>0</v>
      </c>
      <c r="Y485" t="n">
        <v>243061115736.31</v>
      </c>
      <c r="Z485" t="n">
        <v>229096561471.1</v>
      </c>
      <c r="AA485" t="n">
        <v>109943656902.3</v>
      </c>
      <c r="AB485" t="n">
        <v>108217393300.3</v>
      </c>
      <c r="AC485" t="n">
        <v>108203093300.3</v>
      </c>
      <c r="AD485" t="n">
        <v>133117458834.01</v>
      </c>
      <c r="AE485" t="n">
        <v>45.23</v>
      </c>
    </row>
    <row r="486">
      <c r="A486" t="inlineStr">
        <is>
          <t>8 - SECRETARÍA DE SALUD</t>
        </is>
      </c>
      <c r="B486" t="inlineStr">
        <is>
          <t>19 - SALUD Y PROTECCIÓN SOCIAL</t>
        </is>
      </c>
      <c r="C486" t="inlineStr">
        <is>
          <t>0300</t>
        </is>
      </c>
      <c r="D486" t="inlineStr">
        <is>
          <t>1906</t>
        </is>
      </c>
      <c r="E486" t="inlineStr">
        <is>
          <t>1906044</t>
        </is>
      </c>
      <c r="F486" t="inlineStr">
        <is>
          <t>SERVICIO DE AFILIACIONES AL REGIMEN SUBSIDIADO DEL SISTEMA GENERAL DE SEGURIDAD SOCIAL</t>
        </is>
      </c>
      <c r="G486" t="inlineStr">
        <is>
          <t>2024548740041</t>
        </is>
      </c>
      <c r="H486" t="inlineStr">
        <is>
          <t>FORTALECIMIENTO DEL ASEGURAMIENTO Y PRESTACIÓN INTEGRAL DE SERVICIOS DE SALUD VILLA DEL ROSARIO UNA CIUDAD POSIBLE</t>
        </is>
      </c>
      <c r="I486" t="inlineStr">
        <is>
          <t>91122</t>
        </is>
      </c>
      <c r="J486" t="inlineStr">
        <is>
          <t>Servicios de la administración pública relacionados con la salud</t>
        </is>
      </c>
      <c r="K486" t="inlineStr">
        <is>
          <t>00</t>
        </is>
      </c>
      <c r="L486" t="inlineStr">
        <is>
          <t>SIN ATRIBUTO</t>
        </is>
      </c>
      <c r="N486" t="inlineStr">
        <is>
          <t>2.3.2.02.02.009.19.01</t>
        </is>
      </c>
      <c r="O486" t="inlineStr">
        <is>
          <t>Auditoria Régimen subsidiado</t>
        </is>
      </c>
      <c r="P486" t="inlineStr">
        <is>
          <t>1.2.3.2.28.02</t>
        </is>
      </c>
      <c r="Q486" t="inlineStr">
        <is>
          <t>DERECHOS POR LA EXPLOTACION DE JUEGOS DE SUERTE Y AZAR - CSF</t>
        </is>
      </c>
      <c r="R486" t="n">
        <v>230000000</v>
      </c>
      <c r="S486" t="n">
        <v>0</v>
      </c>
      <c r="T486" t="n">
        <v>0</v>
      </c>
      <c r="U486" t="n">
        <v>0</v>
      </c>
      <c r="V486" t="n">
        <v>30000000</v>
      </c>
      <c r="W486" t="n">
        <v>0</v>
      </c>
      <c r="X486" t="n">
        <v>0</v>
      </c>
      <c r="Y486" t="n">
        <v>200000000</v>
      </c>
      <c r="Z486" t="n">
        <v>156000000</v>
      </c>
      <c r="AA486" t="n">
        <v>156000000</v>
      </c>
      <c r="AB486" t="n">
        <v>78000000</v>
      </c>
      <c r="AC486" t="n">
        <v>78000000</v>
      </c>
      <c r="AD486" t="n">
        <v>44000000</v>
      </c>
      <c r="AE486" t="n">
        <v>78</v>
      </c>
    </row>
    <row r="487">
      <c r="A487" t="inlineStr">
        <is>
          <t>8 - SECRETARÍA DE SALUD</t>
        </is>
      </c>
      <c r="B487" t="inlineStr">
        <is>
          <t>19 - SALUD Y PROTECCIÓN SOCIAL</t>
        </is>
      </c>
      <c r="C487" t="inlineStr">
        <is>
          <t>0300</t>
        </is>
      </c>
      <c r="D487" t="inlineStr">
        <is>
          <t>1906</t>
        </is>
      </c>
      <c r="E487" t="inlineStr">
        <is>
          <t>1906044</t>
        </is>
      </c>
      <c r="F487" t="inlineStr">
        <is>
          <t>SERVICIO DE AFILIACIONES AL REGIMEN SUBSIDIADO DEL SISTEMA GENERAL DE SEGURIDAD SOCIAL</t>
        </is>
      </c>
      <c r="G487" t="inlineStr">
        <is>
          <t>2024548740041</t>
        </is>
      </c>
      <c r="H487" t="inlineStr">
        <is>
          <t>FORTALECIMIENTO DEL ASEGURAMIENTO Y PRESTACIÓN INTEGRAL DE SERVICIOS DE SALUD VILLA DEL ROSARIO UNA CIUDAD POSIBLE</t>
        </is>
      </c>
      <c r="I487" t="inlineStr">
        <is>
          <t>91122</t>
        </is>
      </c>
      <c r="J487" t="inlineStr">
        <is>
          <t>Servicios de la administración pública relacionados con la salud</t>
        </is>
      </c>
      <c r="K487" t="inlineStr">
        <is>
          <t>00</t>
        </is>
      </c>
      <c r="L487" t="inlineStr">
        <is>
          <t>SIN ATRIBUTO</t>
        </is>
      </c>
      <c r="N487" t="inlineStr">
        <is>
          <t>2.3.2.02.02.009.19.02</t>
        </is>
      </c>
      <c r="O487" t="inlineStr">
        <is>
          <t>Servicio de afiliaciones al régimen subsidiado del Sistema General de Seguridad Social RS</t>
        </is>
      </c>
      <c r="P487" t="inlineStr">
        <is>
          <t>1.2.3.2.28.01</t>
        </is>
      </c>
      <c r="Q487" t="inlineStr">
        <is>
          <t>DERECHOS POR LA EXPLOTACION DE JUEGOS DE SUERTE Y AZAR - SSF</t>
        </is>
      </c>
      <c r="R487" t="n">
        <v>1760000000</v>
      </c>
      <c r="S487" t="n">
        <v>185426399</v>
      </c>
      <c r="T487" t="n">
        <v>0</v>
      </c>
      <c r="U487" t="n">
        <v>0</v>
      </c>
      <c r="V487" t="n">
        <v>0</v>
      </c>
      <c r="W487" t="n">
        <v>0</v>
      </c>
      <c r="X487" t="n">
        <v>0</v>
      </c>
      <c r="Y487" t="n">
        <v>1945426399</v>
      </c>
      <c r="Z487" t="n">
        <v>1760000000</v>
      </c>
      <c r="AA487" t="n">
        <v>712857941.02</v>
      </c>
      <c r="AB487" t="n">
        <v>712857941.02</v>
      </c>
      <c r="AC487" t="n">
        <v>712857941.02</v>
      </c>
      <c r="AD487" t="n">
        <v>1232568457.98</v>
      </c>
      <c r="AE487" t="n">
        <v>36.64</v>
      </c>
    </row>
    <row r="488">
      <c r="A488" t="inlineStr">
        <is>
          <t>8 - SECRETARÍA DE SALUD</t>
        </is>
      </c>
      <c r="B488" t="inlineStr">
        <is>
          <t>19 - SALUD Y PROTECCIÓN SOCIAL</t>
        </is>
      </c>
      <c r="C488" t="inlineStr">
        <is>
          <t>0300</t>
        </is>
      </c>
      <c r="D488" t="inlineStr">
        <is>
          <t>1906</t>
        </is>
      </c>
      <c r="E488" t="inlineStr">
        <is>
          <t>1906044</t>
        </is>
      </c>
      <c r="F488" t="inlineStr">
        <is>
          <t>SERVICIO DE AFILIACIONES AL REGIMEN SUBSIDIADO DEL SISTEMA GENERAL DE SEGURIDAD SOCIAL</t>
        </is>
      </c>
      <c r="G488" t="inlineStr">
        <is>
          <t>2024548740041</t>
        </is>
      </c>
      <c r="H488" t="inlineStr">
        <is>
          <t>FORTALECIMIENTO DEL ASEGURAMIENTO Y PRESTACIÓN INTEGRAL DE SERVICIOS DE SALUD VILLA DEL ROSARIO UNA CIUDAD POSIBLE</t>
        </is>
      </c>
      <c r="I488" t="inlineStr">
        <is>
          <t>91122</t>
        </is>
      </c>
      <c r="J488" t="inlineStr">
        <is>
          <t>Servicios de la administración pública relacionados con la salud</t>
        </is>
      </c>
      <c r="K488" t="inlineStr">
        <is>
          <t>00</t>
        </is>
      </c>
      <c r="L488" t="inlineStr">
        <is>
          <t>SIN ATRIBUTO</t>
        </is>
      </c>
      <c r="N488" t="inlineStr">
        <is>
          <t>2.3.2.02.02.009.19.03</t>
        </is>
      </c>
      <c r="O488" t="inlineStr">
        <is>
          <t>Auditoria Régimen subsidiado</t>
        </is>
      </c>
      <c r="P488" t="inlineStr">
        <is>
          <t>1.3.2.3.03</t>
        </is>
      </c>
      <c r="Q488" t="inlineStr">
        <is>
          <t>R.F. DE SISTEMA GENERAL DE SEGURIDAD SOCIAL EN SALUD RECURSOS DE ENTIDADES TERRITORIALES</t>
        </is>
      </c>
      <c r="R488" t="n">
        <v>200000</v>
      </c>
      <c r="S488" t="n">
        <v>0</v>
      </c>
      <c r="T488" t="n">
        <v>0</v>
      </c>
      <c r="U488" t="n">
        <v>0</v>
      </c>
      <c r="V488" t="n">
        <v>0</v>
      </c>
      <c r="W488" t="n">
        <v>0</v>
      </c>
      <c r="X488" t="n">
        <v>0</v>
      </c>
      <c r="Y488" t="n">
        <v>200000</v>
      </c>
      <c r="Z488" t="n">
        <v>0</v>
      </c>
      <c r="AA488" t="n">
        <v>0</v>
      </c>
      <c r="AB488" t="n">
        <v>0</v>
      </c>
      <c r="AC488" t="n">
        <v>0</v>
      </c>
      <c r="AD488" t="n">
        <v>200000</v>
      </c>
      <c r="AE488" t="n">
        <v>0</v>
      </c>
    </row>
    <row r="489">
      <c r="A489" t="inlineStr">
        <is>
          <t>8 - SECRETARÍA DE SALUD</t>
        </is>
      </c>
      <c r="B489" t="inlineStr">
        <is>
          <t>19 - SALUD Y PROTECCIÓN SOCIAL</t>
        </is>
      </c>
      <c r="C489" t="inlineStr">
        <is>
          <t>0300</t>
        </is>
      </c>
      <c r="D489" t="inlineStr">
        <is>
          <t>1906</t>
        </is>
      </c>
      <c r="E489" t="inlineStr">
        <is>
          <t>1906004</t>
        </is>
      </c>
      <c r="F489" t="inlineStr">
        <is>
          <t>SERVICIO DE ATENCIÓN EN SALUD A LA POBLACIÓN</t>
        </is>
      </c>
      <c r="G489" t="inlineStr">
        <is>
          <t>2024548740041</t>
        </is>
      </c>
      <c r="H489" t="inlineStr">
        <is>
          <t>FORTALECIMIENTO DEL ASEGURAMIENTO Y PRESTACIÓN INTEGRAL DE SERVICIOS DE SALUD VILLA DEL ROSARIO UNA CIUDAD POSIBLE</t>
        </is>
      </c>
      <c r="I489" t="inlineStr">
        <is>
          <t>91122</t>
        </is>
      </c>
      <c r="J489" t="inlineStr">
        <is>
          <t>Servicios de la administración pública relacionados con la salud</t>
        </is>
      </c>
      <c r="K489" t="inlineStr">
        <is>
          <t>00</t>
        </is>
      </c>
      <c r="L489" t="inlineStr">
        <is>
          <t>SIN ATRIBUTO</t>
        </is>
      </c>
      <c r="N489" t="inlineStr">
        <is>
          <t>2.3.2.02.02.009.19.04</t>
        </is>
      </c>
      <c r="O489" t="inlineStr">
        <is>
          <t>Servicio de atención en salud a la población OFERTA</t>
        </is>
      </c>
      <c r="P489" t="inlineStr">
        <is>
          <t>1.3.2.2.07</t>
        </is>
      </c>
      <c r="Q489" t="inlineStr">
        <is>
          <t>R.F. SGP - SALUD-PRESTACION DEL SERVICIO DE SALUD</t>
        </is>
      </c>
      <c r="R489" t="n">
        <v>700000</v>
      </c>
      <c r="S489" t="n">
        <v>0</v>
      </c>
      <c r="T489" t="n">
        <v>0</v>
      </c>
      <c r="U489" t="n">
        <v>0</v>
      </c>
      <c r="V489" t="n">
        <v>0</v>
      </c>
      <c r="W489" t="n">
        <v>0</v>
      </c>
      <c r="X489" t="n">
        <v>0</v>
      </c>
      <c r="Y489" t="n">
        <v>700000</v>
      </c>
      <c r="Z489" t="n">
        <v>700000</v>
      </c>
      <c r="AA489" t="n">
        <v>700000</v>
      </c>
      <c r="AB489" t="n">
        <v>0</v>
      </c>
      <c r="AC489" t="n">
        <v>0</v>
      </c>
      <c r="AD489" t="n">
        <v>0</v>
      </c>
      <c r="AE489" t="n">
        <v>100</v>
      </c>
    </row>
    <row r="490">
      <c r="A490" t="inlineStr">
        <is>
          <t>8 - SECRETARÍA DE SALUD</t>
        </is>
      </c>
      <c r="B490" t="inlineStr">
        <is>
          <t>19 - SALUD Y PROTECCIÓN SOCIAL</t>
        </is>
      </c>
      <c r="C490" t="inlineStr">
        <is>
          <t>0300</t>
        </is>
      </c>
      <c r="D490" t="inlineStr">
        <is>
          <t>1906</t>
        </is>
      </c>
      <c r="E490" t="inlineStr">
        <is>
          <t>1906004</t>
        </is>
      </c>
      <c r="F490" t="inlineStr">
        <is>
          <t>SERVICIO DE ATENCIÓN EN SALUD A LA POBLACIÓN</t>
        </is>
      </c>
      <c r="G490" t="inlineStr">
        <is>
          <t>2024548740041</t>
        </is>
      </c>
      <c r="H490" t="inlineStr">
        <is>
          <t>FORTALECIMIENTO DEL ASEGURAMIENTO Y PRESTACIÓN INTEGRAL DE SERVICIOS DE SALUD VILLA DEL ROSARIO UNA CIUDAD POSIBLE</t>
        </is>
      </c>
      <c r="I490" t="inlineStr">
        <is>
          <t>91122</t>
        </is>
      </c>
      <c r="J490" t="inlineStr">
        <is>
          <t>Servicios de la administración pública relacionados con la salud</t>
        </is>
      </c>
      <c r="K490" t="inlineStr">
        <is>
          <t>00</t>
        </is>
      </c>
      <c r="L490" t="inlineStr">
        <is>
          <t>SIN ATRIBUTO</t>
        </is>
      </c>
      <c r="N490" t="inlineStr">
        <is>
          <t>2.3.2.02.02.009.19.05</t>
        </is>
      </c>
      <c r="O490" t="inlineStr">
        <is>
          <t>Servicio de atención en salud a la población OFERTA</t>
        </is>
      </c>
      <c r="P490" t="inlineStr">
        <is>
          <t>1.3.2.2.07</t>
        </is>
      </c>
      <c r="Q490" t="inlineStr">
        <is>
          <t>R.F. SGP - SALUD-PRESTACION DEL SERVICIO DE SALUD</t>
        </is>
      </c>
      <c r="R490" t="n">
        <v>0</v>
      </c>
      <c r="S490" t="n">
        <v>796687</v>
      </c>
      <c r="T490" t="n">
        <v>0</v>
      </c>
      <c r="U490" t="n">
        <v>0</v>
      </c>
      <c r="V490" t="n">
        <v>0</v>
      </c>
      <c r="W490" t="n">
        <v>0</v>
      </c>
      <c r="X490" t="n">
        <v>0</v>
      </c>
      <c r="Y490" t="n">
        <v>796687</v>
      </c>
      <c r="Z490" t="n">
        <v>0</v>
      </c>
      <c r="AA490" t="n">
        <v>0</v>
      </c>
      <c r="AB490" t="n">
        <v>0</v>
      </c>
      <c r="AC490" t="n">
        <v>0</v>
      </c>
      <c r="AD490" t="n">
        <v>796687</v>
      </c>
      <c r="AE490" t="n">
        <v>0</v>
      </c>
    </row>
    <row r="491">
      <c r="A491" t="inlineStr">
        <is>
          <t>8 - SECRETARÍA DE SALUD</t>
        </is>
      </c>
      <c r="B491" t="inlineStr">
        <is>
          <t>19 - SALUD Y PROTECCIÓN SOCIAL</t>
        </is>
      </c>
      <c r="C491" t="inlineStr">
        <is>
          <t>0300</t>
        </is>
      </c>
      <c r="D491" t="inlineStr">
        <is>
          <t>1906</t>
        </is>
      </c>
      <c r="E491" t="inlineStr">
        <is>
          <t>1906044</t>
        </is>
      </c>
      <c r="F491" t="inlineStr">
        <is>
          <t>SERVICIO DE AFILIACIONES AL REGIMEN SUBSIDIADO DEL SISTEMA GENERAL DE SEGURIDAD SOCIAL</t>
        </is>
      </c>
      <c r="G491" t="inlineStr">
        <is>
          <t>2024548740041</t>
        </is>
      </c>
      <c r="H491" t="inlineStr">
        <is>
          <t>FORTALECIMIENTO DEL ASEGURAMIENTO Y PRESTACIÓN INTEGRAL DE SERVICIOS DE SALUD VILLA DEL ROSARIO UNA CIUDAD POSIBLE</t>
        </is>
      </c>
      <c r="I491" t="inlineStr">
        <is>
          <t>91122</t>
        </is>
      </c>
      <c r="J491" t="inlineStr">
        <is>
          <t>Servicios de la administración pública relacionados con la salud</t>
        </is>
      </c>
      <c r="K491" t="inlineStr">
        <is>
          <t>00</t>
        </is>
      </c>
      <c r="L491" t="inlineStr">
        <is>
          <t>SIN ATRIBUTO</t>
        </is>
      </c>
      <c r="N491" t="inlineStr">
        <is>
          <t>2.3.2.02.02.009.19.05</t>
        </is>
      </c>
      <c r="O491" t="inlineStr">
        <is>
          <t>Servicio de afiliaciones al régimen subsidiado del Sistema General de Seguridad Social RS</t>
        </is>
      </c>
      <c r="P491" t="inlineStr">
        <is>
          <t>1.3.2.2.05</t>
        </is>
      </c>
      <c r="Q491" t="inlineStr">
        <is>
          <t>R.F. SGP - SALUD-REGIMEN SUBSIDIADO</t>
        </is>
      </c>
      <c r="R491" t="n">
        <v>600000</v>
      </c>
      <c r="S491" t="n">
        <v>0</v>
      </c>
      <c r="T491" t="n">
        <v>0</v>
      </c>
      <c r="U491" t="n">
        <v>0</v>
      </c>
      <c r="V491" t="n">
        <v>0</v>
      </c>
      <c r="W491" t="n">
        <v>0</v>
      </c>
      <c r="X491" t="n">
        <v>0</v>
      </c>
      <c r="Y491" t="n">
        <v>600000</v>
      </c>
      <c r="Z491" t="n">
        <v>0</v>
      </c>
      <c r="AA491" t="n">
        <v>0</v>
      </c>
      <c r="AB491" t="n">
        <v>0</v>
      </c>
      <c r="AC491" t="n">
        <v>0</v>
      </c>
      <c r="AD491" t="n">
        <v>600000</v>
      </c>
      <c r="AE491" t="n">
        <v>0</v>
      </c>
    </row>
    <row r="492">
      <c r="A492" t="inlineStr">
        <is>
          <t>8 - SECRETARÍA DE SALUD</t>
        </is>
      </c>
      <c r="B492" t="inlineStr">
        <is>
          <t>19 - SALUD Y PROTECCIÓN SOCIAL</t>
        </is>
      </c>
      <c r="C492" t="inlineStr">
        <is>
          <t>0300</t>
        </is>
      </c>
      <c r="D492" t="inlineStr">
        <is>
          <t>1906</t>
        </is>
      </c>
      <c r="E492" t="inlineStr">
        <is>
          <t>1906004</t>
        </is>
      </c>
      <c r="F492" t="inlineStr">
        <is>
          <t>SERVICIO DE ATENCIÓN EN SALUD A LA POBLACIÓN</t>
        </is>
      </c>
      <c r="G492" t="inlineStr">
        <is>
          <t>2024548740041</t>
        </is>
      </c>
      <c r="H492" t="inlineStr">
        <is>
          <t>FORTALECIMIENTO DEL ASEGURAMIENTO Y PRESTACIÓN INTEGRAL DE SERVICIOS DE SALUD VILLA DEL ROSARIO UNA CIUDAD POSIBLE</t>
        </is>
      </c>
      <c r="I492" t="inlineStr">
        <is>
          <t>91122</t>
        </is>
      </c>
      <c r="J492" t="inlineStr">
        <is>
          <t>Servicios de la administración pública relacionados con la salud</t>
        </is>
      </c>
      <c r="K492" t="inlineStr">
        <is>
          <t>00</t>
        </is>
      </c>
      <c r="L492" t="inlineStr">
        <is>
          <t>SIN ATRIBUTO</t>
        </is>
      </c>
      <c r="N492" t="inlineStr">
        <is>
          <t>2.3.2.02.02.009.19.06</t>
        </is>
      </c>
      <c r="O492" t="inlineStr">
        <is>
          <t>Servicio de atención en salud a la población OFERTA</t>
        </is>
      </c>
      <c r="P492" t="inlineStr">
        <is>
          <t>1.2.4.2.04</t>
        </is>
      </c>
      <c r="Q492" t="inlineStr">
        <is>
          <t>SGP SUBSIDIO A LA OFERTA</t>
        </is>
      </c>
      <c r="R492" t="n">
        <v>954344738</v>
      </c>
      <c r="S492" t="n">
        <v>139566079</v>
      </c>
      <c r="T492" t="n">
        <v>0</v>
      </c>
      <c r="U492" t="n">
        <v>0</v>
      </c>
      <c r="V492" t="n">
        <v>0</v>
      </c>
      <c r="W492" t="n">
        <v>0</v>
      </c>
      <c r="X492" t="n">
        <v>0</v>
      </c>
      <c r="Y492" t="n">
        <v>1093910817</v>
      </c>
      <c r="Z492" t="n">
        <v>954344738</v>
      </c>
      <c r="AA492" t="n">
        <v>954344738</v>
      </c>
      <c r="AB492" t="n">
        <v>82481136</v>
      </c>
      <c r="AC492" t="n">
        <v>82481136</v>
      </c>
      <c r="AD492" t="n">
        <v>139566079</v>
      </c>
      <c r="AE492" t="n">
        <v>87.23999999999999</v>
      </c>
    </row>
    <row r="493">
      <c r="A493" t="inlineStr">
        <is>
          <t>8 - SECRETARÍA DE SALUD</t>
        </is>
      </c>
      <c r="B493" t="inlineStr">
        <is>
          <t>19 - SALUD Y PROTECCIÓN SOCIAL</t>
        </is>
      </c>
      <c r="C493" t="inlineStr">
        <is>
          <t>0300</t>
        </is>
      </c>
      <c r="D493" t="inlineStr">
        <is>
          <t>1906</t>
        </is>
      </c>
      <c r="E493" t="inlineStr">
        <is>
          <t>1906044</t>
        </is>
      </c>
      <c r="F493" t="inlineStr">
        <is>
          <t>SERVICIO DE AFILIACIONES AL REGIMEN SUBSIDIADO DEL SISTEMA GENERAL DE SEGURIDAD SOCIAL</t>
        </is>
      </c>
      <c r="G493" t="inlineStr">
        <is>
          <t>2024548740041</t>
        </is>
      </c>
      <c r="H493" t="inlineStr">
        <is>
          <t>FORTALECIMIENTO DEL ASEGURAMIENTO Y PRESTACIÓN INTEGRAL DE SERVICIOS DE SALUD VILLA DEL ROSARIO UNA CIUDAD POSIBLE</t>
        </is>
      </c>
      <c r="I493" t="inlineStr">
        <is>
          <t>91122</t>
        </is>
      </c>
      <c r="J493" t="inlineStr">
        <is>
          <t>Servicios de la administración pública relacionados con la salud</t>
        </is>
      </c>
      <c r="K493" t="inlineStr">
        <is>
          <t>00</t>
        </is>
      </c>
      <c r="L493" t="inlineStr">
        <is>
          <t>SIN ATRIBUTO</t>
        </is>
      </c>
      <c r="N493" t="inlineStr">
        <is>
          <t>2.3.2.02.02.009.19.06</t>
        </is>
      </c>
      <c r="O493" t="inlineStr">
        <is>
          <t>Servicio de afiliaciones al régimen subsidiado del Sistema General de Seguridad Social RS</t>
        </is>
      </c>
      <c r="P493" t="inlineStr">
        <is>
          <t>1.3.2.2.05</t>
        </is>
      </c>
      <c r="Q493" t="inlineStr">
        <is>
          <t>R.F. SGP - SALUD-REGIMEN SUBSIDIADO</t>
        </is>
      </c>
      <c r="R493" t="n">
        <v>0</v>
      </c>
      <c r="S493" t="n">
        <v>664848</v>
      </c>
      <c r="T493" t="n">
        <v>0</v>
      </c>
      <c r="U493" t="n">
        <v>0</v>
      </c>
      <c r="V493" t="n">
        <v>0</v>
      </c>
      <c r="W493" t="n">
        <v>0</v>
      </c>
      <c r="X493" t="n">
        <v>0</v>
      </c>
      <c r="Y493" t="n">
        <v>664848</v>
      </c>
      <c r="Z493" t="n">
        <v>0</v>
      </c>
      <c r="AA493" t="n">
        <v>0</v>
      </c>
      <c r="AB493" t="n">
        <v>0</v>
      </c>
      <c r="AC493" t="n">
        <v>0</v>
      </c>
      <c r="AD493" t="n">
        <v>664848</v>
      </c>
      <c r="AE493" t="n">
        <v>0</v>
      </c>
    </row>
    <row r="494">
      <c r="A494" t="inlineStr">
        <is>
          <t>8 - SECRETARÍA DE SALUD</t>
        </is>
      </c>
      <c r="B494" t="inlineStr">
        <is>
          <t>19 - SALUD Y PROTECCIÓN SOCIAL</t>
        </is>
      </c>
      <c r="C494" t="inlineStr">
        <is>
          <t>0300</t>
        </is>
      </c>
      <c r="D494" t="inlineStr">
        <is>
          <t>1906</t>
        </is>
      </c>
      <c r="E494" t="inlineStr">
        <is>
          <t>1906044</t>
        </is>
      </c>
      <c r="F494" t="inlineStr">
        <is>
          <t>SERVICIO DE AFILIACIONES AL REGIMEN SUBSIDIADO DEL SISTEMA GENERAL DE SEGURIDAD SOCIAL</t>
        </is>
      </c>
      <c r="G494" t="inlineStr">
        <is>
          <t>2024548740041</t>
        </is>
      </c>
      <c r="H494" t="inlineStr">
        <is>
          <t>FORTALECIMIENTO DEL ASEGURAMIENTO Y PRESTACIÓN INTEGRAL DE SERVICIOS DE SALUD VILLA DEL ROSARIO UNA CIUDAD POSIBLE</t>
        </is>
      </c>
      <c r="I494" t="inlineStr">
        <is>
          <t>91122</t>
        </is>
      </c>
      <c r="J494" t="inlineStr">
        <is>
          <t>Servicios de la administración pública relacionados con la salud</t>
        </is>
      </c>
      <c r="K494" t="inlineStr">
        <is>
          <t>00</t>
        </is>
      </c>
      <c r="L494" t="inlineStr">
        <is>
          <t>SIN ATRIBUTO</t>
        </is>
      </c>
      <c r="N494" t="inlineStr">
        <is>
          <t>2.3.2.02.02.009.19.07</t>
        </is>
      </c>
      <c r="O494" t="inlineStr">
        <is>
          <t>Servicio de afiliaciones al régimen subsidiado del Sistema General de Seguridad Social RS</t>
        </is>
      </c>
      <c r="P494" t="inlineStr">
        <is>
          <t>1.2.4.2.01</t>
        </is>
      </c>
      <c r="Q494" t="inlineStr">
        <is>
          <t>SGP-SALUD-REGIMEN SUBSIDIADO</t>
        </is>
      </c>
      <c r="R494" t="n">
        <v>74691569758</v>
      </c>
      <c r="S494" t="n">
        <v>8089400723</v>
      </c>
      <c r="T494" t="n">
        <v>0</v>
      </c>
      <c r="U494" t="n">
        <v>0</v>
      </c>
      <c r="V494" t="n">
        <v>0</v>
      </c>
      <c r="W494" t="n">
        <v>0</v>
      </c>
      <c r="X494" t="n">
        <v>0</v>
      </c>
      <c r="Y494" t="n">
        <v>82780970481</v>
      </c>
      <c r="Z494" t="n">
        <v>74691569758</v>
      </c>
      <c r="AA494" t="n">
        <v>31569411661</v>
      </c>
      <c r="AB494" t="n">
        <v>31569411661</v>
      </c>
      <c r="AC494" t="n">
        <v>31569411661</v>
      </c>
      <c r="AD494" t="n">
        <v>51211558820</v>
      </c>
      <c r="AE494" t="n">
        <v>38.14</v>
      </c>
    </row>
    <row r="495">
      <c r="A495" t="inlineStr">
        <is>
          <t>8 - SECRETARÍA DE SALUD</t>
        </is>
      </c>
      <c r="B495" t="inlineStr">
        <is>
          <t>19 - SALUD Y PROTECCIÓN SOCIAL</t>
        </is>
      </c>
      <c r="C495" t="inlineStr">
        <is>
          <t>0300</t>
        </is>
      </c>
      <c r="D495" t="inlineStr">
        <is>
          <t>1906</t>
        </is>
      </c>
      <c r="E495" t="inlineStr">
        <is>
          <t>1906044</t>
        </is>
      </c>
      <c r="F495" t="inlineStr">
        <is>
          <t>SERVICIO DE AFILIACIONES AL REGIMEN SUBSIDIADO DEL SISTEMA GENERAL DE SEGURIDAD SOCIAL</t>
        </is>
      </c>
      <c r="G495" t="inlineStr">
        <is>
          <t>2024548740041</t>
        </is>
      </c>
      <c r="H495" t="inlineStr">
        <is>
          <t>FORTALECIMIENTO DEL ASEGURAMIENTO Y PRESTACIÓN INTEGRAL DE SERVICIOS DE SALUD VILLA DEL ROSARIO UNA CIUDAD POSIBLE</t>
        </is>
      </c>
      <c r="I495" t="inlineStr">
        <is>
          <t>91122</t>
        </is>
      </c>
      <c r="J495" t="inlineStr">
        <is>
          <t>Servicios de la administración pública relacionados con la salud</t>
        </is>
      </c>
      <c r="K495" t="inlineStr">
        <is>
          <t>00</t>
        </is>
      </c>
      <c r="L495" t="inlineStr">
        <is>
          <t>SIN ATRIBUTO</t>
        </is>
      </c>
      <c r="N495" t="inlineStr">
        <is>
          <t>2.3.2.02.02.009.19.08</t>
        </is>
      </c>
      <c r="O495" t="inlineStr">
        <is>
          <t>Servicio de afiliaciones al régimen subsidiado del Sistema General de Seguridad Social RS</t>
        </is>
      </c>
      <c r="P495" t="inlineStr">
        <is>
          <t>1.2.3.3.07</t>
        </is>
      </c>
      <c r="Q495" t="inlineStr">
        <is>
          <t>SISTEMA GENERAL DE SEGURIDAD SOCIAL EN SALUD - OTROS RECURSOS ADMINISTRADOS POR ADRES</t>
        </is>
      </c>
      <c r="R495" t="n">
        <v>145672353691</v>
      </c>
      <c r="S495" t="n">
        <v>4231772318</v>
      </c>
      <c r="T495" t="n">
        <v>0</v>
      </c>
      <c r="U495" t="n">
        <v>0</v>
      </c>
      <c r="V495" t="n">
        <v>973443355</v>
      </c>
      <c r="W495" t="n">
        <v>0</v>
      </c>
      <c r="X495" t="n">
        <v>0</v>
      </c>
      <c r="Y495" t="n">
        <v>148930682654</v>
      </c>
      <c r="Z495" t="n">
        <v>144698910336</v>
      </c>
      <c r="AA495" t="n">
        <v>72448045146.85001</v>
      </c>
      <c r="AB495" t="n">
        <v>72448045146.85001</v>
      </c>
      <c r="AC495" t="n">
        <v>72448045146.85001</v>
      </c>
      <c r="AD495" t="n">
        <v>76482637507.14999</v>
      </c>
      <c r="AE495" t="n">
        <v>48.65</v>
      </c>
    </row>
    <row r="496">
      <c r="A496" t="inlineStr">
        <is>
          <t>8 - SECRETARÍA DE SALUD</t>
        </is>
      </c>
      <c r="B496" t="inlineStr">
        <is>
          <t>19 - SALUD Y PROTECCIÓN SOCIAL</t>
        </is>
      </c>
      <c r="C496" t="inlineStr">
        <is>
          <t>0300</t>
        </is>
      </c>
      <c r="D496" t="inlineStr">
        <is>
          <t>1906</t>
        </is>
      </c>
      <c r="E496" t="inlineStr">
        <is>
          <t>1906044</t>
        </is>
      </c>
      <c r="F496" t="inlineStr">
        <is>
          <t>SERVICIO DE AFILIACIONES AL REGIMEN SUBSIDIADO DEL SISTEMA GENERAL DE SEGURIDAD SOCIAL</t>
        </is>
      </c>
      <c r="G496" t="inlineStr">
        <is>
          <t>2024548740041</t>
        </is>
      </c>
      <c r="H496" t="inlineStr">
        <is>
          <t>FORTALECIMIENTO DEL ASEGURAMIENTO Y PRESTACIÓN INTEGRAL DE SERVICIOS DE SALUD VILLA DEL ROSARIO UNA CIUDAD POSIBLE</t>
        </is>
      </c>
      <c r="I496" t="inlineStr">
        <is>
          <t>91122</t>
        </is>
      </c>
      <c r="J496" t="inlineStr">
        <is>
          <t>Servicios de la administración pública relacionados con la salud</t>
        </is>
      </c>
      <c r="K496" t="inlineStr">
        <is>
          <t>00</t>
        </is>
      </c>
      <c r="L496" t="inlineStr">
        <is>
          <t>SIN ATRIBUTO</t>
        </is>
      </c>
      <c r="N496" t="inlineStr">
        <is>
          <t>2.3.2.02.02.009.19.09</t>
        </is>
      </c>
      <c r="O496" t="inlineStr">
        <is>
          <t>Servicio de afiliaciones al régimen subsidiado del Sistema General de Seguridad Social RS</t>
        </is>
      </c>
      <c r="P496" t="inlineStr">
        <is>
          <t>1.2.3.3.08</t>
        </is>
      </c>
      <c r="Q496" t="inlineStr">
        <is>
          <t>SISTEMA GENERAL DE SEGURIDAD SOCIAL EN SALUD - RECURSOS DE ENTIDADES TERRITORIALES</t>
        </is>
      </c>
      <c r="R496" t="n">
        <v>4500000000</v>
      </c>
      <c r="S496" t="n">
        <v>478618750.64</v>
      </c>
      <c r="T496" t="n">
        <v>0</v>
      </c>
      <c r="U496" t="n">
        <v>0</v>
      </c>
      <c r="V496" t="n">
        <v>0</v>
      </c>
      <c r="W496" t="n">
        <v>0</v>
      </c>
      <c r="X496" t="n">
        <v>0</v>
      </c>
      <c r="Y496" t="n">
        <v>4978618750.64</v>
      </c>
      <c r="Z496" t="n">
        <v>4500000000</v>
      </c>
      <c r="AA496" t="n">
        <v>2418616297.1</v>
      </c>
      <c r="AB496" t="n">
        <v>2418616297.1</v>
      </c>
      <c r="AC496" t="n">
        <v>2418616297.1</v>
      </c>
      <c r="AD496" t="n">
        <v>2560002453.54</v>
      </c>
      <c r="AE496" t="n">
        <v>48.58</v>
      </c>
    </row>
    <row r="497">
      <c r="A497" t="inlineStr">
        <is>
          <t>8 - SECRETARÍA DE SALUD</t>
        </is>
      </c>
      <c r="B497" t="inlineStr">
        <is>
          <t>19 - SALUD Y PROTECCIÓN SOCIAL</t>
        </is>
      </c>
      <c r="C497" t="inlineStr">
        <is>
          <t>0300</t>
        </is>
      </c>
      <c r="D497" t="inlineStr">
        <is>
          <t>1903</t>
        </is>
      </c>
      <c r="E497" t="inlineStr">
        <is>
          <t>1903023</t>
        </is>
      </c>
      <c r="F497" t="inlineStr">
        <is>
          <t>SERVICIO DE ASISTENCIA TÉCNICA EN INSPECCIÓN, VIGILANCIA Y CONTROL</t>
        </is>
      </c>
      <c r="G497" t="inlineStr">
        <is>
          <t>2024548740042</t>
        </is>
      </c>
      <c r="H497" t="inlineStr">
        <is>
          <t>FORTALECIMIENTO DE LA INSPECCION,VIGILANCIA Y CONTROL EN LOS SERVICIOS DE SALUD.VILLA DEL ROSARIO UNA CIUDAD POSIBLE</t>
        </is>
      </c>
      <c r="I497" t="inlineStr">
        <is>
          <t>91122</t>
        </is>
      </c>
      <c r="J497" t="inlineStr">
        <is>
          <t>Servicios de la administración pública relacionados con la salud</t>
        </is>
      </c>
      <c r="K497" t="inlineStr">
        <is>
          <t>00</t>
        </is>
      </c>
      <c r="L497" t="inlineStr">
        <is>
          <t>SIN ATRIBUTO</t>
        </is>
      </c>
      <c r="N497" t="inlineStr">
        <is>
          <t>2.3.2.02.02.009.19.10</t>
        </is>
      </c>
      <c r="O497" t="inlineStr">
        <is>
          <t>Servicio de asistencia técnica en inspección, vigilancia y control RS</t>
        </is>
      </c>
      <c r="P497" t="inlineStr">
        <is>
          <t>1.2.3.2.28.02</t>
        </is>
      </c>
      <c r="Q497" t="inlineStr">
        <is>
          <t>DERECHOS POR LA EXPLOTACION DE JUEGOS DE SUERTE Y AZAR - CSF</t>
        </is>
      </c>
      <c r="R497" t="n">
        <v>20000000</v>
      </c>
      <c r="S497" t="n">
        <v>0</v>
      </c>
      <c r="T497" t="n">
        <v>0</v>
      </c>
      <c r="U497" t="n">
        <v>30000000</v>
      </c>
      <c r="V497" t="n">
        <v>0</v>
      </c>
      <c r="W497" t="n">
        <v>0</v>
      </c>
      <c r="X497" t="n">
        <v>0</v>
      </c>
      <c r="Y497" t="n">
        <v>50000000</v>
      </c>
      <c r="Z497" t="n">
        <v>49200000</v>
      </c>
      <c r="AA497" t="n">
        <v>49200000</v>
      </c>
      <c r="AB497" t="n">
        <v>49200000</v>
      </c>
      <c r="AC497" t="n">
        <v>49200000</v>
      </c>
      <c r="AD497" t="n">
        <v>800000</v>
      </c>
      <c r="AE497" t="n">
        <v>98.40000000000001</v>
      </c>
    </row>
    <row r="498">
      <c r="A498" t="inlineStr">
        <is>
          <t>8 - SECRETARÍA DE SALUD</t>
        </is>
      </c>
      <c r="B498" t="inlineStr">
        <is>
          <t>19 - SALUD Y PROTECCIÓN SOCIAL</t>
        </is>
      </c>
      <c r="C498" t="inlineStr">
        <is>
          <t>0300</t>
        </is>
      </c>
      <c r="D498" t="inlineStr">
        <is>
          <t>1906</t>
        </is>
      </c>
      <c r="E498" t="inlineStr">
        <is>
          <t>1906044</t>
        </is>
      </c>
      <c r="F498" t="inlineStr">
        <is>
          <t>SERVICIO DE AFILIACIONES AL REGIMEN SUBSIDIADO DEL SISTEMA GENERAL DE SEGURIDAD SOCIAL</t>
        </is>
      </c>
      <c r="G498" t="inlineStr">
        <is>
          <t>2024548740041</t>
        </is>
      </c>
      <c r="H498" t="inlineStr">
        <is>
          <t>FORTALECIMIENTO DEL ASEGURAMIENTO Y PRESTACIÓN INTEGRAL DE SERVICIOS DE SALUD VILLA DEL ROSARIO UNA CIUDAD POSIBLE</t>
        </is>
      </c>
      <c r="I498" t="inlineStr">
        <is>
          <t>91122</t>
        </is>
      </c>
      <c r="J498" t="inlineStr">
        <is>
          <t>Servicios de la administración pública relacionados con la salud</t>
        </is>
      </c>
      <c r="K498" t="inlineStr">
        <is>
          <t>00</t>
        </is>
      </c>
      <c r="L498" t="inlineStr">
        <is>
          <t>SIN ATRIBUTO</t>
        </is>
      </c>
      <c r="N498" t="inlineStr">
        <is>
          <t>2.3.2.02.02.009.19.10</t>
        </is>
      </c>
      <c r="O498" t="inlineStr">
        <is>
          <t>Auditoria del Régimen Subsidiado</t>
        </is>
      </c>
      <c r="P498" t="inlineStr">
        <is>
          <t>1.3.3.4.22</t>
        </is>
      </c>
      <c r="Q498" t="inlineStr">
        <is>
          <t>R.B. DERECHOS POR LA EXPLOTACIÓN DE JUEGOS DE SUERTE Y AZAR</t>
        </is>
      </c>
      <c r="R498" t="n">
        <v>0</v>
      </c>
      <c r="S498" t="n">
        <v>50000000</v>
      </c>
      <c r="T498" t="n">
        <v>0</v>
      </c>
      <c r="U498" t="n">
        <v>0</v>
      </c>
      <c r="V498" t="n">
        <v>0</v>
      </c>
      <c r="W498" t="n">
        <v>0</v>
      </c>
      <c r="X498" t="n">
        <v>0</v>
      </c>
      <c r="Y498" t="n">
        <v>50000000</v>
      </c>
      <c r="Z498" t="n">
        <v>0</v>
      </c>
      <c r="AA498" t="n">
        <v>0</v>
      </c>
      <c r="AB498" t="n">
        <v>0</v>
      </c>
      <c r="AC498" t="n">
        <v>0</v>
      </c>
      <c r="AD498" t="n">
        <v>50000000</v>
      </c>
      <c r="AE498" t="n">
        <v>0</v>
      </c>
    </row>
    <row r="499">
      <c r="A499" t="inlineStr">
        <is>
          <t>8 - SECRETARÍA DE SALUD</t>
        </is>
      </c>
      <c r="B499" t="inlineStr">
        <is>
          <t>19 - SALUD Y PROTECCIÓN SOCIAL</t>
        </is>
      </c>
      <c r="C499" t="inlineStr">
        <is>
          <t>0300</t>
        </is>
      </c>
      <c r="D499" t="inlineStr">
        <is>
          <t>1903</t>
        </is>
      </c>
      <c r="E499" t="inlineStr">
        <is>
          <t>1903011</t>
        </is>
      </c>
      <c r="F499" t="inlineStr">
        <is>
          <t>SERVICIO DE INSPECCIÓN, VIGILANCIA Y CONTROL</t>
        </is>
      </c>
      <c r="G499" t="inlineStr">
        <is>
          <t>2024548740042</t>
        </is>
      </c>
      <c r="H499" t="inlineStr">
        <is>
          <t>FORTALECIMIENTO DE LA INSPECCION,VIGILANCIA Y CONTROL EN LOS SERVICIOS DE SALUD.VILLA DEL ROSARIO UNA CIUDAD POSIBLE</t>
        </is>
      </c>
      <c r="I499" t="inlineStr">
        <is>
          <t>91122</t>
        </is>
      </c>
      <c r="J499" t="inlineStr">
        <is>
          <t>Servicios de la administración pública relacionados con la salud</t>
        </is>
      </c>
      <c r="K499" t="inlineStr">
        <is>
          <t>00</t>
        </is>
      </c>
      <c r="L499" t="inlineStr">
        <is>
          <t>SIN ATRIBUTO</t>
        </is>
      </c>
      <c r="N499" t="inlineStr">
        <is>
          <t>2.3.2.02.02.009.19.11</t>
        </is>
      </c>
      <c r="O499" t="inlineStr">
        <is>
          <t>Servicio de inspección, vigilancia y control SP GESTION</t>
        </is>
      </c>
      <c r="P499" t="inlineStr">
        <is>
          <t>1.2.3.2.25.01</t>
        </is>
      </c>
      <c r="Q499" t="inlineStr">
        <is>
          <t>OTRAS MULTAS ,SANCIONES E INTERESES DE MORA CON DESTINACIÓN ESPECIFICA LEGAL</t>
        </is>
      </c>
      <c r="R499" t="n">
        <v>1000000</v>
      </c>
      <c r="S499" t="n">
        <v>0</v>
      </c>
      <c r="T499" t="n">
        <v>0</v>
      </c>
      <c r="U499" t="n">
        <v>0</v>
      </c>
      <c r="V499" t="n">
        <v>0</v>
      </c>
      <c r="W499" t="n">
        <v>0</v>
      </c>
      <c r="X499" t="n">
        <v>0</v>
      </c>
      <c r="Y499" t="n">
        <v>1000000</v>
      </c>
      <c r="Z499" t="n">
        <v>0</v>
      </c>
      <c r="AA499" t="n">
        <v>0</v>
      </c>
      <c r="AB499" t="n">
        <v>0</v>
      </c>
      <c r="AC499" t="n">
        <v>0</v>
      </c>
      <c r="AD499" t="n">
        <v>1000000</v>
      </c>
      <c r="AE499" t="n">
        <v>0</v>
      </c>
    </row>
    <row r="500">
      <c r="A500" t="inlineStr">
        <is>
          <t>8 - SECRETARÍA DE SALUD</t>
        </is>
      </c>
      <c r="B500" t="inlineStr">
        <is>
          <t>19 - SALUD Y PROTECCIÓN SOCIAL</t>
        </is>
      </c>
      <c r="C500" t="inlineStr">
        <is>
          <t>0300</t>
        </is>
      </c>
      <c r="D500" t="inlineStr">
        <is>
          <t>1906</t>
        </is>
      </c>
      <c r="E500" t="inlineStr">
        <is>
          <t>1906044</t>
        </is>
      </c>
      <c r="F500" t="inlineStr">
        <is>
          <t>SERVICIO DE AFILIACIONES AL REGIMEN SUBSIDIADO DEL SISTEMA GENERAL DE SEGURIDAD SOCIAL</t>
        </is>
      </c>
      <c r="G500" t="inlineStr">
        <is>
          <t>2024548740041</t>
        </is>
      </c>
      <c r="H500" t="inlineStr">
        <is>
          <t>FORTALECIMIENTO DEL ASEGURAMIENTO Y PRESTACIÓN INTEGRAL DE SERVICIOS DE SALUD VILLA DEL ROSARIO UNA CIUDAD POSIBLE</t>
        </is>
      </c>
      <c r="I500" t="inlineStr">
        <is>
          <t>91122</t>
        </is>
      </c>
      <c r="J500" t="inlineStr">
        <is>
          <t>Servicios de la administración pública relacionados con la salud</t>
        </is>
      </c>
      <c r="K500" t="inlineStr">
        <is>
          <t>ADRESS TASA  I.V.C.</t>
        </is>
      </c>
      <c r="L500" t="inlineStr">
        <is>
          <t>INSPECCION VIGILANCIA Y CONTROL 0.4% SUPERSALUD LEY 1438</t>
        </is>
      </c>
      <c r="N500" t="inlineStr">
        <is>
          <t>2.3.2.02.02.009.19.11</t>
        </is>
      </c>
      <c r="O500" t="inlineStr">
        <is>
          <t>Servicio de afiliaciones al régimen subsidiado del Sistema General de Seguridad Social RS</t>
        </is>
      </c>
      <c r="P500" t="inlineStr">
        <is>
          <t>1.2.3.3.07</t>
        </is>
      </c>
      <c r="Q500" t="inlineStr">
        <is>
          <t>SISTEMA GENERAL DE SEGURIDAD SOCIAL EN SALUD - OTROS RECURSOS ADMINISTRADOS POR ADRES</t>
        </is>
      </c>
      <c r="R500" t="n">
        <v>0</v>
      </c>
      <c r="S500" t="n">
        <v>0</v>
      </c>
      <c r="T500" t="n">
        <v>0</v>
      </c>
      <c r="U500" t="n">
        <v>973443355</v>
      </c>
      <c r="V500" t="n">
        <v>0</v>
      </c>
      <c r="W500" t="n">
        <v>0</v>
      </c>
      <c r="X500" t="n">
        <v>0</v>
      </c>
      <c r="Y500" t="n">
        <v>973443355</v>
      </c>
      <c r="Z500" t="n">
        <v>973443355</v>
      </c>
      <c r="AA500" t="n">
        <v>324481118.33</v>
      </c>
      <c r="AB500" t="n">
        <v>324481118.33</v>
      </c>
      <c r="AC500" t="n">
        <v>324481118.33</v>
      </c>
      <c r="AD500" t="n">
        <v>648962236.67</v>
      </c>
      <c r="AE500" t="n">
        <v>33.33</v>
      </c>
    </row>
    <row r="501">
      <c r="A501" t="inlineStr">
        <is>
          <t>8 - SECRETARÍA DE SALUD</t>
        </is>
      </c>
      <c r="B501" t="inlineStr">
        <is>
          <t>19 - SALUD Y PROTECCIÓN SOCIAL</t>
        </is>
      </c>
      <c r="C501" t="inlineStr">
        <is>
          <t>0300</t>
        </is>
      </c>
      <c r="D501" t="inlineStr">
        <is>
          <t>1903</t>
        </is>
      </c>
      <c r="E501" t="inlineStr">
        <is>
          <t>1903011</t>
        </is>
      </c>
      <c r="F501" t="inlineStr">
        <is>
          <t>SERVICIO DE INSPECCIÓN, VIGILANCIA Y CONTROL</t>
        </is>
      </c>
      <c r="G501" t="inlineStr">
        <is>
          <t>2024548740042</t>
        </is>
      </c>
      <c r="H501" t="inlineStr">
        <is>
          <t>FORTALECIMIENTO DE LA INSPECCION,VIGILANCIA Y CONTROL EN LOS SERVICIOS DE SALUD.VILLA DEL ROSARIO UNA CIUDAD POSIBLE</t>
        </is>
      </c>
      <c r="I501" t="inlineStr">
        <is>
          <t>91122</t>
        </is>
      </c>
      <c r="J501" t="inlineStr">
        <is>
          <t>Servicios de la administración pública relacionados con la salud</t>
        </is>
      </c>
      <c r="K501" t="inlineStr">
        <is>
          <t>00</t>
        </is>
      </c>
      <c r="L501" t="inlineStr">
        <is>
          <t>SIN ATRIBUTO</t>
        </is>
      </c>
      <c r="N501" t="inlineStr">
        <is>
          <t>2.3.2.02.02.009.19.12</t>
        </is>
      </c>
      <c r="O501" t="inlineStr">
        <is>
          <t>Servicio de inspección, vigilancia y control SP GESTION</t>
        </is>
      </c>
      <c r="P501" t="inlineStr">
        <is>
          <t>1.3.2.3.11.10</t>
        </is>
      </c>
      <c r="Q501" t="inlineStr">
        <is>
          <t>OTROS RENDIMIENTOS FINANCIEROS RECURSOS PROPIOS DEL F.L.S.</t>
        </is>
      </c>
      <c r="R501" t="n">
        <v>200000</v>
      </c>
      <c r="S501" t="n">
        <v>0</v>
      </c>
      <c r="T501" t="n">
        <v>0</v>
      </c>
      <c r="U501" t="n">
        <v>0</v>
      </c>
      <c r="V501" t="n">
        <v>0</v>
      </c>
      <c r="W501" t="n">
        <v>0</v>
      </c>
      <c r="X501" t="n">
        <v>0</v>
      </c>
      <c r="Y501" t="n">
        <v>200000</v>
      </c>
      <c r="Z501" t="n">
        <v>0</v>
      </c>
      <c r="AA501" t="n">
        <v>0</v>
      </c>
      <c r="AB501" t="n">
        <v>0</v>
      </c>
      <c r="AC501" t="n">
        <v>0</v>
      </c>
      <c r="AD501" t="n">
        <v>200000</v>
      </c>
      <c r="AE501" t="n">
        <v>0</v>
      </c>
    </row>
    <row r="502">
      <c r="A502" t="inlineStr">
        <is>
          <t>8 - SECRETARÍA DE SALUD</t>
        </is>
      </c>
      <c r="B502" t="inlineStr">
        <is>
          <t>19 - SALUD Y PROTECCIÓN SOCIAL</t>
        </is>
      </c>
      <c r="C502" t="inlineStr">
        <is>
          <t>0300</t>
        </is>
      </c>
      <c r="D502" t="inlineStr">
        <is>
          <t>1903</t>
        </is>
      </c>
      <c r="E502" t="inlineStr">
        <is>
          <t>1903011</t>
        </is>
      </c>
      <c r="F502" t="inlineStr">
        <is>
          <t>SERVICIO DE INSPECCIÓN, VIGILANCIA Y CONTROL</t>
        </is>
      </c>
      <c r="G502" t="inlineStr">
        <is>
          <t>2024548740042</t>
        </is>
      </c>
      <c r="H502" t="inlineStr">
        <is>
          <t>FORTALECIMIENTO DE LA INSPECCION,VIGILANCIA Y CONTROL EN LOS SERVICIOS DE SALUD.VILLA DEL ROSARIO UNA CIUDAD POSIBLE</t>
        </is>
      </c>
      <c r="I502" t="inlineStr">
        <is>
          <t>91122</t>
        </is>
      </c>
      <c r="J502" t="inlineStr">
        <is>
          <t>Servicios de la administración pública relacionados con la salud</t>
        </is>
      </c>
      <c r="K502" t="inlineStr">
        <is>
          <t>00</t>
        </is>
      </c>
      <c r="L502" t="inlineStr">
        <is>
          <t>SIN ATRIBUTO</t>
        </is>
      </c>
      <c r="N502" t="inlineStr">
        <is>
          <t>2.3.2.02.02.009.19.13</t>
        </is>
      </c>
      <c r="O502" t="inlineStr">
        <is>
          <t>Servicio de inspección, vigilancia y control SP GESTION</t>
        </is>
      </c>
      <c r="P502" t="inlineStr">
        <is>
          <t>1.3.2.2.06</t>
        </is>
      </c>
      <c r="Q502" t="inlineStr">
        <is>
          <t>R.F. SGP - SALUD-SALUD PUBLICA</t>
        </is>
      </c>
      <c r="R502" t="n">
        <v>1500000</v>
      </c>
      <c r="S502" t="n">
        <v>0</v>
      </c>
      <c r="T502" t="n">
        <v>0</v>
      </c>
      <c r="U502" t="n">
        <v>0</v>
      </c>
      <c r="V502" t="n">
        <v>0</v>
      </c>
      <c r="W502" t="n">
        <v>0</v>
      </c>
      <c r="X502" t="n">
        <v>0</v>
      </c>
      <c r="Y502" t="n">
        <v>1500000</v>
      </c>
      <c r="Z502" t="n">
        <v>0</v>
      </c>
      <c r="AA502" t="n">
        <v>0</v>
      </c>
      <c r="AB502" t="n">
        <v>0</v>
      </c>
      <c r="AC502" t="n">
        <v>0</v>
      </c>
      <c r="AD502" t="n">
        <v>1500000</v>
      </c>
      <c r="AE502" t="n">
        <v>0</v>
      </c>
    </row>
    <row r="503">
      <c r="A503" t="inlineStr">
        <is>
          <t>8 - SECRETARÍA DE SALUD</t>
        </is>
      </c>
      <c r="B503" t="inlineStr">
        <is>
          <t>19 - SALUD Y PROTECCIÓN SOCIAL</t>
        </is>
      </c>
      <c r="C503" t="inlineStr">
        <is>
          <t>0300</t>
        </is>
      </c>
      <c r="D503" t="inlineStr">
        <is>
          <t>1903</t>
        </is>
      </c>
      <c r="E503" t="inlineStr">
        <is>
          <t>1903025</t>
        </is>
      </c>
      <c r="F503" t="inlineStr">
        <is>
          <t>SERVICIO DE IMPLEMENTACIÓN DE ESTRATEGIAS PARA EL FORTALECIMIENTO DEL CONTROL SOCIAL EN SALUD</t>
        </is>
      </c>
      <c r="G503" t="inlineStr">
        <is>
          <t>2024548740042</t>
        </is>
      </c>
      <c r="H503" t="inlineStr">
        <is>
          <t>FORTALECIMIENTO DE LA INSPECCION,VIGILANCIA Y CONTROL EN LOS SERVICIOS DE SALUD.VILLA DEL ROSARIO UNA CIUDAD POSIBLE</t>
        </is>
      </c>
      <c r="I503" t="inlineStr">
        <is>
          <t>91122</t>
        </is>
      </c>
      <c r="J503" t="inlineStr">
        <is>
          <t>Servicios de la administración pública relacionados con la salud</t>
        </is>
      </c>
      <c r="K503" t="inlineStr">
        <is>
          <t>00</t>
        </is>
      </c>
      <c r="L503" t="inlineStr">
        <is>
          <t>SIN ATRIBUTO</t>
        </is>
      </c>
      <c r="N503" t="inlineStr">
        <is>
          <t>2.3.2.02.02.009.19.14</t>
        </is>
      </c>
      <c r="O503" t="inlineStr">
        <is>
          <t>Servicio de implementación de estrategias para el fortalecimiento del control social en salud SP GESTION</t>
        </is>
      </c>
      <c r="P503" t="inlineStr">
        <is>
          <t>1.2.4.2.02</t>
        </is>
      </c>
      <c r="Q503" t="inlineStr">
        <is>
          <t>SGP-SALUD-SALUD PUBLICA</t>
        </is>
      </c>
      <c r="R503" t="n">
        <v>80000000</v>
      </c>
      <c r="S503" t="n">
        <v>0</v>
      </c>
      <c r="T503" t="n">
        <v>0</v>
      </c>
      <c r="U503" t="n">
        <v>0</v>
      </c>
      <c r="V503" t="n">
        <v>0</v>
      </c>
      <c r="W503" t="n">
        <v>0</v>
      </c>
      <c r="X503" t="n">
        <v>0</v>
      </c>
      <c r="Y503" t="n">
        <v>80000000</v>
      </c>
      <c r="Z503" t="n">
        <v>12000000</v>
      </c>
      <c r="AA503" t="n">
        <v>12000000</v>
      </c>
      <c r="AB503" t="n">
        <v>9000000</v>
      </c>
      <c r="AC503" t="n">
        <v>9000000</v>
      </c>
      <c r="AD503" t="n">
        <v>68000000</v>
      </c>
      <c r="AE503" t="n">
        <v>15</v>
      </c>
    </row>
    <row r="504">
      <c r="A504" t="inlineStr">
        <is>
          <t>8 - SECRETARÍA DE SALUD</t>
        </is>
      </c>
      <c r="B504" t="inlineStr">
        <is>
          <t>19 - SALUD Y PROTECCIÓN SOCIAL</t>
        </is>
      </c>
      <c r="C504" t="inlineStr">
        <is>
          <t>0300</t>
        </is>
      </c>
      <c r="D504" t="inlineStr">
        <is>
          <t>1903</t>
        </is>
      </c>
      <c r="E504" t="inlineStr">
        <is>
          <t>1903011</t>
        </is>
      </c>
      <c r="F504" t="inlineStr">
        <is>
          <t>SERVICIO DE INSPECCIÓN, VIGILANCIA Y CONTROL</t>
        </is>
      </c>
      <c r="G504" t="inlineStr">
        <is>
          <t>2024548740042</t>
        </is>
      </c>
      <c r="H504" t="inlineStr">
        <is>
          <t>FORTALECIMIENTO DE LA INSPECCION,VIGILANCIA Y CONTROL EN LOS SERVICIOS DE SALUD.VILLA DEL ROSARIO UNA CIUDAD POSIBLE</t>
        </is>
      </c>
      <c r="I504" t="inlineStr">
        <is>
          <t>91122</t>
        </is>
      </c>
      <c r="J504" t="inlineStr">
        <is>
          <t>Servicios de la administración pública relacionados con la salud</t>
        </is>
      </c>
      <c r="K504" t="inlineStr">
        <is>
          <t>00</t>
        </is>
      </c>
      <c r="L504" t="inlineStr">
        <is>
          <t>SIN ATRIBUTO</t>
        </is>
      </c>
      <c r="N504" t="inlineStr">
        <is>
          <t>2.3.2.02.02.009.19.15</t>
        </is>
      </c>
      <c r="O504" t="inlineStr">
        <is>
          <t>Servicio de inspección, vigilancia y control SP GESTION</t>
        </is>
      </c>
      <c r="P504" t="inlineStr">
        <is>
          <t>1.2.4.2.02</t>
        </is>
      </c>
      <c r="Q504" t="inlineStr">
        <is>
          <t>SGP-SALUD-SALUD PUBLICA</t>
        </is>
      </c>
      <c r="R504" t="n">
        <v>276326111</v>
      </c>
      <c r="S504" t="n">
        <v>0</v>
      </c>
      <c r="T504" t="n">
        <v>0</v>
      </c>
      <c r="U504" t="n">
        <v>0</v>
      </c>
      <c r="V504" t="n">
        <v>0</v>
      </c>
      <c r="W504" t="n">
        <v>0</v>
      </c>
      <c r="X504" t="n">
        <v>0</v>
      </c>
      <c r="Y504" t="n">
        <v>276326111</v>
      </c>
      <c r="Z504" t="n">
        <v>195000000</v>
      </c>
      <c r="AA504" t="n">
        <v>195000000</v>
      </c>
      <c r="AB504" t="n">
        <v>149000000</v>
      </c>
      <c r="AC504" t="n">
        <v>141200000</v>
      </c>
      <c r="AD504" t="n">
        <v>81326111</v>
      </c>
      <c r="AE504" t="n">
        <v>70.56999999999999</v>
      </c>
    </row>
    <row r="505">
      <c r="A505" t="inlineStr">
        <is>
          <t>8 - SECRETARÍA DE SALUD</t>
        </is>
      </c>
      <c r="B505" t="inlineStr">
        <is>
          <t>19 - SALUD Y PROTECCIÓN SOCIAL</t>
        </is>
      </c>
      <c r="C505" t="inlineStr">
        <is>
          <t>0300</t>
        </is>
      </c>
      <c r="D505" t="inlineStr">
        <is>
          <t>1903</t>
        </is>
      </c>
      <c r="E505" t="inlineStr">
        <is>
          <t>1903011</t>
        </is>
      </c>
      <c r="F505" t="inlineStr">
        <is>
          <t>SERVICIO DE INSPECCIÓN, VIGILANCIA Y CONTROL</t>
        </is>
      </c>
      <c r="G505" t="inlineStr">
        <is>
          <t>2024548740042</t>
        </is>
      </c>
      <c r="H505" t="inlineStr">
        <is>
          <t>FORTALECIMIENTO DE LA INSPECCION,VIGILANCIA Y CONTROL EN LOS SERVICIOS DE SALUD.VILLA DEL ROSARIO UNA CIUDAD POSIBLE</t>
        </is>
      </c>
      <c r="I505" t="inlineStr">
        <is>
          <t>91122</t>
        </is>
      </c>
      <c r="J505" t="inlineStr">
        <is>
          <t>Servicios de la administración pública relacionados con la salud</t>
        </is>
      </c>
      <c r="K505" t="inlineStr">
        <is>
          <t>00</t>
        </is>
      </c>
      <c r="L505" t="inlineStr">
        <is>
          <t>SIN ATRIBUTO</t>
        </is>
      </c>
      <c r="N505" t="inlineStr">
        <is>
          <t xml:space="preserve">2.3.2.02.02.009.19.16    </t>
        </is>
      </c>
      <c r="O505" t="inlineStr">
        <is>
          <t>Servicio de inspección, vigilancia y control SP GESTION</t>
        </is>
      </c>
      <c r="P505" t="inlineStr">
        <is>
          <t>1.3.2.3.03</t>
        </is>
      </c>
      <c r="Q505" t="inlineStr">
        <is>
          <t>R.F. DE SISTEMA GENERAL DE SEGURIDAD SOCIAL EN SALUD RECURSOS DE ENTIDADES TERRITORIALES</t>
        </is>
      </c>
      <c r="R505" t="n">
        <v>0</v>
      </c>
      <c r="S505" t="n">
        <v>634749</v>
      </c>
      <c r="T505" t="n">
        <v>0</v>
      </c>
      <c r="U505" t="n">
        <v>0</v>
      </c>
      <c r="V505" t="n">
        <v>0</v>
      </c>
      <c r="W505" t="n">
        <v>0</v>
      </c>
      <c r="X505" t="n">
        <v>0</v>
      </c>
      <c r="Y505" t="n">
        <v>634749</v>
      </c>
      <c r="Z505" t="n">
        <v>0</v>
      </c>
      <c r="AA505" t="n">
        <v>0</v>
      </c>
      <c r="AB505" t="n">
        <v>0</v>
      </c>
      <c r="AC505" t="n">
        <v>0</v>
      </c>
      <c r="AD505" t="n">
        <v>634749</v>
      </c>
      <c r="AE505" t="n">
        <v>0</v>
      </c>
    </row>
    <row r="506">
      <c r="A506" t="inlineStr">
        <is>
          <t>8 - SECRETARÍA DE SALUD</t>
        </is>
      </c>
      <c r="B506" t="inlineStr">
        <is>
          <t>19 - SALUD Y PROTECCIÓN SOCIAL</t>
        </is>
      </c>
      <c r="C506" t="inlineStr">
        <is>
          <t>0300</t>
        </is>
      </c>
      <c r="D506" t="inlineStr">
        <is>
          <t>1905</t>
        </is>
      </c>
      <c r="E506" t="inlineStr">
        <is>
          <t>1905015</t>
        </is>
      </c>
      <c r="F506" t="inlineStr">
        <is>
          <t>DOCUMENTOS DE PLANEACIÓN</t>
        </is>
      </c>
      <c r="G506" t="inlineStr">
        <is>
          <t>2024548740023</t>
        </is>
      </c>
      <c r="H506" t="inlineStr">
        <is>
          <t>FORTALECIMIENTO DE LA SALUD PUBLICA EN EL MUNICIPIO DE VILLA DEL ROSARIO.VILLA DEL ROSARIO UNA CIUDAD POSIBLE</t>
        </is>
      </c>
      <c r="I506" t="inlineStr">
        <is>
          <t>91122</t>
        </is>
      </c>
      <c r="J506" t="inlineStr">
        <is>
          <t>Servicios de la administración pública relacionados con la salud</t>
        </is>
      </c>
      <c r="K506" t="inlineStr">
        <is>
          <t>00</t>
        </is>
      </c>
      <c r="L506" t="inlineStr">
        <is>
          <t>SIN ATRIBUTO</t>
        </is>
      </c>
      <c r="N506" t="inlineStr">
        <is>
          <t>2.3.2.02.02.009.19.16</t>
        </is>
      </c>
      <c r="O506" t="inlineStr">
        <is>
          <t>Documentos de planeación SP GESTIÓN</t>
        </is>
      </c>
      <c r="P506" t="inlineStr">
        <is>
          <t>1.2.4.2.02</t>
        </is>
      </c>
      <c r="Q506" t="inlineStr">
        <is>
          <t>SGP-SALUD-SALUD PUBLICA</t>
        </is>
      </c>
      <c r="R506" t="n">
        <v>32997895</v>
      </c>
      <c r="S506" t="n">
        <v>0</v>
      </c>
      <c r="T506" t="n">
        <v>0</v>
      </c>
      <c r="U506" t="n">
        <v>0</v>
      </c>
      <c r="V506" t="n">
        <v>0</v>
      </c>
      <c r="W506" t="n">
        <v>0</v>
      </c>
      <c r="X506" t="n">
        <v>0</v>
      </c>
      <c r="Y506" t="n">
        <v>32997895</v>
      </c>
      <c r="Z506" t="n">
        <v>4000000</v>
      </c>
      <c r="AA506" t="n">
        <v>4000000</v>
      </c>
      <c r="AB506" t="n">
        <v>4000000</v>
      </c>
      <c r="AC506" t="n">
        <v>4000000</v>
      </c>
      <c r="AD506" t="n">
        <v>28997895</v>
      </c>
      <c r="AE506" t="n">
        <v>12.12</v>
      </c>
    </row>
    <row r="507">
      <c r="A507" t="inlineStr">
        <is>
          <t>8 - SECRETARÍA DE SALUD</t>
        </is>
      </c>
      <c r="B507" t="inlineStr">
        <is>
          <t>19 - SALUD Y PROTECCIÓN SOCIAL</t>
        </is>
      </c>
      <c r="C507" t="inlineStr">
        <is>
          <t>0300</t>
        </is>
      </c>
      <c r="D507" t="inlineStr">
        <is>
          <t>1903</t>
        </is>
      </c>
      <c r="E507" t="inlineStr">
        <is>
          <t>1903011</t>
        </is>
      </c>
      <c r="F507" t="inlineStr">
        <is>
          <t>SERVICIO DE INSPECCIÓN, VIGILANCIA Y CONTROL</t>
        </is>
      </c>
      <c r="G507" t="inlineStr">
        <is>
          <t>2024548740042</t>
        </is>
      </c>
      <c r="H507" t="inlineStr">
        <is>
          <t>FORTALECIMIENTO DE LA INSPECCION,VIGILANCIA Y CONTROL EN LOS SERVICIOS DE SALUD.VILLA DEL ROSARIO UNA CIUDAD POSIBLE</t>
        </is>
      </c>
      <c r="I507" t="inlineStr">
        <is>
          <t>91122</t>
        </is>
      </c>
      <c r="J507" t="inlineStr">
        <is>
          <t>Servicios de la administración pública relacionados con la salud</t>
        </is>
      </c>
      <c r="K507" t="inlineStr">
        <is>
          <t>00</t>
        </is>
      </c>
      <c r="L507" t="inlineStr">
        <is>
          <t>SIN ATRIBUTO</t>
        </is>
      </c>
      <c r="N507" t="inlineStr">
        <is>
          <t xml:space="preserve">2.3.2.02.02.009.19.17    </t>
        </is>
      </c>
      <c r="O507" t="inlineStr">
        <is>
          <t>Servicio de inspección, vigilancia y control SP GESTION</t>
        </is>
      </c>
      <c r="P507" t="inlineStr">
        <is>
          <t>1.3.3.4.22</t>
        </is>
      </c>
      <c r="Q507" t="inlineStr">
        <is>
          <t>R.B. DERECHOS POR LA EXPLOTACIÓN DE JUEGOS DE SUERTE Y AZAR</t>
        </is>
      </c>
      <c r="R507" t="n">
        <v>0</v>
      </c>
      <c r="S507" t="n">
        <v>88740066</v>
      </c>
      <c r="T507" t="n">
        <v>0</v>
      </c>
      <c r="U507" t="n">
        <v>0</v>
      </c>
      <c r="V507" t="n">
        <v>0</v>
      </c>
      <c r="W507" t="n">
        <v>0</v>
      </c>
      <c r="X507" t="n">
        <v>0</v>
      </c>
      <c r="Y507" t="n">
        <v>88740066</v>
      </c>
      <c r="Z507" t="n">
        <v>0</v>
      </c>
      <c r="AA507" t="n">
        <v>0</v>
      </c>
      <c r="AB507" t="n">
        <v>0</v>
      </c>
      <c r="AC507" t="n">
        <v>0</v>
      </c>
      <c r="AD507" t="n">
        <v>88740066</v>
      </c>
      <c r="AE507" t="n">
        <v>0</v>
      </c>
    </row>
    <row r="508">
      <c r="A508" t="inlineStr">
        <is>
          <t>8 - SECRETARÍA DE SALUD</t>
        </is>
      </c>
      <c r="B508" t="inlineStr">
        <is>
          <t>19 - SALUD Y PROTECCIÓN SOCIAL</t>
        </is>
      </c>
      <c r="C508" t="inlineStr">
        <is>
          <t>0300</t>
        </is>
      </c>
      <c r="D508" t="inlineStr">
        <is>
          <t>1905</t>
        </is>
      </c>
      <c r="E508" t="inlineStr">
        <is>
          <t>1905021</t>
        </is>
      </c>
      <c r="F508" t="inlineStr">
        <is>
          <t>SERVICIO DE GESTIÓN DEL RIESGO EN TEMAS DE SALUD SEXUAL Y REPRODUCTIVA</t>
        </is>
      </c>
      <c r="G508" t="inlineStr">
        <is>
          <t>2024548740023</t>
        </is>
      </c>
      <c r="H508" t="inlineStr">
        <is>
          <t>FORTALECIMIENTO DE LA SALUD PUBLICA EN EL MUNICIPIO DE VILLA DEL ROSARIO.VILLA DEL ROSARIO UNA CIUDAD POSIBLE</t>
        </is>
      </c>
      <c r="I508" t="inlineStr">
        <is>
          <t>91122</t>
        </is>
      </c>
      <c r="J508" t="inlineStr">
        <is>
          <t>Servicios de la administración pública relacionados con la salud</t>
        </is>
      </c>
      <c r="K508" t="inlineStr">
        <is>
          <t>00</t>
        </is>
      </c>
      <c r="L508" t="inlineStr">
        <is>
          <t>SIN ATRIBUTO</t>
        </is>
      </c>
      <c r="N508" t="inlineStr">
        <is>
          <t>2.3.2.02.02.009.19.17</t>
        </is>
      </c>
      <c r="O508" t="inlineStr">
        <is>
          <t>Servicio de gestión del riesgo en temas de salud sexual y reproductiva SP PIC</t>
        </is>
      </c>
      <c r="P508" t="inlineStr">
        <is>
          <t>1.2.4.2.02</t>
        </is>
      </c>
      <c r="Q508" t="inlineStr">
        <is>
          <t>SGP-SALUD-SALUD PUBLICA</t>
        </is>
      </c>
      <c r="R508" t="n">
        <v>120000000</v>
      </c>
      <c r="S508" t="n">
        <v>0</v>
      </c>
      <c r="T508" t="n">
        <v>0</v>
      </c>
      <c r="U508" t="n">
        <v>0</v>
      </c>
      <c r="V508" t="n">
        <v>0</v>
      </c>
      <c r="W508" t="n">
        <v>0</v>
      </c>
      <c r="X508" t="n">
        <v>0</v>
      </c>
      <c r="Y508" t="n">
        <v>120000000</v>
      </c>
      <c r="Z508" t="n">
        <v>120000000</v>
      </c>
      <c r="AA508" t="n">
        <v>120000000</v>
      </c>
      <c r="AB508" t="n">
        <v>36000000</v>
      </c>
      <c r="AC508" t="n">
        <v>36000000</v>
      </c>
      <c r="AD508" t="n">
        <v>0</v>
      </c>
      <c r="AE508" t="n">
        <v>100</v>
      </c>
    </row>
    <row r="509">
      <c r="A509" t="inlineStr">
        <is>
          <t>8 - SECRETARÍA DE SALUD</t>
        </is>
      </c>
      <c r="B509" t="inlineStr">
        <is>
          <t>19 - SALUD Y PROTECCIÓN SOCIAL</t>
        </is>
      </c>
      <c r="C509" t="inlineStr">
        <is>
          <t>0300</t>
        </is>
      </c>
      <c r="D509" t="inlineStr">
        <is>
          <t>1903</t>
        </is>
      </c>
      <c r="E509" t="inlineStr">
        <is>
          <t>1903011</t>
        </is>
      </c>
      <c r="F509" t="inlineStr">
        <is>
          <t>SERVICIO DE INSPECCIÓN, VIGILANCIA Y CONTROL</t>
        </is>
      </c>
      <c r="G509" t="inlineStr">
        <is>
          <t>2024548740042</t>
        </is>
      </c>
      <c r="H509" t="inlineStr">
        <is>
          <t>FORTALECIMIENTO DE LA INSPECCION,VIGILANCIA Y CONTROL EN LOS SERVICIOS DE SALUD.VILLA DEL ROSARIO UNA CIUDAD POSIBLE</t>
        </is>
      </c>
      <c r="I509" t="inlineStr">
        <is>
          <t>91122</t>
        </is>
      </c>
      <c r="J509" t="inlineStr">
        <is>
          <t>Servicios de la administración pública relacionados con la salud</t>
        </is>
      </c>
      <c r="K509" t="inlineStr">
        <is>
          <t>00</t>
        </is>
      </c>
      <c r="L509" t="inlineStr">
        <is>
          <t>SIN ATRIBUTO</t>
        </is>
      </c>
      <c r="N509" t="inlineStr">
        <is>
          <t xml:space="preserve">2.3.2.02.02.009.19.18    </t>
        </is>
      </c>
      <c r="O509" t="inlineStr">
        <is>
          <t>Servicio de inspección, vigilancia y control SP GESTION</t>
        </is>
      </c>
      <c r="P509" t="inlineStr">
        <is>
          <t>1.3.2.2.06</t>
        </is>
      </c>
      <c r="Q509" t="inlineStr">
        <is>
          <t>R.F. SGP - SALUD-SALUD PUBLICA</t>
        </is>
      </c>
      <c r="R509" t="n">
        <v>0</v>
      </c>
      <c r="S509" t="n">
        <v>550671</v>
      </c>
      <c r="T509" t="n">
        <v>0</v>
      </c>
      <c r="U509" t="n">
        <v>0</v>
      </c>
      <c r="V509" t="n">
        <v>0</v>
      </c>
      <c r="W509" t="n">
        <v>0</v>
      </c>
      <c r="X509" t="n">
        <v>0</v>
      </c>
      <c r="Y509" t="n">
        <v>550671</v>
      </c>
      <c r="Z509" t="n">
        <v>0</v>
      </c>
      <c r="AA509" t="n">
        <v>0</v>
      </c>
      <c r="AB509" t="n">
        <v>0</v>
      </c>
      <c r="AC509" t="n">
        <v>0</v>
      </c>
      <c r="AD509" t="n">
        <v>550671</v>
      </c>
      <c r="AE509" t="n">
        <v>0</v>
      </c>
    </row>
    <row r="510">
      <c r="A510" t="inlineStr">
        <is>
          <t>8 - SECRETARÍA DE SALUD</t>
        </is>
      </c>
      <c r="B510" t="inlineStr">
        <is>
          <t>19 - SALUD Y PROTECCIÓN SOCIAL</t>
        </is>
      </c>
      <c r="C510" t="inlineStr">
        <is>
          <t>0300</t>
        </is>
      </c>
      <c r="D510" t="inlineStr">
        <is>
          <t>1905</t>
        </is>
      </c>
      <c r="E510" t="inlineStr">
        <is>
          <t>1905020</t>
        </is>
      </c>
      <c r="F510" t="inlineStr">
        <is>
          <t>SERVICIO DE GESTIÓN DEL RIESGO EN TEMAS DE CONSUMO DE SUSTANCIAS PSICOACTIVAS</t>
        </is>
      </c>
      <c r="G510" t="inlineStr">
        <is>
          <t>2024548740023</t>
        </is>
      </c>
      <c r="H510" t="inlineStr">
        <is>
          <t>FORTALECIMIENTO DE LA SALUD PUBLICA EN EL MUNICIPIO DE VILLA DEL ROSARIO.VILLA DEL ROSARIO UNA CIUDAD POSIBLE</t>
        </is>
      </c>
      <c r="I510" t="inlineStr">
        <is>
          <t>91122</t>
        </is>
      </c>
      <c r="J510" t="inlineStr">
        <is>
          <t>Servicios de la administración pública relacionados con la salud</t>
        </is>
      </c>
      <c r="K510" t="inlineStr">
        <is>
          <t>00</t>
        </is>
      </c>
      <c r="L510" t="inlineStr">
        <is>
          <t>SIN ATRIBUTO</t>
        </is>
      </c>
      <c r="N510" t="inlineStr">
        <is>
          <t>2.3.2.02.02.009.19.18</t>
        </is>
      </c>
      <c r="O510" t="inlineStr">
        <is>
          <t>Servicio de gestión del riesgo en temas de consumo de sustancias psicoactivas SP PIC</t>
        </is>
      </c>
      <c r="P510" t="inlineStr">
        <is>
          <t>1.2.4.2.02</t>
        </is>
      </c>
      <c r="Q510" t="inlineStr">
        <is>
          <t>SGP-SALUD-SALUD PUBLICA</t>
        </is>
      </c>
      <c r="R510" t="n">
        <v>90000000</v>
      </c>
      <c r="S510" t="n">
        <v>0</v>
      </c>
      <c r="T510" t="n">
        <v>0</v>
      </c>
      <c r="U510" t="n">
        <v>0</v>
      </c>
      <c r="V510" t="n">
        <v>0</v>
      </c>
      <c r="W510" t="n">
        <v>0</v>
      </c>
      <c r="X510" t="n">
        <v>0</v>
      </c>
      <c r="Y510" t="n">
        <v>90000000</v>
      </c>
      <c r="Z510" t="n">
        <v>90000000</v>
      </c>
      <c r="AA510" t="n">
        <v>90000000</v>
      </c>
      <c r="AB510" t="n">
        <v>27000000</v>
      </c>
      <c r="AC510" t="n">
        <v>27000000</v>
      </c>
      <c r="AD510" t="n">
        <v>0</v>
      </c>
      <c r="AE510" t="n">
        <v>100</v>
      </c>
    </row>
    <row r="511">
      <c r="A511" t="inlineStr">
        <is>
          <t>8 - SECRETARÍA DE SALUD</t>
        </is>
      </c>
      <c r="B511" t="inlineStr">
        <is>
          <t>19 - SALUD Y PROTECCIÓN SOCIAL</t>
        </is>
      </c>
      <c r="C511" t="inlineStr">
        <is>
          <t>0300</t>
        </is>
      </c>
      <c r="D511" t="inlineStr">
        <is>
          <t>1903</t>
        </is>
      </c>
      <c r="E511" t="inlineStr">
        <is>
          <t>1903011</t>
        </is>
      </c>
      <c r="F511" t="inlineStr">
        <is>
          <t>SERVICIO DE INSPECCIÓN, VIGILANCIA Y CONTROL</t>
        </is>
      </c>
      <c r="G511" t="inlineStr">
        <is>
          <t>2024548740042</t>
        </is>
      </c>
      <c r="H511" t="inlineStr">
        <is>
          <t>FORTALECIMIENTO DE LA INSPECCION,VIGILANCIA Y CONTROL EN LOS SERVICIOS DE SALUD.VILLA DEL ROSARIO UNA CIUDAD POSIBLE</t>
        </is>
      </c>
      <c r="I511" t="inlineStr">
        <is>
          <t>91122</t>
        </is>
      </c>
      <c r="J511" t="inlineStr">
        <is>
          <t>Servicios de la administración pública relacionados con la salud</t>
        </is>
      </c>
      <c r="K511" t="inlineStr">
        <is>
          <t>00</t>
        </is>
      </c>
      <c r="L511" t="inlineStr">
        <is>
          <t>SIN ATRIBUTO</t>
        </is>
      </c>
      <c r="N511" t="inlineStr">
        <is>
          <t xml:space="preserve">2.3.2.02.02.009.19.19    </t>
        </is>
      </c>
      <c r="O511" t="inlineStr">
        <is>
          <t>Servicio de inspección, vigilancia y control SP GESTION</t>
        </is>
      </c>
      <c r="P511" t="inlineStr">
        <is>
          <t>1.3.3.7.02</t>
        </is>
      </c>
      <c r="Q511" t="inlineStr">
        <is>
          <t>R.B. SGP SALUD PUBLICA</t>
        </is>
      </c>
      <c r="R511" t="n">
        <v>0</v>
      </c>
      <c r="S511" t="n">
        <v>80878825</v>
      </c>
      <c r="T511" t="n">
        <v>0</v>
      </c>
      <c r="U511" t="n">
        <v>0</v>
      </c>
      <c r="V511" t="n">
        <v>80878825</v>
      </c>
      <c r="W511" t="n">
        <v>0</v>
      </c>
      <c r="X511" t="n">
        <v>0</v>
      </c>
      <c r="Y511" t="n">
        <v>0</v>
      </c>
      <c r="Z511" t="n">
        <v>0</v>
      </c>
      <c r="AA511" t="n">
        <v>0</v>
      </c>
      <c r="AB511" t="n">
        <v>0</v>
      </c>
      <c r="AC511" t="n">
        <v>0</v>
      </c>
      <c r="AD511" t="n">
        <v>0</v>
      </c>
      <c r="AE511" t="n">
        <v>0</v>
      </c>
    </row>
    <row r="512">
      <c r="A512" t="inlineStr">
        <is>
          <t>8 - SECRETARÍA DE SALUD</t>
        </is>
      </c>
      <c r="B512" t="inlineStr">
        <is>
          <t>19 - SALUD Y PROTECCIÓN SOCIAL</t>
        </is>
      </c>
      <c r="C512" t="inlineStr">
        <is>
          <t>0300</t>
        </is>
      </c>
      <c r="D512" t="inlineStr">
        <is>
          <t>1905</t>
        </is>
      </c>
      <c r="E512" t="inlineStr">
        <is>
          <t>1905022</t>
        </is>
      </c>
      <c r="F512" t="inlineStr">
        <is>
          <t>SERVICIO DE GESTIÓN DEL RIESGO EN TEMAS DE TRASTORNOS MENTALES</t>
        </is>
      </c>
      <c r="G512" t="inlineStr">
        <is>
          <t>2024548740023</t>
        </is>
      </c>
      <c r="H512" t="inlineStr">
        <is>
          <t>FORTALECIMIENTO DE LA SALUD PUBLICA EN EL MUNICIPIO DE VILLA DEL ROSARIO.VILLA DEL ROSARIO UNA CIUDAD POSIBLE</t>
        </is>
      </c>
      <c r="I512" t="inlineStr">
        <is>
          <t>91122</t>
        </is>
      </c>
      <c r="J512" t="inlineStr">
        <is>
          <t>Servicios de la administración pública relacionados con la salud</t>
        </is>
      </c>
      <c r="K512" t="inlineStr">
        <is>
          <t>00</t>
        </is>
      </c>
      <c r="L512" t="inlineStr">
        <is>
          <t>SIN ATRIBUTO</t>
        </is>
      </c>
      <c r="N512" t="inlineStr">
        <is>
          <t>2.3.2.02.02.009.19.19</t>
        </is>
      </c>
      <c r="O512" t="inlineStr">
        <is>
          <t>Servicio de gestión del riesgo en temas de trastornos mentales SP PIC</t>
        </is>
      </c>
      <c r="P512" t="inlineStr">
        <is>
          <t>1.2.4.2.02</t>
        </is>
      </c>
      <c r="Q512" t="inlineStr">
        <is>
          <t>SGP-SALUD-SALUD PUBLICA</t>
        </is>
      </c>
      <c r="R512" t="n">
        <v>90000000</v>
      </c>
      <c r="S512" t="n">
        <v>0</v>
      </c>
      <c r="T512" t="n">
        <v>0</v>
      </c>
      <c r="U512" t="n">
        <v>0</v>
      </c>
      <c r="V512" t="n">
        <v>0</v>
      </c>
      <c r="W512" t="n">
        <v>0</v>
      </c>
      <c r="X512" t="n">
        <v>0</v>
      </c>
      <c r="Y512" t="n">
        <v>90000000</v>
      </c>
      <c r="Z512" t="n">
        <v>90000000</v>
      </c>
      <c r="AA512" t="n">
        <v>90000000</v>
      </c>
      <c r="AB512" t="n">
        <v>27000000</v>
      </c>
      <c r="AC512" t="n">
        <v>27000000</v>
      </c>
      <c r="AD512" t="n">
        <v>0</v>
      </c>
      <c r="AE512" t="n">
        <v>100</v>
      </c>
    </row>
    <row r="513">
      <c r="A513" t="inlineStr">
        <is>
          <t>8 - SECRETARÍA DE SALUD</t>
        </is>
      </c>
      <c r="B513" t="inlineStr">
        <is>
          <t>19 - SALUD Y PROTECCIÓN SOCIAL</t>
        </is>
      </c>
      <c r="C513" t="inlineStr">
        <is>
          <t>0300</t>
        </is>
      </c>
      <c r="D513" t="inlineStr">
        <is>
          <t>1903</t>
        </is>
      </c>
      <c r="E513" t="inlineStr">
        <is>
          <t>1903011</t>
        </is>
      </c>
      <c r="F513" t="inlineStr">
        <is>
          <t>SERVICIO DE INSPECCIÓN, VIGILANCIA Y CONTROL</t>
        </is>
      </c>
      <c r="G513" t="inlineStr">
        <is>
          <t>2024548740042</t>
        </is>
      </c>
      <c r="H513" t="inlineStr">
        <is>
          <t>FORTALECIMIENTO DE LA INSPECCION,VIGILANCIA Y CONTROL EN LOS SERVICIOS DE SALUD.VILLA DEL ROSARIO UNA CIUDAD POSIBLE</t>
        </is>
      </c>
      <c r="I513" t="inlineStr">
        <is>
          <t>91122</t>
        </is>
      </c>
      <c r="J513" t="inlineStr">
        <is>
          <t>Servicios de la administración pública relacionados con la salud</t>
        </is>
      </c>
      <c r="K513" t="inlineStr">
        <is>
          <t>00</t>
        </is>
      </c>
      <c r="L513" t="inlineStr">
        <is>
          <t>SIN ATRIBUTO</t>
        </is>
      </c>
      <c r="N513" t="inlineStr">
        <is>
          <t>2.3.2.02.02.009.19.20</t>
        </is>
      </c>
      <c r="O513" t="inlineStr">
        <is>
          <t>Servicio de Promoción de la salud S.P.  PIC</t>
        </is>
      </c>
      <c r="P513" t="inlineStr">
        <is>
          <t>1.3.3.7.02</t>
        </is>
      </c>
      <c r="Q513" t="inlineStr">
        <is>
          <t>R.B. SGP SALUD PUBLICA</t>
        </is>
      </c>
      <c r="R513" t="n">
        <v>0</v>
      </c>
      <c r="S513" t="n">
        <v>0</v>
      </c>
      <c r="T513" t="n">
        <v>0</v>
      </c>
      <c r="U513" t="n">
        <v>80878825</v>
      </c>
      <c r="V513" t="n">
        <v>0</v>
      </c>
      <c r="W513" t="n">
        <v>0</v>
      </c>
      <c r="X513" t="n">
        <v>0</v>
      </c>
      <c r="Y513" t="n">
        <v>80878825</v>
      </c>
      <c r="Z513" t="n">
        <v>0</v>
      </c>
      <c r="AA513" t="n">
        <v>0</v>
      </c>
      <c r="AB513" t="n">
        <v>0</v>
      </c>
      <c r="AC513" t="n">
        <v>0</v>
      </c>
      <c r="AD513" t="n">
        <v>80878825</v>
      </c>
      <c r="AE513" t="n">
        <v>0</v>
      </c>
    </row>
    <row r="514">
      <c r="A514" t="inlineStr">
        <is>
          <t>8 - SECRETARÍA DE SALUD</t>
        </is>
      </c>
      <c r="B514" t="inlineStr">
        <is>
          <t>19 - SALUD Y PROTECCIÓN SOCIAL</t>
        </is>
      </c>
      <c r="C514" t="inlineStr">
        <is>
          <t>0300</t>
        </is>
      </c>
      <c r="D514" t="inlineStr">
        <is>
          <t>1905</t>
        </is>
      </c>
      <c r="E514" t="inlineStr">
        <is>
          <t>1905023</t>
        </is>
      </c>
      <c r="F514" t="inlineStr">
        <is>
          <t>SERVICIO DE GESTIÓN DEL RIESGO PARA ABORDAR CONDICIONES CRÓNICAS PREVALENTES</t>
        </is>
      </c>
      <c r="G514" t="inlineStr">
        <is>
          <t>2024548740023</t>
        </is>
      </c>
      <c r="H514" t="inlineStr">
        <is>
          <t>FORTALECIMIENTO DE LA SALUD PUBLICA EN EL MUNICIPIO DE VILLA DEL ROSARIO.VILLA DEL ROSARIO UNA CIUDAD POSIBLE</t>
        </is>
      </c>
      <c r="I514" t="inlineStr">
        <is>
          <t>91122</t>
        </is>
      </c>
      <c r="J514" t="inlineStr">
        <is>
          <t>Servicios de la administración pública relacionados con la salud</t>
        </is>
      </c>
      <c r="K514" t="inlineStr">
        <is>
          <t>00</t>
        </is>
      </c>
      <c r="L514" t="inlineStr">
        <is>
          <t>SIN ATRIBUTO</t>
        </is>
      </c>
      <c r="N514" t="inlineStr">
        <is>
          <t>2.3.2.02.02.009.19.20</t>
        </is>
      </c>
      <c r="O514" t="inlineStr">
        <is>
          <t>Servicio de gestión del riesgo para abordar condiciones crónicas prevalentes SP PIC</t>
        </is>
      </c>
      <c r="P514" t="inlineStr">
        <is>
          <t>1.2.4.2.02</t>
        </is>
      </c>
      <c r="Q514" t="inlineStr">
        <is>
          <t>SGP-SALUD-SALUD PUBLICA</t>
        </is>
      </c>
      <c r="R514" t="n">
        <v>90000000</v>
      </c>
      <c r="S514" t="n">
        <v>0</v>
      </c>
      <c r="T514" t="n">
        <v>0</v>
      </c>
      <c r="U514" t="n">
        <v>0</v>
      </c>
      <c r="V514" t="n">
        <v>0</v>
      </c>
      <c r="W514" t="n">
        <v>0</v>
      </c>
      <c r="X514" t="n">
        <v>0</v>
      </c>
      <c r="Y514" t="n">
        <v>90000000</v>
      </c>
      <c r="Z514" t="n">
        <v>90000000</v>
      </c>
      <c r="AA514" t="n">
        <v>90000000</v>
      </c>
      <c r="AB514" t="n">
        <v>27000000</v>
      </c>
      <c r="AC514" t="n">
        <v>27000000</v>
      </c>
      <c r="AD514" t="n">
        <v>0</v>
      </c>
      <c r="AE514" t="n">
        <v>100</v>
      </c>
    </row>
    <row r="515">
      <c r="A515" t="inlineStr">
        <is>
          <t>8 - SECRETARÍA DE SALUD</t>
        </is>
      </c>
      <c r="B515" t="inlineStr">
        <is>
          <t>19 - SALUD Y PROTECCIÓN SOCIAL</t>
        </is>
      </c>
      <c r="C515" t="inlineStr">
        <is>
          <t>0300</t>
        </is>
      </c>
      <c r="D515" t="inlineStr">
        <is>
          <t>1905</t>
        </is>
      </c>
      <c r="E515" t="inlineStr">
        <is>
          <t>1905043</t>
        </is>
      </c>
      <c r="F515" t="inlineStr">
        <is>
          <t>SERVICIO DE GESTIÓN DEL RIESGO PARA ABORDAR SITUACIONES SITUACIONES ENDEMO-EPIDÉMICAS</t>
        </is>
      </c>
      <c r="G515" t="inlineStr">
        <is>
          <t>2024548740023</t>
        </is>
      </c>
      <c r="H515" t="inlineStr">
        <is>
          <t>FORTALECIMIENTO DE LA SALUD PUBLICA EN EL MUNICIPIO DE VILLA DEL ROSARIO.VILLA DEL ROSARIO UNA CIUDAD POSIBLE</t>
        </is>
      </c>
      <c r="I515" t="inlineStr">
        <is>
          <t>91122</t>
        </is>
      </c>
      <c r="J515" t="inlineStr">
        <is>
          <t>Servicios de la administración pública relacionados con la salud</t>
        </is>
      </c>
      <c r="K515" t="inlineStr">
        <is>
          <t>00</t>
        </is>
      </c>
      <c r="L515" t="inlineStr">
        <is>
          <t>SIN ATRIBUTO</t>
        </is>
      </c>
      <c r="N515" t="inlineStr">
        <is>
          <t>2.3.2.02.02.009.19.21</t>
        </is>
      </c>
      <c r="O515" t="inlineStr">
        <is>
          <t>Servicio de gestión del riesgo para abordar situaciones situaciones endemo-epidémicas SP PIC</t>
        </is>
      </c>
      <c r="P515" t="inlineStr">
        <is>
          <t>1.2.4.2.02</t>
        </is>
      </c>
      <c r="Q515" t="inlineStr">
        <is>
          <t>SGP-SALUD-SALUD PUBLICA</t>
        </is>
      </c>
      <c r="R515" t="n">
        <v>90000000</v>
      </c>
      <c r="S515" t="n">
        <v>0</v>
      </c>
      <c r="T515" t="n">
        <v>0</v>
      </c>
      <c r="U515" t="n">
        <v>0</v>
      </c>
      <c r="V515" t="n">
        <v>0</v>
      </c>
      <c r="W515" t="n">
        <v>0</v>
      </c>
      <c r="X515" t="n">
        <v>0</v>
      </c>
      <c r="Y515" t="n">
        <v>90000000</v>
      </c>
      <c r="Z515" t="n">
        <v>90000000</v>
      </c>
      <c r="AA515" t="n">
        <v>90000000</v>
      </c>
      <c r="AB515" t="n">
        <v>27000000</v>
      </c>
      <c r="AC515" t="n">
        <v>27000000</v>
      </c>
      <c r="AD515" t="n">
        <v>0</v>
      </c>
      <c r="AE515" t="n">
        <v>100</v>
      </c>
    </row>
    <row r="516">
      <c r="A516" t="inlineStr">
        <is>
          <t>8 - SECRETARÍA DE SALUD</t>
        </is>
      </c>
      <c r="B516" t="inlineStr">
        <is>
          <t>19 - SALUD Y PROTECCIÓN SOCIAL</t>
        </is>
      </c>
      <c r="C516" t="inlineStr">
        <is>
          <t>0300</t>
        </is>
      </c>
      <c r="D516" t="inlineStr">
        <is>
          <t>1905</t>
        </is>
      </c>
      <c r="E516" t="inlineStr">
        <is>
          <t>1905026</t>
        </is>
      </c>
      <c r="F516" t="inlineStr">
        <is>
          <t>SERVICIO DE GESTIÓN DEL RIESGO PARA ENFERMEDADES EMERGENTES, REEMERGENTES Y DESATENDIDAS</t>
        </is>
      </c>
      <c r="G516" t="inlineStr">
        <is>
          <t>2024548740023</t>
        </is>
      </c>
      <c r="H516" t="inlineStr">
        <is>
          <t>FORTALECIMIENTO DE LA SALUD PUBLICA EN EL MUNICIPIO DE VILLA DEL ROSARIO.VILLA DEL ROSARIO UNA CIUDAD POSIBLE</t>
        </is>
      </c>
      <c r="I516" t="inlineStr">
        <is>
          <t>91122</t>
        </is>
      </c>
      <c r="J516" t="inlineStr">
        <is>
          <t>Servicios de la administración pública relacionados con la salud</t>
        </is>
      </c>
      <c r="K516" t="inlineStr">
        <is>
          <t>00</t>
        </is>
      </c>
      <c r="L516" t="inlineStr">
        <is>
          <t>SIN ATRIBUTO</t>
        </is>
      </c>
      <c r="N516" t="inlineStr">
        <is>
          <t>2.3.2.02.02.009.19.22</t>
        </is>
      </c>
      <c r="O516" t="inlineStr">
        <is>
          <t>Servicio de gestión del riesgo para enfermedades emergentes, reemergentes y desatendidas SP PIC</t>
        </is>
      </c>
      <c r="P516" t="inlineStr">
        <is>
          <t>1.2.4.2.02</t>
        </is>
      </c>
      <c r="Q516" t="inlineStr">
        <is>
          <t>SGP-SALUD-SALUD PUBLICA</t>
        </is>
      </c>
      <c r="R516" t="n">
        <v>90000000</v>
      </c>
      <c r="S516" t="n">
        <v>0</v>
      </c>
      <c r="T516" t="n">
        <v>0</v>
      </c>
      <c r="U516" t="n">
        <v>0</v>
      </c>
      <c r="V516" t="n">
        <v>0</v>
      </c>
      <c r="W516" t="n">
        <v>0</v>
      </c>
      <c r="X516" t="n">
        <v>0</v>
      </c>
      <c r="Y516" t="n">
        <v>90000000</v>
      </c>
      <c r="Z516" t="n">
        <v>90000000</v>
      </c>
      <c r="AA516" t="n">
        <v>90000000</v>
      </c>
      <c r="AB516" t="n">
        <v>27000000</v>
      </c>
      <c r="AC516" t="n">
        <v>27000000</v>
      </c>
      <c r="AD516" t="n">
        <v>0</v>
      </c>
      <c r="AE516" t="n">
        <v>100</v>
      </c>
    </row>
    <row r="517">
      <c r="A517" t="inlineStr">
        <is>
          <t>8 - SECRETARÍA DE SALUD</t>
        </is>
      </c>
      <c r="B517" t="inlineStr">
        <is>
          <t>19 - SALUD Y PROTECCIÓN SOCIAL</t>
        </is>
      </c>
      <c r="C517" t="inlineStr">
        <is>
          <t>0300</t>
        </is>
      </c>
      <c r="D517" t="inlineStr">
        <is>
          <t>1905</t>
        </is>
      </c>
      <c r="E517" t="inlineStr">
        <is>
          <t>1905027</t>
        </is>
      </c>
      <c r="F517" t="inlineStr">
        <is>
          <t>SERVICIO DE GESTIÓN DEL RIESGO PARA ENFERMEDADES INMUNOPREVENIBLES</t>
        </is>
      </c>
      <c r="G517" t="inlineStr">
        <is>
          <t>2024548740023</t>
        </is>
      </c>
      <c r="H517" t="inlineStr">
        <is>
          <t>FORTALECIMIENTO DE LA SALUD PUBLICA EN EL MUNICIPIO DE VILLA DEL ROSARIO.VILLA DEL ROSARIO UNA CIUDAD POSIBLE</t>
        </is>
      </c>
      <c r="I517" t="inlineStr">
        <is>
          <t>91122</t>
        </is>
      </c>
      <c r="J517" t="inlineStr">
        <is>
          <t>Servicios de la administración pública relacionados con la salud</t>
        </is>
      </c>
      <c r="K517" t="inlineStr">
        <is>
          <t>00</t>
        </is>
      </c>
      <c r="L517" t="inlineStr">
        <is>
          <t>SIN ATRIBUTO</t>
        </is>
      </c>
      <c r="N517" t="inlineStr">
        <is>
          <t>2.3.2.02.02.009.19.23</t>
        </is>
      </c>
      <c r="O517" t="inlineStr">
        <is>
          <t>Servicio de gestión del riesgo para enfermedades inmunoprevenibles SP PIC</t>
        </is>
      </c>
      <c r="P517" t="inlineStr">
        <is>
          <t>1.2.4.2.02</t>
        </is>
      </c>
      <c r="Q517" t="inlineStr">
        <is>
          <t>SGP-SALUD-SALUD PUBLICA</t>
        </is>
      </c>
      <c r="R517" t="n">
        <v>90000000</v>
      </c>
      <c r="S517" t="n">
        <v>0</v>
      </c>
      <c r="T517" t="n">
        <v>0</v>
      </c>
      <c r="U517" t="n">
        <v>0</v>
      </c>
      <c r="V517" t="n">
        <v>0</v>
      </c>
      <c r="W517" t="n">
        <v>0</v>
      </c>
      <c r="X517" t="n">
        <v>0</v>
      </c>
      <c r="Y517" t="n">
        <v>90000000</v>
      </c>
      <c r="Z517" t="n">
        <v>90000000</v>
      </c>
      <c r="AA517" t="n">
        <v>90000000</v>
      </c>
      <c r="AB517" t="n">
        <v>27000000</v>
      </c>
      <c r="AC517" t="n">
        <v>27000000</v>
      </c>
      <c r="AD517" t="n">
        <v>0</v>
      </c>
      <c r="AE517" t="n">
        <v>100</v>
      </c>
    </row>
    <row r="518">
      <c r="A518" t="inlineStr">
        <is>
          <t>8 - SECRETARÍA DE SALUD</t>
        </is>
      </c>
      <c r="B518" t="inlineStr">
        <is>
          <t>19 - SALUD Y PROTECCIÓN SOCIAL</t>
        </is>
      </c>
      <c r="C518" t="inlineStr">
        <is>
          <t>0300</t>
        </is>
      </c>
      <c r="D518" t="inlineStr">
        <is>
          <t>1905</t>
        </is>
      </c>
      <c r="E518" t="inlineStr">
        <is>
          <t>1905028</t>
        </is>
      </c>
      <c r="F518" t="inlineStr">
        <is>
          <t>SERVICIO DE GESTIÓN DEL RIESGO PARA TEMAS DE CONSUMO, APROVECHAMIENTO BIOLÓGICO, CALIDAD E INOCUIDAD DE LOS ALIMENTOS</t>
        </is>
      </c>
      <c r="G518" t="inlineStr">
        <is>
          <t>2024548740023</t>
        </is>
      </c>
      <c r="H518" t="inlineStr">
        <is>
          <t>FORTALECIMIENTO DE LA SALUD PUBLICA EN EL MUNICIPIO DE VILLA DEL ROSARIO.VILLA DEL ROSARIO UNA CIUDAD POSIBLE</t>
        </is>
      </c>
      <c r="I518" t="inlineStr">
        <is>
          <t>91122</t>
        </is>
      </c>
      <c r="J518" t="inlineStr">
        <is>
          <t>Servicios de la administración pública relacionados con la salud</t>
        </is>
      </c>
      <c r="K518" t="inlineStr">
        <is>
          <t>00</t>
        </is>
      </c>
      <c r="L518" t="inlineStr">
        <is>
          <t>SIN ATRIBUTO</t>
        </is>
      </c>
      <c r="N518" t="inlineStr">
        <is>
          <t>2.3.2.02.02.009.19.24</t>
        </is>
      </c>
      <c r="O518" t="inlineStr">
        <is>
          <t>Servicio de gestión del riesgo para temas de consumo, aprovechamiento biológico, calidad e inocuidad de los alimentos SP PIC</t>
        </is>
      </c>
      <c r="P518" t="inlineStr">
        <is>
          <t>1.2.4.2.02</t>
        </is>
      </c>
      <c r="Q518" t="inlineStr">
        <is>
          <t>SGP-SALUD-SALUD PUBLICA</t>
        </is>
      </c>
      <c r="R518" t="n">
        <v>120000000</v>
      </c>
      <c r="S518" t="n">
        <v>0</v>
      </c>
      <c r="T518" t="n">
        <v>0</v>
      </c>
      <c r="U518" t="n">
        <v>0</v>
      </c>
      <c r="V518" t="n">
        <v>0</v>
      </c>
      <c r="W518" t="n">
        <v>0</v>
      </c>
      <c r="X518" t="n">
        <v>0</v>
      </c>
      <c r="Y518" t="n">
        <v>120000000</v>
      </c>
      <c r="Z518" t="n">
        <v>120000000</v>
      </c>
      <c r="AA518" t="n">
        <v>120000000</v>
      </c>
      <c r="AB518" t="n">
        <v>36000000</v>
      </c>
      <c r="AC518" t="n">
        <v>36000000</v>
      </c>
      <c r="AD518" t="n">
        <v>0</v>
      </c>
      <c r="AE518" t="n">
        <v>100</v>
      </c>
    </row>
    <row r="519">
      <c r="A519" t="inlineStr">
        <is>
          <t>8 - SECRETARÍA DE SALUD</t>
        </is>
      </c>
      <c r="B519" t="inlineStr">
        <is>
          <t>19 - SALUD Y PROTECCIÓN SOCIAL</t>
        </is>
      </c>
      <c r="C519" t="inlineStr">
        <is>
          <t>0300</t>
        </is>
      </c>
      <c r="D519" t="inlineStr">
        <is>
          <t>1905</t>
        </is>
      </c>
      <c r="E519" t="inlineStr">
        <is>
          <t>1905054</t>
        </is>
      </c>
      <c r="F519" t="inlineStr">
        <is>
          <t>SERVICIO DE PROMOCION DE LA SALUD</t>
        </is>
      </c>
      <c r="G519" t="inlineStr">
        <is>
          <t>2024548740023</t>
        </is>
      </c>
      <c r="H519" t="inlineStr">
        <is>
          <t>FORTALECIMIENTO DE LA SALUD PUBLICA EN EL MUNICIPIO DE VILLA DEL ROSARIO.VILLA DEL ROSARIO UNA CIUDAD POSIBLE</t>
        </is>
      </c>
      <c r="I519" t="inlineStr">
        <is>
          <t>91122</t>
        </is>
      </c>
      <c r="J519" t="inlineStr">
        <is>
          <t>Servicios de la administración pública relacionados con la salud</t>
        </is>
      </c>
      <c r="K519" t="inlineStr">
        <is>
          <t>00</t>
        </is>
      </c>
      <c r="L519" t="inlineStr">
        <is>
          <t>SIN ATRIBUTO</t>
        </is>
      </c>
      <c r="N519" t="inlineStr">
        <is>
          <t>2.3.2.02.02.009.19.25</t>
        </is>
      </c>
      <c r="O519" t="inlineStr">
        <is>
          <t>Servicio de promoción de la salud SP PIC</t>
        </is>
      </c>
      <c r="P519" t="inlineStr">
        <is>
          <t>1.2.4.2.02</t>
        </is>
      </c>
      <c r="Q519" t="inlineStr">
        <is>
          <t>SGP-SALUD-SALUD PUBLICA</t>
        </is>
      </c>
      <c r="R519" t="n">
        <v>120000000</v>
      </c>
      <c r="S519" t="n">
        <v>0</v>
      </c>
      <c r="T519" t="n">
        <v>0</v>
      </c>
      <c r="U519" t="n">
        <v>0</v>
      </c>
      <c r="V519" t="n">
        <v>0</v>
      </c>
      <c r="W519" t="n">
        <v>0</v>
      </c>
      <c r="X519" t="n">
        <v>0</v>
      </c>
      <c r="Y519" t="n">
        <v>120000000</v>
      </c>
      <c r="Z519" t="n">
        <v>120000000</v>
      </c>
      <c r="AA519" t="n">
        <v>120000000</v>
      </c>
      <c r="AB519" t="n">
        <v>36000000</v>
      </c>
      <c r="AC519" t="n">
        <v>36000000</v>
      </c>
      <c r="AD519" t="n">
        <v>0</v>
      </c>
      <c r="AE519" t="n">
        <v>100</v>
      </c>
    </row>
    <row r="520">
      <c r="A520" t="inlineStr">
        <is>
          <t>8 - SECRETARÍA DE SALUD</t>
        </is>
      </c>
      <c r="B520" t="inlineStr">
        <is>
          <t>19 - SALUD Y PROTECCIÓN SOCIAL</t>
        </is>
      </c>
      <c r="C520" t="inlineStr">
        <is>
          <t>0300</t>
        </is>
      </c>
      <c r="D520" t="inlineStr">
        <is>
          <t>1905</t>
        </is>
      </c>
      <c r="E520" t="inlineStr">
        <is>
          <t>1905031</t>
        </is>
      </c>
      <c r="F520" t="inlineStr">
        <is>
          <t>SERVICIO DE PROMOCIÓN DE LA SALUD Y PREVENCIÓN DE RIESGOS ASOCIADOS A CONDICIONES NO TRANSMISIBLES</t>
        </is>
      </c>
      <c r="G520" t="inlineStr">
        <is>
          <t>2024548740023</t>
        </is>
      </c>
      <c r="H520" t="inlineStr">
        <is>
          <t>FORTALECIMIENTO DE LA SALUD PUBLICA EN EL MUNICIPIO DE VILLA DEL ROSARIO.VILLA DEL ROSARIO UNA CIUDAD POSIBLE</t>
        </is>
      </c>
      <c r="I520" t="inlineStr">
        <is>
          <t>91122</t>
        </is>
      </c>
      <c r="J520" t="inlineStr">
        <is>
          <t>Servicios de la administración pública relacionados con la salud</t>
        </is>
      </c>
      <c r="K520" t="inlineStr">
        <is>
          <t>00</t>
        </is>
      </c>
      <c r="L520" t="inlineStr">
        <is>
          <t>SIN ATRIBUTO</t>
        </is>
      </c>
      <c r="N520" t="inlineStr">
        <is>
          <t>2.3.2.02.02.009.19.26</t>
        </is>
      </c>
      <c r="O520" t="inlineStr">
        <is>
          <t>Servicio de promoción de la salud y prevención de riesgos asociados a condiciones no transmisibles SP PIC</t>
        </is>
      </c>
      <c r="P520" t="inlineStr">
        <is>
          <t>1.2.4.2.02</t>
        </is>
      </c>
      <c r="Q520" t="inlineStr">
        <is>
          <t>SGP-SALUD-SALUD PUBLICA</t>
        </is>
      </c>
      <c r="R520" t="n">
        <v>103986008</v>
      </c>
      <c r="S520" t="n">
        <v>0</v>
      </c>
      <c r="T520" t="n">
        <v>0</v>
      </c>
      <c r="U520" t="n">
        <v>0</v>
      </c>
      <c r="V520" t="n">
        <v>0</v>
      </c>
      <c r="W520" t="n">
        <v>0</v>
      </c>
      <c r="X520" t="n">
        <v>0</v>
      </c>
      <c r="Y520" t="n">
        <v>103986008</v>
      </c>
      <c r="Z520" t="n">
        <v>100000000</v>
      </c>
      <c r="AA520" t="n">
        <v>100000000</v>
      </c>
      <c r="AB520" t="n">
        <v>30000000</v>
      </c>
      <c r="AC520" t="n">
        <v>30000000</v>
      </c>
      <c r="AD520" t="n">
        <v>3986008</v>
      </c>
      <c r="AE520" t="n">
        <v>96.17</v>
      </c>
    </row>
    <row r="521">
      <c r="A521" t="inlineStr">
        <is>
          <t>8 - SECRETARÍA DE SALUD</t>
        </is>
      </c>
      <c r="B521" t="inlineStr">
        <is>
          <t>19 - SALUD Y PROTECCIÓN SOCIAL</t>
        </is>
      </c>
      <c r="C521" t="inlineStr">
        <is>
          <t>0300</t>
        </is>
      </c>
      <c r="D521" t="inlineStr">
        <is>
          <t>1905</t>
        </is>
      </c>
      <c r="E521" t="inlineStr">
        <is>
          <t>1905054</t>
        </is>
      </c>
      <c r="F521" t="inlineStr">
        <is>
          <t>SERVICIO DE PROMOCION DE LA SALUD</t>
        </is>
      </c>
      <c r="G521" t="inlineStr">
        <is>
          <t>2024548740023</t>
        </is>
      </c>
      <c r="H521" t="inlineStr">
        <is>
          <t>FORTALECIMIENTO DE LA SALUD PUBLICA EN EL MUNICIPIO DE VILLA DEL ROSARIO.VILLA DEL ROSARIO UNA CIUDAD POSIBLE</t>
        </is>
      </c>
      <c r="I521" t="inlineStr">
        <is>
          <t>91122</t>
        </is>
      </c>
      <c r="J521" t="inlineStr">
        <is>
          <t>Servicios de la administración pública relacionados con la salud</t>
        </is>
      </c>
      <c r="K521" t="inlineStr">
        <is>
          <t>00</t>
        </is>
      </c>
      <c r="L521" t="inlineStr">
        <is>
          <t>SIN ATRIBUTO</t>
        </is>
      </c>
      <c r="N521" t="inlineStr">
        <is>
          <t>2.3.2.02.02.009.19.26</t>
        </is>
      </c>
      <c r="O521" t="inlineStr">
        <is>
          <t>Servicio de promoción de la salud SP PIC</t>
        </is>
      </c>
      <c r="P521" t="inlineStr">
        <is>
          <t>1.3.3.7.02</t>
        </is>
      </c>
      <c r="Q521" t="inlineStr">
        <is>
          <t>R.B. SGP SALUD PUBLICA</t>
        </is>
      </c>
      <c r="R521" t="n">
        <v>0</v>
      </c>
      <c r="S521" t="n">
        <v>54286330.67</v>
      </c>
      <c r="T521" t="n">
        <v>0</v>
      </c>
      <c r="U521" t="n">
        <v>0</v>
      </c>
      <c r="V521" t="n">
        <v>54286330.67</v>
      </c>
      <c r="W521" t="n">
        <v>0</v>
      </c>
      <c r="X521" t="n">
        <v>0</v>
      </c>
      <c r="Y521" t="n">
        <v>0</v>
      </c>
      <c r="Z521" t="n">
        <v>0</v>
      </c>
      <c r="AA521" t="n">
        <v>0</v>
      </c>
      <c r="AB521" t="n">
        <v>0</v>
      </c>
      <c r="AC521" t="n">
        <v>0</v>
      </c>
      <c r="AD521" t="n">
        <v>0</v>
      </c>
      <c r="AE521" t="n">
        <v>0</v>
      </c>
    </row>
    <row r="522">
      <c r="A522" t="inlineStr">
        <is>
          <t>8 - SECRETARÍA DE SALUD</t>
        </is>
      </c>
      <c r="B522" t="inlineStr">
        <is>
          <t>19 - SALUD Y PROTECCIÓN SOCIAL</t>
        </is>
      </c>
      <c r="C522" t="inlineStr">
        <is>
          <t>0300</t>
        </is>
      </c>
      <c r="D522" t="inlineStr">
        <is>
          <t>1905</t>
        </is>
      </c>
      <c r="E522" t="inlineStr">
        <is>
          <t>1905025</t>
        </is>
      </c>
      <c r="F522" t="inlineStr">
        <is>
          <t>SERVICIO DE GESTIÓN DEL RIESGO PARA ABORDAR SITUACIONES PREVALENTES DE ORIGEN LABORAL</t>
        </is>
      </c>
      <c r="G522" t="inlineStr">
        <is>
          <t>2024548740023</t>
        </is>
      </c>
      <c r="H522" t="inlineStr">
        <is>
          <t>FORTALECIMIENTO DE LA SALUD PUBLICA EN EL MUNICIPIO DE VILLA DEL ROSARIO.VILLA DEL ROSARIO UNA CIUDAD POSIBLE</t>
        </is>
      </c>
      <c r="I522" t="inlineStr">
        <is>
          <t>91122</t>
        </is>
      </c>
      <c r="J522" t="inlineStr">
        <is>
          <t>Servicios de la administración pública relacionados con la salud</t>
        </is>
      </c>
      <c r="K522" t="inlineStr">
        <is>
          <t>00</t>
        </is>
      </c>
      <c r="L522" t="inlineStr">
        <is>
          <t>SIN ATRIBUTO</t>
        </is>
      </c>
      <c r="N522" t="inlineStr">
        <is>
          <t>2.3.2.02.02.009.19.27</t>
        </is>
      </c>
      <c r="O522" t="inlineStr">
        <is>
          <t>Servicio de gestión del riesgo para abordar situaciones prevalentes de origen laboral SP GESTION</t>
        </is>
      </c>
      <c r="P522" t="inlineStr">
        <is>
          <t>1.2.4.2.02</t>
        </is>
      </c>
      <c r="Q522" t="inlineStr">
        <is>
          <t>SGP-SALUD-SALUD PUBLICA</t>
        </is>
      </c>
      <c r="R522" t="n">
        <v>30000000</v>
      </c>
      <c r="S522" t="n">
        <v>0</v>
      </c>
      <c r="T522" t="n">
        <v>0</v>
      </c>
      <c r="U522" t="n">
        <v>0</v>
      </c>
      <c r="V522" t="n">
        <v>0</v>
      </c>
      <c r="W522" t="n">
        <v>0</v>
      </c>
      <c r="X522" t="n">
        <v>0</v>
      </c>
      <c r="Y522" t="n">
        <v>30000000</v>
      </c>
      <c r="Z522" t="n">
        <v>0</v>
      </c>
      <c r="AA522" t="n">
        <v>0</v>
      </c>
      <c r="AB522" t="n">
        <v>0</v>
      </c>
      <c r="AC522" t="n">
        <v>0</v>
      </c>
      <c r="AD522" t="n">
        <v>30000000</v>
      </c>
      <c r="AE522" t="n">
        <v>0</v>
      </c>
    </row>
    <row r="523">
      <c r="A523" t="inlineStr">
        <is>
          <t>8 - SECRETARÍA DE SALUD</t>
        </is>
      </c>
      <c r="B523" t="inlineStr">
        <is>
          <t>19 - SALUD Y PROTECCIÓN SOCIAL</t>
        </is>
      </c>
      <c r="C523" t="inlineStr">
        <is>
          <t>0300</t>
        </is>
      </c>
      <c r="D523" t="inlineStr">
        <is>
          <t>1905</t>
        </is>
      </c>
      <c r="E523" t="inlineStr">
        <is>
          <t>1905054</t>
        </is>
      </c>
      <c r="F523" t="inlineStr">
        <is>
          <t>SERVICIO DE PROMOCION DE LA SALUD</t>
        </is>
      </c>
      <c r="G523" t="inlineStr">
        <is>
          <t>2024548740023</t>
        </is>
      </c>
      <c r="H523" t="inlineStr">
        <is>
          <t>FORTALECIMIENTO DE LA SALUD PUBLICA EN EL MUNICIPIO DE VILLA DEL ROSARIO.VILLA DEL ROSARIO UNA CIUDAD POSIBLE</t>
        </is>
      </c>
      <c r="I523" t="inlineStr">
        <is>
          <t>91122</t>
        </is>
      </c>
      <c r="J523" t="inlineStr">
        <is>
          <t>Servicios de la administración pública relacionados con la salud</t>
        </is>
      </c>
      <c r="K523" t="inlineStr">
        <is>
          <t>00</t>
        </is>
      </c>
      <c r="L523" t="inlineStr">
        <is>
          <t>SIN ATRIBUTO</t>
        </is>
      </c>
      <c r="N523" t="inlineStr">
        <is>
          <t>2.3.2.02.02.009.19.27</t>
        </is>
      </c>
      <c r="O523" t="inlineStr">
        <is>
          <t>Servicio de promoción de la salud SP PIC</t>
        </is>
      </c>
      <c r="P523" t="inlineStr">
        <is>
          <t>1.3.3.4.22</t>
        </is>
      </c>
      <c r="Q523" t="inlineStr">
        <is>
          <t>R.B. DERECHOS POR LA EXPLOTACIÓN DE JUEGOS DE SUERTE Y AZAR</t>
        </is>
      </c>
      <c r="R523" t="n">
        <v>0</v>
      </c>
      <c r="S523" t="n">
        <v>150000000</v>
      </c>
      <c r="T523" t="n">
        <v>0</v>
      </c>
      <c r="U523" t="n">
        <v>0</v>
      </c>
      <c r="V523" t="n">
        <v>150000000</v>
      </c>
      <c r="W523" t="n">
        <v>0</v>
      </c>
      <c r="X523" t="n">
        <v>0</v>
      </c>
      <c r="Y523" t="n">
        <v>0</v>
      </c>
      <c r="Z523" t="n">
        <v>0</v>
      </c>
      <c r="AA523" t="n">
        <v>0</v>
      </c>
      <c r="AB523" t="n">
        <v>0</v>
      </c>
      <c r="AC523" t="n">
        <v>0</v>
      </c>
      <c r="AD523" t="n">
        <v>0</v>
      </c>
      <c r="AE523" t="n">
        <v>0</v>
      </c>
    </row>
    <row r="524">
      <c r="A524" t="inlineStr">
        <is>
          <t>8 - SECRETARÍA DE SALUD</t>
        </is>
      </c>
      <c r="B524" t="inlineStr">
        <is>
          <t>19 - SALUD Y PROTECCIÓN SOCIAL</t>
        </is>
      </c>
      <c r="C524" t="inlineStr">
        <is>
          <t>0300</t>
        </is>
      </c>
      <c r="D524" t="inlineStr">
        <is>
          <t>1905</t>
        </is>
      </c>
      <c r="E524" t="inlineStr">
        <is>
          <t>1905028</t>
        </is>
      </c>
      <c r="F524" t="inlineStr">
        <is>
          <t>SERVICIO DE GESTIÓN DEL RIESGO PARA TEMAS DE CONSUMO, APROVECHAMIENTO BIOLÓGICO, CALIDAD E INOCUIDAD DE LOS ALIMENTOS</t>
        </is>
      </c>
      <c r="G524" t="inlineStr">
        <is>
          <t>2024548740023</t>
        </is>
      </c>
      <c r="H524" t="inlineStr">
        <is>
          <t>FORTALECIMIENTO DE LA SALUD PUBLICA EN EL MUNICIPIO DE VILLA DEL ROSARIO.VILLA DEL ROSARIO UNA CIUDAD POSIBLE</t>
        </is>
      </c>
      <c r="I524" t="inlineStr">
        <is>
          <t>91122</t>
        </is>
      </c>
      <c r="J524" t="inlineStr">
        <is>
          <t>Servicios de la administración pública relacionados con la salud</t>
        </is>
      </c>
      <c r="K524" t="inlineStr">
        <is>
          <t>00</t>
        </is>
      </c>
      <c r="L524" t="inlineStr">
        <is>
          <t>SIN ATRIBUTO</t>
        </is>
      </c>
      <c r="N524" t="inlineStr">
        <is>
          <t>2.3.2.02.02.009.19.28</t>
        </is>
      </c>
      <c r="O524" t="inlineStr">
        <is>
          <t>Servicio de gestión del riesgo para temas de consumo, aprovechamiento biológico, calidad e inocuidad de los alimentos SP GESTION</t>
        </is>
      </c>
      <c r="P524" t="inlineStr">
        <is>
          <t>1.2.4.2.02</t>
        </is>
      </c>
      <c r="Q524" t="inlineStr">
        <is>
          <t>SGP-SALUD-SALUD PUBLICA</t>
        </is>
      </c>
      <c r="R524" t="n">
        <v>40000000</v>
      </c>
      <c r="S524" t="n">
        <v>0</v>
      </c>
      <c r="T524" t="n">
        <v>0</v>
      </c>
      <c r="U524" t="n">
        <v>0</v>
      </c>
      <c r="V524" t="n">
        <v>0</v>
      </c>
      <c r="W524" t="n">
        <v>0</v>
      </c>
      <c r="X524" t="n">
        <v>0</v>
      </c>
      <c r="Y524" t="n">
        <v>40000000</v>
      </c>
      <c r="Z524" t="n">
        <v>21500000</v>
      </c>
      <c r="AA524" t="n">
        <v>21500000</v>
      </c>
      <c r="AB524" t="n">
        <v>18000000</v>
      </c>
      <c r="AC524" t="n">
        <v>14500000</v>
      </c>
      <c r="AD524" t="n">
        <v>18500000</v>
      </c>
      <c r="AE524" t="n">
        <v>53.75</v>
      </c>
    </row>
    <row r="525">
      <c r="A525" t="inlineStr">
        <is>
          <t>8 - SECRETARÍA DE SALUD</t>
        </is>
      </c>
      <c r="B525" t="inlineStr">
        <is>
          <t>19 - SALUD Y PROTECCIÓN SOCIAL</t>
        </is>
      </c>
      <c r="C525" t="inlineStr">
        <is>
          <t>0300</t>
        </is>
      </c>
      <c r="D525" t="inlineStr">
        <is>
          <t>1905</t>
        </is>
      </c>
      <c r="E525" t="inlineStr">
        <is>
          <t>1905054</t>
        </is>
      </c>
      <c r="F525" t="inlineStr">
        <is>
          <t>SERVICIO DE PROMOCION DE LA SALUD</t>
        </is>
      </c>
      <c r="G525" t="inlineStr">
        <is>
          <t>2024548740023</t>
        </is>
      </c>
      <c r="H525" t="inlineStr">
        <is>
          <t>FORTALECIMIENTO DE LA SALUD PUBLICA EN EL MUNICIPIO DE VILLA DEL ROSARIO.VILLA DEL ROSARIO UNA CIUDAD POSIBLE</t>
        </is>
      </c>
      <c r="I525" t="inlineStr">
        <is>
          <t>91122</t>
        </is>
      </c>
      <c r="J525" t="inlineStr">
        <is>
          <t>Servicios de la administración pública relacionados con la salud</t>
        </is>
      </c>
      <c r="K525" t="inlineStr">
        <is>
          <t>00</t>
        </is>
      </c>
      <c r="L525" t="inlineStr">
        <is>
          <t>SIN ATRIBUTO</t>
        </is>
      </c>
      <c r="N525" t="inlineStr">
        <is>
          <t>2.3.2.02.02.009.19.28</t>
        </is>
      </c>
      <c r="O525" t="inlineStr">
        <is>
          <t>Servicio de promoción de la salud</t>
        </is>
      </c>
      <c r="P525" t="inlineStr">
        <is>
          <t>1.3.3.4.22</t>
        </is>
      </c>
      <c r="Q525" t="inlineStr">
        <is>
          <t>R.B. DERECHOS POR LA EXPLOTACIÓN DE JUEGOS DE SUERTE Y AZAR</t>
        </is>
      </c>
      <c r="R525" t="n">
        <v>0</v>
      </c>
      <c r="S525" t="n">
        <v>0</v>
      </c>
      <c r="T525" t="n">
        <v>0</v>
      </c>
      <c r="U525" t="n">
        <v>150000000</v>
      </c>
      <c r="V525" t="n">
        <v>0</v>
      </c>
      <c r="W525" t="n">
        <v>0</v>
      </c>
      <c r="X525" t="n">
        <v>0</v>
      </c>
      <c r="Y525" t="n">
        <v>150000000</v>
      </c>
      <c r="Z525" t="n">
        <v>5300000</v>
      </c>
      <c r="AA525" t="n">
        <v>5300000</v>
      </c>
      <c r="AB525" t="n">
        <v>3000000</v>
      </c>
      <c r="AC525" t="n">
        <v>0</v>
      </c>
      <c r="AD525" t="n">
        <v>144700000</v>
      </c>
      <c r="AE525" t="n">
        <v>3.53</v>
      </c>
    </row>
    <row r="526">
      <c r="A526" t="inlineStr">
        <is>
          <t>8 - SECRETARÍA DE SALUD</t>
        </is>
      </c>
      <c r="B526" t="inlineStr">
        <is>
          <t>19 - SALUD Y PROTECCIÓN SOCIAL</t>
        </is>
      </c>
      <c r="C526" t="inlineStr">
        <is>
          <t>0300</t>
        </is>
      </c>
      <c r="D526" t="inlineStr">
        <is>
          <t>1905</t>
        </is>
      </c>
      <c r="E526" t="inlineStr">
        <is>
          <t>1905031</t>
        </is>
      </c>
      <c r="F526" t="inlineStr">
        <is>
          <t>SERVICIO DE PROMOCIÓN DE LA SALUD Y PREVENCIÓN DE RIESGOS ASOCIADOS A CONDICIONES NO TRANSMISIBLES</t>
        </is>
      </c>
      <c r="G526" t="inlineStr">
        <is>
          <t>2024548740023</t>
        </is>
      </c>
      <c r="H526" t="inlineStr">
        <is>
          <t>FORTALECIMIENTO DE LA SALUD PUBLICA EN EL MUNICIPIO DE VILLA DEL ROSARIO.VILLA DEL ROSARIO UNA CIUDAD POSIBLE</t>
        </is>
      </c>
      <c r="I526" t="inlineStr">
        <is>
          <t>91122</t>
        </is>
      </c>
      <c r="J526" t="inlineStr">
        <is>
          <t>Servicios de la administración pública relacionados con la salud</t>
        </is>
      </c>
      <c r="K526" t="inlineStr">
        <is>
          <t>00</t>
        </is>
      </c>
      <c r="L526" t="inlineStr">
        <is>
          <t>SIN ATRIBUTO</t>
        </is>
      </c>
      <c r="N526" t="inlineStr">
        <is>
          <t>2.3.2.02.02.009.19.29</t>
        </is>
      </c>
      <c r="O526" t="inlineStr">
        <is>
          <t>Servicio de promoción de la salud y prevención de riesgos asociados a condiciones no transmisibles SP GESTION</t>
        </is>
      </c>
      <c r="P526" t="inlineStr">
        <is>
          <t>1.2.4.2.02</t>
        </is>
      </c>
      <c r="Q526" t="inlineStr">
        <is>
          <t>SGP-SALUD-SALUD PUBLICA</t>
        </is>
      </c>
      <c r="R526" t="n">
        <v>40000000</v>
      </c>
      <c r="S526" t="n">
        <v>0</v>
      </c>
      <c r="T526" t="n">
        <v>0</v>
      </c>
      <c r="U526" t="n">
        <v>0</v>
      </c>
      <c r="V526" t="n">
        <v>0</v>
      </c>
      <c r="W526" t="n">
        <v>0</v>
      </c>
      <c r="X526" t="n">
        <v>0</v>
      </c>
      <c r="Y526" t="n">
        <v>40000000</v>
      </c>
      <c r="Z526" t="n">
        <v>13500000</v>
      </c>
      <c r="AA526" t="n">
        <v>13500000</v>
      </c>
      <c r="AB526" t="n">
        <v>9000000</v>
      </c>
      <c r="AC526" t="n">
        <v>9000000</v>
      </c>
      <c r="AD526" t="n">
        <v>26500000</v>
      </c>
      <c r="AE526" t="n">
        <v>33.75</v>
      </c>
    </row>
    <row r="527">
      <c r="A527" t="inlineStr">
        <is>
          <t>8 - SECRETARÍA DE SALUD</t>
        </is>
      </c>
      <c r="B527" t="inlineStr">
        <is>
          <t>19 - SALUD Y PROTECCIÓN SOCIAL</t>
        </is>
      </c>
      <c r="C527" t="inlineStr">
        <is>
          <t>0300</t>
        </is>
      </c>
      <c r="D527" t="inlineStr">
        <is>
          <t>1905</t>
        </is>
      </c>
      <c r="E527" t="inlineStr">
        <is>
          <t>1905054</t>
        </is>
      </c>
      <c r="F527" t="inlineStr">
        <is>
          <t>SERVICIO DE PROMOCION DE LA SALUD</t>
        </is>
      </c>
      <c r="G527" t="inlineStr">
        <is>
          <t>2024548740023</t>
        </is>
      </c>
      <c r="H527" t="inlineStr">
        <is>
          <t>FORTALECIMIENTO DE LA SALUD PUBLICA EN EL MUNICIPIO DE VILLA DEL ROSARIO.VILLA DEL ROSARIO UNA CIUDAD POSIBLE</t>
        </is>
      </c>
      <c r="I527" t="inlineStr">
        <is>
          <t>91122</t>
        </is>
      </c>
      <c r="J527" t="inlineStr">
        <is>
          <t>Servicios de la administración pública relacionados con la salud</t>
        </is>
      </c>
      <c r="K527" t="inlineStr">
        <is>
          <t>00</t>
        </is>
      </c>
      <c r="L527" t="inlineStr">
        <is>
          <t>SIN ATRIBUTO</t>
        </is>
      </c>
      <c r="N527" t="inlineStr">
        <is>
          <t>2.3.2.02.02.009.19.29</t>
        </is>
      </c>
      <c r="O527" t="inlineStr">
        <is>
          <t>Servicio de inspección vigilancia y control SP Gestión</t>
        </is>
      </c>
      <c r="P527" t="inlineStr">
        <is>
          <t>1.3.3.7.02</t>
        </is>
      </c>
      <c r="Q527" t="inlineStr">
        <is>
          <t>R.B. SGP SALUD PUBLICA</t>
        </is>
      </c>
      <c r="R527" t="n">
        <v>0</v>
      </c>
      <c r="S527" t="n">
        <v>0</v>
      </c>
      <c r="T527" t="n">
        <v>0</v>
      </c>
      <c r="U527" t="n">
        <v>54286330.67</v>
      </c>
      <c r="V527" t="n">
        <v>0</v>
      </c>
      <c r="W527" t="n">
        <v>0</v>
      </c>
      <c r="X527" t="n">
        <v>0</v>
      </c>
      <c r="Y527" t="n">
        <v>54286330.67</v>
      </c>
      <c r="Z527" t="n">
        <v>0</v>
      </c>
      <c r="AA527" t="n">
        <v>0</v>
      </c>
      <c r="AB527" t="n">
        <v>0</v>
      </c>
      <c r="AC527" t="n">
        <v>0</v>
      </c>
      <c r="AD527" t="n">
        <v>54286330.67</v>
      </c>
      <c r="AE527" t="n">
        <v>0</v>
      </c>
    </row>
    <row r="528">
      <c r="A528" t="inlineStr">
        <is>
          <t>8 - SECRETARÍA DE SALUD</t>
        </is>
      </c>
      <c r="B528" t="inlineStr">
        <is>
          <t>19 - SALUD Y PROTECCIÓN SOCIAL</t>
        </is>
      </c>
      <c r="C528" t="inlineStr">
        <is>
          <t>0300</t>
        </is>
      </c>
      <c r="D528" t="inlineStr">
        <is>
          <t>1905</t>
        </is>
      </c>
      <c r="E528" t="inlineStr">
        <is>
          <t>1905021</t>
        </is>
      </c>
      <c r="F528" t="inlineStr">
        <is>
          <t>SERVICIO DE GESTIÓN DEL RIESGO EN TEMAS DE SALUD SEXUAL Y REPRODUCTIVA</t>
        </is>
      </c>
      <c r="G528" t="inlineStr">
        <is>
          <t>2024548740023</t>
        </is>
      </c>
      <c r="H528" t="inlineStr">
        <is>
          <t>FORTALECIMIENTO DE LA SALUD PUBLICA EN EL MUNICIPIO DE VILLA DEL ROSARIO.VILLA DEL ROSARIO UNA CIUDAD POSIBLE</t>
        </is>
      </c>
      <c r="I528" t="inlineStr">
        <is>
          <t>91122</t>
        </is>
      </c>
      <c r="J528" t="inlineStr">
        <is>
          <t>Servicios de la administración pública relacionados con la salud</t>
        </is>
      </c>
      <c r="K528" t="inlineStr">
        <is>
          <t>00</t>
        </is>
      </c>
      <c r="L528" t="inlineStr">
        <is>
          <t>SIN ATRIBUTO</t>
        </is>
      </c>
      <c r="N528" t="inlineStr">
        <is>
          <t>2.3.2.02.02.009.19.30</t>
        </is>
      </c>
      <c r="O528" t="inlineStr">
        <is>
          <t>Servicio de gestión del riesgo en temas de salud sexual y reproductiva SP GESTION</t>
        </is>
      </c>
      <c r="P528" t="inlineStr">
        <is>
          <t>1.2.4.2.02</t>
        </is>
      </c>
      <c r="Q528" t="inlineStr">
        <is>
          <t>SGP-SALUD-SALUD PUBLICA</t>
        </is>
      </c>
      <c r="R528" t="n">
        <v>40000000</v>
      </c>
      <c r="S528" t="n">
        <v>0</v>
      </c>
      <c r="T528" t="n">
        <v>0</v>
      </c>
      <c r="U528" t="n">
        <v>0</v>
      </c>
      <c r="V528" t="n">
        <v>0</v>
      </c>
      <c r="W528" t="n">
        <v>0</v>
      </c>
      <c r="X528" t="n">
        <v>0</v>
      </c>
      <c r="Y528" t="n">
        <v>40000000</v>
      </c>
      <c r="Z528" t="n">
        <v>22400000</v>
      </c>
      <c r="AA528" t="n">
        <v>22400000</v>
      </c>
      <c r="AB528" t="n">
        <v>16800000</v>
      </c>
      <c r="AC528" t="n">
        <v>16800000</v>
      </c>
      <c r="AD528" t="n">
        <v>17600000</v>
      </c>
      <c r="AE528" t="n">
        <v>56</v>
      </c>
    </row>
    <row r="529">
      <c r="A529" t="inlineStr">
        <is>
          <t>8 - SECRETARÍA DE SALUD</t>
        </is>
      </c>
      <c r="B529" t="inlineStr">
        <is>
          <t>19 - SALUD Y PROTECCIÓN SOCIAL</t>
        </is>
      </c>
      <c r="C529" t="inlineStr">
        <is>
          <t>0300</t>
        </is>
      </c>
      <c r="D529" t="inlineStr">
        <is>
          <t>1905</t>
        </is>
      </c>
      <c r="E529" t="inlineStr">
        <is>
          <t>1905022</t>
        </is>
      </c>
      <c r="F529" t="inlineStr">
        <is>
          <t>SERVICIO DE GESTIÓN DEL RIESGO EN TEMAS DE TRASTORNOS MENTALES</t>
        </is>
      </c>
      <c r="G529" t="inlineStr">
        <is>
          <t>2024548740023</t>
        </is>
      </c>
      <c r="H529" t="inlineStr">
        <is>
          <t>FORTALECIMIENTO DE LA SALUD PUBLICA EN EL MUNICIPIO DE VILLA DEL ROSARIO.VILLA DEL ROSARIO UNA CIUDAD POSIBLE</t>
        </is>
      </c>
      <c r="I529" t="inlineStr">
        <is>
          <t>91122</t>
        </is>
      </c>
      <c r="J529" t="inlineStr">
        <is>
          <t>Servicios de la administración pública relacionados con la salud</t>
        </is>
      </c>
      <c r="K529" t="inlineStr">
        <is>
          <t>00</t>
        </is>
      </c>
      <c r="L529" t="inlineStr">
        <is>
          <t>SIN ATRIBUTO</t>
        </is>
      </c>
      <c r="N529" t="inlineStr">
        <is>
          <t>2.3.2.02.02.009.19.31</t>
        </is>
      </c>
      <c r="O529" t="inlineStr">
        <is>
          <t>Servicio de gestión del riesgo en temas de trastornos mentales SP GESTION</t>
        </is>
      </c>
      <c r="P529" t="inlineStr">
        <is>
          <t>1.2.4.2.02</t>
        </is>
      </c>
      <c r="Q529" t="inlineStr">
        <is>
          <t>SGP-SALUD-SALUD PUBLICA</t>
        </is>
      </c>
      <c r="R529" t="n">
        <v>40000000</v>
      </c>
      <c r="S529" t="n">
        <v>0</v>
      </c>
      <c r="T529" t="n">
        <v>0</v>
      </c>
      <c r="U529" t="n">
        <v>0</v>
      </c>
      <c r="V529" t="n">
        <v>0</v>
      </c>
      <c r="W529" t="n">
        <v>0</v>
      </c>
      <c r="X529" t="n">
        <v>0</v>
      </c>
      <c r="Y529" t="n">
        <v>40000000</v>
      </c>
      <c r="Z529" t="n">
        <v>19800000</v>
      </c>
      <c r="AA529" t="n">
        <v>19800000</v>
      </c>
      <c r="AB529" t="n">
        <v>16500000</v>
      </c>
      <c r="AC529" t="n">
        <v>16500000</v>
      </c>
      <c r="AD529" t="n">
        <v>20200000</v>
      </c>
      <c r="AE529" t="n">
        <v>49.5</v>
      </c>
    </row>
    <row r="530">
      <c r="A530" t="inlineStr">
        <is>
          <t>8 - SECRETARÍA DE SALUD</t>
        </is>
      </c>
      <c r="B530" t="inlineStr">
        <is>
          <t>19 - SALUD Y PROTECCIÓN SOCIAL</t>
        </is>
      </c>
      <c r="C530" t="inlineStr">
        <is>
          <t>0300</t>
        </is>
      </c>
      <c r="D530" t="inlineStr">
        <is>
          <t>1905</t>
        </is>
      </c>
      <c r="E530" t="inlineStr">
        <is>
          <t>1905026</t>
        </is>
      </c>
      <c r="F530" t="inlineStr">
        <is>
          <t>SERVICIO DE GESTIÓN DEL RIESGO PARA ENFERMEDADES EMERGENTES, REEMERGENTES Y DESATENDIDAS</t>
        </is>
      </c>
      <c r="G530" t="inlineStr">
        <is>
          <t>2024548740023</t>
        </is>
      </c>
      <c r="H530" t="inlineStr">
        <is>
          <t>FORTALECIMIENTO DE LA SALUD PUBLICA EN EL MUNICIPIO DE VILLA DEL ROSARIO.VILLA DEL ROSARIO UNA CIUDAD POSIBLE</t>
        </is>
      </c>
      <c r="I530" t="inlineStr">
        <is>
          <t>91122</t>
        </is>
      </c>
      <c r="J530" t="inlineStr">
        <is>
          <t>Servicios de la administración pública relacionados con la salud</t>
        </is>
      </c>
      <c r="K530" t="inlineStr">
        <is>
          <t>00</t>
        </is>
      </c>
      <c r="L530" t="inlineStr">
        <is>
          <t>SIN ATRIBUTO</t>
        </is>
      </c>
      <c r="N530" t="inlineStr">
        <is>
          <t>2.3.2.02.02.009.19.32</t>
        </is>
      </c>
      <c r="O530" t="inlineStr">
        <is>
          <t>Servicio de gestión del riesgo para enfermedades emergentes, reemergentes y desatendidas SP GESTION</t>
        </is>
      </c>
      <c r="P530" t="inlineStr">
        <is>
          <t>1.2.4.2.02</t>
        </is>
      </c>
      <c r="Q530" t="inlineStr">
        <is>
          <t>SGP-SALUD-SALUD PUBLICA</t>
        </is>
      </c>
      <c r="R530" t="n">
        <v>20000000</v>
      </c>
      <c r="S530" t="n">
        <v>0</v>
      </c>
      <c r="T530" t="n">
        <v>0</v>
      </c>
      <c r="U530" t="n">
        <v>0</v>
      </c>
      <c r="V530" t="n">
        <v>0</v>
      </c>
      <c r="W530" t="n">
        <v>0</v>
      </c>
      <c r="X530" t="n">
        <v>0</v>
      </c>
      <c r="Y530" t="n">
        <v>20000000</v>
      </c>
      <c r="Z530" t="n">
        <v>16500000</v>
      </c>
      <c r="AA530" t="n">
        <v>16500000</v>
      </c>
      <c r="AB530" t="n">
        <v>9000000</v>
      </c>
      <c r="AC530" t="n">
        <v>9000000</v>
      </c>
      <c r="AD530" t="n">
        <v>3500000</v>
      </c>
      <c r="AE530" t="n">
        <v>82.5</v>
      </c>
    </row>
    <row r="531">
      <c r="A531" t="inlineStr">
        <is>
          <t>8 - SECRETARÍA DE SALUD</t>
        </is>
      </c>
      <c r="B531" t="inlineStr">
        <is>
          <t>19 - SALUD Y PROTECCIÓN SOCIAL</t>
        </is>
      </c>
      <c r="C531" t="inlineStr">
        <is>
          <t>0300</t>
        </is>
      </c>
      <c r="D531" t="inlineStr">
        <is>
          <t>1905</t>
        </is>
      </c>
      <c r="E531" t="inlineStr">
        <is>
          <t>1905027</t>
        </is>
      </c>
      <c r="F531" t="inlineStr">
        <is>
          <t>SERVICIO DE GESTIÓN DEL RIESGO PARA ENFERMEDADES INMUNOPREVENIBLES</t>
        </is>
      </c>
      <c r="G531" t="inlineStr">
        <is>
          <t>2024548740023</t>
        </is>
      </c>
      <c r="H531" t="inlineStr">
        <is>
          <t>FORTALECIMIENTO DE LA SALUD PUBLICA EN EL MUNICIPIO DE VILLA DEL ROSARIO.VILLA DEL ROSARIO UNA CIUDAD POSIBLE</t>
        </is>
      </c>
      <c r="I531" t="inlineStr">
        <is>
          <t>91122</t>
        </is>
      </c>
      <c r="J531" t="inlineStr">
        <is>
          <t>Servicios de la administración pública relacionados con la salud</t>
        </is>
      </c>
      <c r="K531" t="inlineStr">
        <is>
          <t>00</t>
        </is>
      </c>
      <c r="L531" t="inlineStr">
        <is>
          <t>SIN ATRIBUTO</t>
        </is>
      </c>
      <c r="N531" t="inlineStr">
        <is>
          <t>2.3.2.02.02.009.19.33</t>
        </is>
      </c>
      <c r="O531" t="inlineStr">
        <is>
          <t>Servicio de gestión del riesgo para enfermedades inmunoprevenibles SP GESTION</t>
        </is>
      </c>
      <c r="P531" t="inlineStr">
        <is>
          <t>1.2.4.2.02</t>
        </is>
      </c>
      <c r="Q531" t="inlineStr">
        <is>
          <t>SGP-SALUD-SALUD PUBLICA</t>
        </is>
      </c>
      <c r="R531" t="n">
        <v>30000000</v>
      </c>
      <c r="S531" t="n">
        <v>0</v>
      </c>
      <c r="T531" t="n">
        <v>0</v>
      </c>
      <c r="U531" t="n">
        <v>0</v>
      </c>
      <c r="V531" t="n">
        <v>0</v>
      </c>
      <c r="W531" t="n">
        <v>0</v>
      </c>
      <c r="X531" t="n">
        <v>0</v>
      </c>
      <c r="Y531" t="n">
        <v>30000000</v>
      </c>
      <c r="Z531" t="n">
        <v>0</v>
      </c>
      <c r="AA531" t="n">
        <v>0</v>
      </c>
      <c r="AB531" t="n">
        <v>0</v>
      </c>
      <c r="AC531" t="n">
        <v>0</v>
      </c>
      <c r="AD531" t="n">
        <v>30000000</v>
      </c>
      <c r="AE531" t="n">
        <v>0</v>
      </c>
    </row>
    <row r="532">
      <c r="A532" t="inlineStr">
        <is>
          <t>8 - SECRETARÍA DE SALUD</t>
        </is>
      </c>
      <c r="B532" t="inlineStr">
        <is>
          <t>19 - SALUD Y PROTECCIÓN SOCIAL</t>
        </is>
      </c>
      <c r="C532" t="inlineStr">
        <is>
          <t>0300</t>
        </is>
      </c>
      <c r="D532" t="inlineStr">
        <is>
          <t>1905</t>
        </is>
      </c>
      <c r="E532" t="inlineStr">
        <is>
          <t>1905019</t>
        </is>
      </c>
      <c r="F532" t="inlineStr">
        <is>
          <t>SERVICIO DE EDUCACIÓN INFORMAL EN TEMAS DE SALUD PÚBLICA</t>
        </is>
      </c>
      <c r="G532" t="inlineStr">
        <is>
          <t>2024548740023</t>
        </is>
      </c>
      <c r="H532" t="inlineStr">
        <is>
          <t>FORTALECIMIENTO DE LA SALUD PUBLICA EN EL MUNICIPIO DE VILLA DEL ROSARIO.VILLA DEL ROSARIO UNA CIUDAD POSIBLE</t>
        </is>
      </c>
      <c r="I532" t="inlineStr">
        <is>
          <t>91122</t>
        </is>
      </c>
      <c r="J532" t="inlineStr">
        <is>
          <t>Servicios de la administración pública relacionados con la salud</t>
        </is>
      </c>
      <c r="K532" t="inlineStr">
        <is>
          <t>00</t>
        </is>
      </c>
      <c r="L532" t="inlineStr">
        <is>
          <t>SIN ATRIBUTO</t>
        </is>
      </c>
      <c r="N532" t="inlineStr">
        <is>
          <t>2.3.2.02.02.009.19.34</t>
        </is>
      </c>
      <c r="O532" t="inlineStr">
        <is>
          <t>Servicio de educación informal en temas de salud pública SP GESTION</t>
        </is>
      </c>
      <c r="P532" t="inlineStr">
        <is>
          <t>1.2.4.2.02</t>
        </is>
      </c>
      <c r="Q532" t="inlineStr">
        <is>
          <t>SGP-SALUD-SALUD PUBLICA</t>
        </is>
      </c>
      <c r="R532" t="n">
        <v>40000000</v>
      </c>
      <c r="S532" t="n">
        <v>0</v>
      </c>
      <c r="T532" t="n">
        <v>0</v>
      </c>
      <c r="U532" t="n">
        <v>0</v>
      </c>
      <c r="V532" t="n">
        <v>40000000</v>
      </c>
      <c r="W532" t="n">
        <v>0</v>
      </c>
      <c r="X532" t="n">
        <v>0</v>
      </c>
      <c r="Y532" t="n">
        <v>0</v>
      </c>
      <c r="Z532" t="n">
        <v>0</v>
      </c>
      <c r="AA532" t="n">
        <v>0</v>
      </c>
      <c r="AB532" t="n">
        <v>0</v>
      </c>
      <c r="AC532" t="n">
        <v>0</v>
      </c>
      <c r="AD532" t="n">
        <v>0</v>
      </c>
      <c r="AE532" t="n">
        <v>0</v>
      </c>
    </row>
    <row r="533">
      <c r="A533" t="inlineStr">
        <is>
          <t>8 - SECRETARÍA DE SALUD</t>
        </is>
      </c>
      <c r="B533" t="inlineStr">
        <is>
          <t>19 - SALUD Y PROTECCIÓN SOCIAL</t>
        </is>
      </c>
      <c r="C533" t="inlineStr">
        <is>
          <t>0300</t>
        </is>
      </c>
      <c r="D533" t="inlineStr">
        <is>
          <t>1905</t>
        </is>
      </c>
      <c r="E533" t="inlineStr">
        <is>
          <t>1905024</t>
        </is>
      </c>
      <c r="F533" t="inlineStr">
        <is>
          <t>SERVICIO DE GESTIÓN DEL RIESGO PARA ABORDAR SITUACIONES DE SALUD RELACIONADAS CON CONDICIONES AMBIENTALES</t>
        </is>
      </c>
      <c r="G533" t="inlineStr">
        <is>
          <t>2024548740023</t>
        </is>
      </c>
      <c r="H533" t="inlineStr">
        <is>
          <t>FORTALECIMIENTO DE LA SALUD PUBLICA EN EL MUNICIPIO DE VILLA DEL ROSARIO.VILLA DEL ROSARIO UNA CIUDAD POSIBLE</t>
        </is>
      </c>
      <c r="I533" t="inlineStr">
        <is>
          <t>91122</t>
        </is>
      </c>
      <c r="J533" t="inlineStr">
        <is>
          <t>Servicios de la administración pública relacionados con la salud</t>
        </is>
      </c>
      <c r="K533" t="inlineStr">
        <is>
          <t>00</t>
        </is>
      </c>
      <c r="L533" t="inlineStr">
        <is>
          <t>SIN ATRIBUTO</t>
        </is>
      </c>
      <c r="N533" t="inlineStr">
        <is>
          <t>2.3.2.02.02.009.19.35</t>
        </is>
      </c>
      <c r="O533" t="inlineStr">
        <is>
          <t>Servicio de educación informal en temas de salud pública SP GESTION</t>
        </is>
      </c>
      <c r="P533" t="inlineStr">
        <is>
          <t>1.2.4.2.02</t>
        </is>
      </c>
      <c r="Q533" t="inlineStr">
        <is>
          <t>SGP-SALUD-SALUD PUBLICA</t>
        </is>
      </c>
      <c r="R533" t="n">
        <v>0</v>
      </c>
      <c r="S533" t="n">
        <v>0</v>
      </c>
      <c r="T533" t="n">
        <v>0</v>
      </c>
      <c r="U533" t="n">
        <v>40000000</v>
      </c>
      <c r="V533" t="n">
        <v>0</v>
      </c>
      <c r="W533" t="n">
        <v>0</v>
      </c>
      <c r="X533" t="n">
        <v>0</v>
      </c>
      <c r="Y533" t="n">
        <v>40000000</v>
      </c>
      <c r="Z533" t="n">
        <v>0</v>
      </c>
      <c r="AA533" t="n">
        <v>0</v>
      </c>
      <c r="AB533" t="n">
        <v>0</v>
      </c>
      <c r="AC533" t="n">
        <v>0</v>
      </c>
      <c r="AD533" t="n">
        <v>40000000</v>
      </c>
      <c r="AE533" t="n">
        <v>0</v>
      </c>
    </row>
    <row r="534">
      <c r="A534" t="inlineStr">
        <is>
          <t>8 - SECRETARÍA DE SALUD</t>
        </is>
      </c>
      <c r="B534" t="inlineStr">
        <is>
          <t>19 - SALUD Y PROTECCIÓN SOCIAL</t>
        </is>
      </c>
      <c r="C534" t="inlineStr">
        <is>
          <t>0300</t>
        </is>
      </c>
      <c r="D534" t="inlineStr">
        <is>
          <t>1906</t>
        </is>
      </c>
      <c r="E534" t="inlineStr">
        <is>
          <t>1906044</t>
        </is>
      </c>
      <c r="F534" t="inlineStr">
        <is>
          <t>SERVICIO DE AFILIACIONES AL REGIMEN SUBSIDIADO DEL SISTEMA GENERAL DE SEGURIDAD SOCIAL</t>
        </is>
      </c>
      <c r="G534" t="inlineStr">
        <is>
          <t>2024548740041</t>
        </is>
      </c>
      <c r="H534" t="inlineStr">
        <is>
          <t>FORTALECIMIENTO DEL ASEGURAMIENTO Y PRESTACIÓN INTEGRAL DE SERVICIOS DE SALUD VILLA DEL ROSARIO UNA CIUDAD POSIBLE</t>
        </is>
      </c>
      <c r="I534" t="inlineStr">
        <is>
          <t>91122</t>
        </is>
      </c>
      <c r="J534" t="inlineStr">
        <is>
          <t>Servicios de la administración pública relacionados con la salud</t>
        </is>
      </c>
      <c r="K534" t="inlineStr">
        <is>
          <t>00</t>
        </is>
      </c>
      <c r="L534" t="inlineStr">
        <is>
          <t>SIN ATRIBUTO</t>
        </is>
      </c>
      <c r="N534" t="inlineStr">
        <is>
          <t>2.3.2.02.02.009.19.36</t>
        </is>
      </c>
      <c r="O534" t="inlineStr">
        <is>
          <t>Reconocimiento de LMA  vigencia 2015 esfuerzo propio territorial</t>
        </is>
      </c>
      <c r="P534" t="inlineStr">
        <is>
          <t>1.3.3.2.00.09</t>
        </is>
      </c>
      <c r="Q534" t="inlineStr">
        <is>
          <t>R.B. RECURSOS DE ESFUERZO PROPIO TERRITORIAL REG.SUBSIDIADO VIG.ANTERIORES</t>
        </is>
      </c>
      <c r="R534" t="n">
        <v>0</v>
      </c>
      <c r="S534" t="n">
        <v>2393284.1</v>
      </c>
      <c r="T534" t="n">
        <v>0</v>
      </c>
      <c r="U534" t="n">
        <v>0</v>
      </c>
      <c r="V534" t="n">
        <v>0</v>
      </c>
      <c r="W534" t="n">
        <v>0</v>
      </c>
      <c r="X534" t="n">
        <v>0</v>
      </c>
      <c r="Y534" t="n">
        <v>2393284.1</v>
      </c>
      <c r="Z534" t="n">
        <v>2393284.1</v>
      </c>
      <c r="AA534" t="n">
        <v>0</v>
      </c>
      <c r="AB534" t="n">
        <v>0</v>
      </c>
      <c r="AC534" t="n">
        <v>0</v>
      </c>
      <c r="AD534" t="n">
        <v>2393284.1</v>
      </c>
      <c r="AE534" t="n">
        <v>0</v>
      </c>
    </row>
    <row r="535">
      <c r="A535" t="inlineStr">
        <is>
          <t>8 - SECRETARÍA DE SALUD</t>
        </is>
      </c>
      <c r="B535" t="inlineStr">
        <is>
          <t>19 - SALUD Y PROTECCIÓN SOCIAL</t>
        </is>
      </c>
      <c r="C535" t="inlineStr">
        <is>
          <t>0300</t>
        </is>
      </c>
      <c r="D535" t="inlineStr">
        <is>
          <t>1906</t>
        </is>
      </c>
      <c r="E535" t="inlineStr">
        <is>
          <t>1906044</t>
        </is>
      </c>
      <c r="F535" t="inlineStr">
        <is>
          <t>SERVICIO DE AFILIACIONES AL REGIMEN SUBSIDIADO DEL SISTEMA GENERAL DE SEGURIDAD SOCIAL</t>
        </is>
      </c>
      <c r="G535" t="inlineStr">
        <is>
          <t>2024548740041</t>
        </is>
      </c>
      <c r="H535" t="inlineStr">
        <is>
          <t>FORTALECIMIENTO DEL ASEGURAMIENTO Y PRESTACIÓN INTEGRAL DE SERVICIOS DE SALUD VILLA DEL ROSARIO UNA CIUDAD POSIBLE</t>
        </is>
      </c>
      <c r="I535" t="inlineStr">
        <is>
          <t>91122</t>
        </is>
      </c>
      <c r="J535" t="inlineStr">
        <is>
          <t>Servicios de la administración pública relacionados con la salud</t>
        </is>
      </c>
      <c r="K535" t="inlineStr">
        <is>
          <t>ASEGURAMIENTO REGIMEN SUB</t>
        </is>
      </c>
      <c r="L535" t="inlineStr">
        <is>
          <t>REGIMEN SUBSIDIADO DE SALUD</t>
        </is>
      </c>
      <c r="N535" t="inlineStr">
        <is>
          <t>2.3.2.02.02.009.19.37</t>
        </is>
      </c>
      <c r="O535" t="inlineStr">
        <is>
          <t>Servicio de afiliaciones al régimen subsidiado del Sistema General de Seguridad Social RS</t>
        </is>
      </c>
      <c r="P535" t="inlineStr">
        <is>
          <t>1.3.3.2.00.09</t>
        </is>
      </c>
      <c r="Q535" t="inlineStr">
        <is>
          <t>R.B. RECURSOS DE ESFUERZO PROPIO TERRITORIAL REG.SUBSIDIADO VIG.ANTERIORES</t>
        </is>
      </c>
      <c r="R535" t="n">
        <v>0</v>
      </c>
      <c r="S535" t="n">
        <v>1606715.9</v>
      </c>
      <c r="T535" t="n">
        <v>0</v>
      </c>
      <c r="U535" t="n">
        <v>0</v>
      </c>
      <c r="V535" t="n">
        <v>0</v>
      </c>
      <c r="W535" t="n">
        <v>0</v>
      </c>
      <c r="X535" t="n">
        <v>0</v>
      </c>
      <c r="Y535" t="n">
        <v>1606715.9</v>
      </c>
      <c r="Z535" t="n">
        <v>0</v>
      </c>
      <c r="AA535" t="n">
        <v>0</v>
      </c>
      <c r="AB535" t="n">
        <v>0</v>
      </c>
      <c r="AC535" t="n">
        <v>0</v>
      </c>
      <c r="AD535" t="n">
        <v>1606715.9</v>
      </c>
      <c r="AE535" t="n">
        <v>0</v>
      </c>
    </row>
    <row r="536">
      <c r="A536" t="inlineStr">
        <is>
          <t>8 - SECRETARÍA DE SALUD</t>
        </is>
      </c>
      <c r="B536" t="inlineStr">
        <is>
          <t>19 - SALUD Y PROTECCIÓN SOCIAL</t>
        </is>
      </c>
      <c r="C536" t="inlineStr">
        <is>
          <t>0300</t>
        </is>
      </c>
      <c r="D536" t="inlineStr">
        <is>
          <t>1905</t>
        </is>
      </c>
      <c r="E536" t="inlineStr">
        <is>
          <t>1905054</t>
        </is>
      </c>
      <c r="F536" t="inlineStr">
        <is>
          <t>SERVICIO DE PROMOCION DE LA SALUD</t>
        </is>
      </c>
      <c r="G536" t="inlineStr">
        <is>
          <t>2024548740023</t>
        </is>
      </c>
      <c r="H536" t="inlineStr">
        <is>
          <t>FORTALECIMIENTO DE LA SALUD PUBLICA EN EL MUNICIPIO DE VILLA DEL ROSARIO.VILLA DEL ROSARIO UNA CIUDAD POSIBLE</t>
        </is>
      </c>
      <c r="I536" t="inlineStr">
        <is>
          <t>91122</t>
        </is>
      </c>
      <c r="J536" t="inlineStr">
        <is>
          <t>Servicios de la administración pública relacionados con la salud</t>
        </is>
      </c>
      <c r="K536" t="inlineStr">
        <is>
          <t>00</t>
        </is>
      </c>
      <c r="L536" t="inlineStr">
        <is>
          <t>SIN ATRIBUTO</t>
        </is>
      </c>
      <c r="N536" t="inlineStr">
        <is>
          <t>2.3.2.02.02.009.19.40</t>
        </is>
      </c>
      <c r="O536" t="inlineStr">
        <is>
          <t>Servicio de promoción de la salud</t>
        </is>
      </c>
      <c r="P536" t="inlineStr">
        <is>
          <t>1.3.2.3.11.37</t>
        </is>
      </c>
      <c r="Q536" t="inlineStr">
        <is>
          <t>OTROS RENDIMIENTOS FINANCIEROS RIFAS JUEGOS DE SUERTE Y AZAR</t>
        </is>
      </c>
      <c r="R536" t="n">
        <v>0</v>
      </c>
      <c r="S536" t="n">
        <v>1089</v>
      </c>
      <c r="T536" t="n">
        <v>0</v>
      </c>
      <c r="U536" t="n">
        <v>0</v>
      </c>
      <c r="V536" t="n">
        <v>0</v>
      </c>
      <c r="W536" t="n">
        <v>0</v>
      </c>
      <c r="X536" t="n">
        <v>0</v>
      </c>
      <c r="Y536" t="n">
        <v>1089</v>
      </c>
      <c r="Z536" t="n">
        <v>0</v>
      </c>
      <c r="AA536" t="n">
        <v>0</v>
      </c>
      <c r="AB536" t="n">
        <v>0</v>
      </c>
      <c r="AC536" t="n">
        <v>0</v>
      </c>
      <c r="AD536" t="n">
        <v>1089</v>
      </c>
      <c r="AE536" t="n">
        <v>0</v>
      </c>
    </row>
    <row r="537">
      <c r="A537" t="inlineStr">
        <is>
          <t>3 - CONCEJO</t>
        </is>
      </c>
      <c r="B537" t="inlineStr">
        <is>
          <t>00 - SIN SECTOR</t>
        </is>
      </c>
      <c r="C537" t="inlineStr">
        <is>
          <t>00</t>
        </is>
      </c>
      <c r="D537" t="inlineStr">
        <is>
          <t>0000</t>
        </is>
      </c>
      <c r="E537" t="inlineStr">
        <is>
          <t>0000000</t>
        </is>
      </c>
      <c r="F537" t="inlineStr">
        <is>
          <t>SIN PRODUCTO</t>
        </is>
      </c>
      <c r="G537" t="inlineStr">
        <is>
          <t>00</t>
        </is>
      </c>
      <c r="H537" t="inlineStr">
        <is>
          <t>SIN CODIGO BPIN</t>
        </is>
      </c>
      <c r="I537" t="inlineStr">
        <is>
          <t>00</t>
        </is>
      </c>
      <c r="J537" t="inlineStr">
        <is>
          <t>SIN PRODUCTO DANE</t>
        </is>
      </c>
      <c r="K537" t="inlineStr">
        <is>
          <t>00</t>
        </is>
      </c>
      <c r="L537" t="inlineStr">
        <is>
          <t>SIN ATRIBUTO</t>
        </is>
      </c>
      <c r="N537" t="inlineStr">
        <is>
          <t>2</t>
        </is>
      </c>
      <c r="O537" t="inlineStr">
        <is>
          <t>Gastos</t>
        </is>
      </c>
      <c r="P537" t="inlineStr">
        <is>
          <t>00</t>
        </is>
      </c>
      <c r="Q537" t="inlineStr">
        <is>
          <t>RECURSO PROPIOS</t>
        </is>
      </c>
      <c r="R537" t="n">
        <v>686961886</v>
      </c>
      <c r="S537" t="n">
        <v>0</v>
      </c>
      <c r="T537" t="n">
        <v>0</v>
      </c>
      <c r="U537" t="n">
        <v>55000000</v>
      </c>
      <c r="V537" t="n">
        <v>55000000</v>
      </c>
      <c r="W537" t="n">
        <v>0</v>
      </c>
      <c r="X537" t="n">
        <v>0</v>
      </c>
      <c r="Y537" t="n">
        <v>686961886</v>
      </c>
      <c r="Z537" t="n">
        <v>378135793</v>
      </c>
      <c r="AA537" t="n">
        <v>378135793</v>
      </c>
      <c r="AB537" t="n">
        <v>325335793</v>
      </c>
      <c r="AC537" t="n">
        <v>317801853</v>
      </c>
      <c r="AD537" t="n">
        <v>308826093</v>
      </c>
      <c r="AE537" t="n">
        <v>55.04</v>
      </c>
    </row>
    <row r="538">
      <c r="A538" t="inlineStr">
        <is>
          <t>3 - CONCEJO</t>
        </is>
      </c>
      <c r="B538" t="inlineStr">
        <is>
          <t>00 - SIN SECTOR</t>
        </is>
      </c>
      <c r="C538" t="inlineStr">
        <is>
          <t>00</t>
        </is>
      </c>
      <c r="D538" t="inlineStr">
        <is>
          <t>0000</t>
        </is>
      </c>
      <c r="E538" t="inlineStr">
        <is>
          <t>0000000</t>
        </is>
      </c>
      <c r="F538" t="inlineStr">
        <is>
          <t>SIN PRODUCTO</t>
        </is>
      </c>
      <c r="G538" t="inlineStr">
        <is>
          <t>00</t>
        </is>
      </c>
      <c r="H538" t="inlineStr">
        <is>
          <t>SIN CODIGO BPIN</t>
        </is>
      </c>
      <c r="I538" t="inlineStr">
        <is>
          <t>00</t>
        </is>
      </c>
      <c r="J538" t="inlineStr">
        <is>
          <t>SIN PRODUCTO DANE</t>
        </is>
      </c>
      <c r="K538" t="inlineStr">
        <is>
          <t>00</t>
        </is>
      </c>
      <c r="L538" t="inlineStr">
        <is>
          <t>SIN ATRIBUTO</t>
        </is>
      </c>
      <c r="N538" t="inlineStr">
        <is>
          <t>2.1</t>
        </is>
      </c>
      <c r="O538" t="inlineStr">
        <is>
          <t>Funcionamiento</t>
        </is>
      </c>
      <c r="P538" t="inlineStr">
        <is>
          <t>00</t>
        </is>
      </c>
      <c r="Q538" t="inlineStr">
        <is>
          <t>RECURSO PROPIOS</t>
        </is>
      </c>
      <c r="R538" t="n">
        <v>686961886</v>
      </c>
      <c r="S538" t="n">
        <v>0</v>
      </c>
      <c r="T538" t="n">
        <v>0</v>
      </c>
      <c r="U538" t="n">
        <v>55000000</v>
      </c>
      <c r="V538" t="n">
        <v>55000000</v>
      </c>
      <c r="W538" t="n">
        <v>0</v>
      </c>
      <c r="X538" t="n">
        <v>0</v>
      </c>
      <c r="Y538" t="n">
        <v>686961886</v>
      </c>
      <c r="Z538" t="n">
        <v>378135793</v>
      </c>
      <c r="AA538" t="n">
        <v>378135793</v>
      </c>
      <c r="AB538" t="n">
        <v>325335793</v>
      </c>
      <c r="AC538" t="n">
        <v>317801853</v>
      </c>
      <c r="AD538" t="n">
        <v>308826093</v>
      </c>
      <c r="AE538" t="n">
        <v>55.04</v>
      </c>
    </row>
    <row r="539">
      <c r="A539" t="inlineStr">
        <is>
          <t>3 - CONCEJO</t>
        </is>
      </c>
      <c r="B539" t="inlineStr">
        <is>
          <t>00 - SIN SECTOR</t>
        </is>
      </c>
      <c r="C539" t="inlineStr">
        <is>
          <t>00</t>
        </is>
      </c>
      <c r="D539" t="inlineStr">
        <is>
          <t>0000</t>
        </is>
      </c>
      <c r="E539" t="inlineStr">
        <is>
          <t>0000000</t>
        </is>
      </c>
      <c r="F539" t="inlineStr">
        <is>
          <t>SIN PRODUCTO</t>
        </is>
      </c>
      <c r="G539" t="inlineStr">
        <is>
          <t>00</t>
        </is>
      </c>
      <c r="H539" t="inlineStr">
        <is>
          <t>SIN CODIGO BPIN</t>
        </is>
      </c>
      <c r="I539" t="inlineStr">
        <is>
          <t>00</t>
        </is>
      </c>
      <c r="J539" t="inlineStr">
        <is>
          <t>SIN PRODUCTO DANE</t>
        </is>
      </c>
      <c r="K539" t="inlineStr">
        <is>
          <t>00</t>
        </is>
      </c>
      <c r="L539" t="inlineStr">
        <is>
          <t>SIN ATRIBUTO</t>
        </is>
      </c>
      <c r="N539" t="inlineStr">
        <is>
          <t>2.1.1</t>
        </is>
      </c>
      <c r="O539" t="inlineStr">
        <is>
          <t>Gastos de personal</t>
        </is>
      </c>
      <c r="P539" t="inlineStr">
        <is>
          <t>00</t>
        </is>
      </c>
      <c r="Q539" t="inlineStr">
        <is>
          <t>RECURSO PROPIOS</t>
        </is>
      </c>
      <c r="R539" t="n">
        <v>502161886</v>
      </c>
      <c r="S539" t="n">
        <v>0</v>
      </c>
      <c r="T539" t="n">
        <v>0</v>
      </c>
      <c r="U539" t="n">
        <v>0</v>
      </c>
      <c r="V539" t="n">
        <v>0</v>
      </c>
      <c r="W539" t="n">
        <v>0</v>
      </c>
      <c r="X539" t="n">
        <v>0</v>
      </c>
      <c r="Y539" t="n">
        <v>502161886</v>
      </c>
      <c r="Z539" t="n">
        <v>200313866</v>
      </c>
      <c r="AA539" t="n">
        <v>200313866</v>
      </c>
      <c r="AB539" t="n">
        <v>200313866</v>
      </c>
      <c r="AC539" t="n">
        <v>197938166</v>
      </c>
      <c r="AD539" t="n">
        <v>301848020</v>
      </c>
      <c r="AE539" t="n">
        <v>39.89</v>
      </c>
    </row>
    <row r="540">
      <c r="A540" t="inlineStr">
        <is>
          <t>3 - CONCEJO</t>
        </is>
      </c>
      <c r="B540" t="inlineStr">
        <is>
          <t>00 - SIN SECTOR</t>
        </is>
      </c>
      <c r="C540" t="inlineStr">
        <is>
          <t>00</t>
        </is>
      </c>
      <c r="D540" t="inlineStr">
        <is>
          <t>0000</t>
        </is>
      </c>
      <c r="E540" t="inlineStr">
        <is>
          <t>0000000</t>
        </is>
      </c>
      <c r="F540" t="inlineStr">
        <is>
          <t>SIN PRODUCTO</t>
        </is>
      </c>
      <c r="G540" t="inlineStr">
        <is>
          <t>00</t>
        </is>
      </c>
      <c r="H540" t="inlineStr">
        <is>
          <t>SIN CODIGO BPIN</t>
        </is>
      </c>
      <c r="I540" t="inlineStr">
        <is>
          <t>00</t>
        </is>
      </c>
      <c r="J540" t="inlineStr">
        <is>
          <t>SIN PRODUCTO DANE</t>
        </is>
      </c>
      <c r="K540" t="inlineStr">
        <is>
          <t>00</t>
        </is>
      </c>
      <c r="L540" t="inlineStr">
        <is>
          <t>SIN ATRIBUTO</t>
        </is>
      </c>
      <c r="N540" t="inlineStr">
        <is>
          <t>2.1.1.01</t>
        </is>
      </c>
      <c r="O540" t="inlineStr">
        <is>
          <t>Planta de personal permanente</t>
        </is>
      </c>
      <c r="P540" t="inlineStr">
        <is>
          <t>00</t>
        </is>
      </c>
      <c r="Q540" t="inlineStr">
        <is>
          <t>RECURSO PROPIOS</t>
        </is>
      </c>
      <c r="R540" t="n">
        <v>502161886</v>
      </c>
      <c r="S540" t="n">
        <v>0</v>
      </c>
      <c r="T540" t="n">
        <v>0</v>
      </c>
      <c r="U540" t="n">
        <v>0</v>
      </c>
      <c r="V540" t="n">
        <v>0</v>
      </c>
      <c r="W540" t="n">
        <v>0</v>
      </c>
      <c r="X540" t="n">
        <v>0</v>
      </c>
      <c r="Y540" t="n">
        <v>502161886</v>
      </c>
      <c r="Z540" t="n">
        <v>200313866</v>
      </c>
      <c r="AA540" t="n">
        <v>200313866</v>
      </c>
      <c r="AB540" t="n">
        <v>200313866</v>
      </c>
      <c r="AC540" t="n">
        <v>197938166</v>
      </c>
      <c r="AD540" t="n">
        <v>301848020</v>
      </c>
      <c r="AE540" t="n">
        <v>39.89</v>
      </c>
    </row>
    <row r="541">
      <c r="A541" t="inlineStr">
        <is>
          <t>3 - CONCEJO</t>
        </is>
      </c>
      <c r="B541" t="inlineStr">
        <is>
          <t>00 - SIN SECTOR</t>
        </is>
      </c>
      <c r="C541" t="inlineStr">
        <is>
          <t>00</t>
        </is>
      </c>
      <c r="D541" t="inlineStr">
        <is>
          <t>0000</t>
        </is>
      </c>
      <c r="E541" t="inlineStr">
        <is>
          <t>0000000</t>
        </is>
      </c>
      <c r="F541" t="inlineStr">
        <is>
          <t>SIN PRODUCTO</t>
        </is>
      </c>
      <c r="G541" t="inlineStr">
        <is>
          <t>00</t>
        </is>
      </c>
      <c r="H541" t="inlineStr">
        <is>
          <t>SIN CODIGO BPIN</t>
        </is>
      </c>
      <c r="I541" t="inlineStr">
        <is>
          <t>00</t>
        </is>
      </c>
      <c r="J541" t="inlineStr">
        <is>
          <t>SIN PRODUCTO DANE</t>
        </is>
      </c>
      <c r="K541" t="inlineStr">
        <is>
          <t>00</t>
        </is>
      </c>
      <c r="L541" t="inlineStr">
        <is>
          <t>SIN ATRIBUTO</t>
        </is>
      </c>
      <c r="N541" t="inlineStr">
        <is>
          <t>2.1.1.01.01</t>
        </is>
      </c>
      <c r="O541" t="inlineStr">
        <is>
          <t>Factores constitutivos de salario</t>
        </is>
      </c>
      <c r="P541" t="inlineStr">
        <is>
          <t>00</t>
        </is>
      </c>
      <c r="Q541" t="inlineStr">
        <is>
          <t>RECURSO PROPIOS</t>
        </is>
      </c>
      <c r="R541" t="n">
        <v>40329453</v>
      </c>
      <c r="S541" t="n">
        <v>0</v>
      </c>
      <c r="T541" t="n">
        <v>0</v>
      </c>
      <c r="U541" t="n">
        <v>0</v>
      </c>
      <c r="V541" t="n">
        <v>0</v>
      </c>
      <c r="W541" t="n">
        <v>0</v>
      </c>
      <c r="X541" t="n">
        <v>0</v>
      </c>
      <c r="Y541" t="n">
        <v>40329453</v>
      </c>
      <c r="Z541" t="n">
        <v>14551982</v>
      </c>
      <c r="AA541" t="n">
        <v>14551982</v>
      </c>
      <c r="AB541" t="n">
        <v>14551982</v>
      </c>
      <c r="AC541" t="n">
        <v>14551982</v>
      </c>
      <c r="AD541" t="n">
        <v>25777471</v>
      </c>
      <c r="AE541" t="n">
        <v>36.08</v>
      </c>
    </row>
    <row r="542">
      <c r="A542" t="inlineStr">
        <is>
          <t>3 - CONCEJO</t>
        </is>
      </c>
      <c r="B542" t="inlineStr">
        <is>
          <t>00 - SIN SECTOR</t>
        </is>
      </c>
      <c r="C542" t="inlineStr">
        <is>
          <t>00</t>
        </is>
      </c>
      <c r="D542" t="inlineStr">
        <is>
          <t>0000</t>
        </is>
      </c>
      <c r="E542" t="inlineStr">
        <is>
          <t>0000000</t>
        </is>
      </c>
      <c r="F542" t="inlineStr">
        <is>
          <t>SIN PRODUCTO</t>
        </is>
      </c>
      <c r="G542" t="inlineStr">
        <is>
          <t>00</t>
        </is>
      </c>
      <c r="H542" t="inlineStr">
        <is>
          <t>SIN CODIGO BPIN</t>
        </is>
      </c>
      <c r="I542" t="inlineStr">
        <is>
          <t>00</t>
        </is>
      </c>
      <c r="J542" t="inlineStr">
        <is>
          <t>SIN PRODUCTO DANE</t>
        </is>
      </c>
      <c r="K542" t="inlineStr">
        <is>
          <t>00</t>
        </is>
      </c>
      <c r="L542" t="inlineStr">
        <is>
          <t>SIN ATRIBUTO</t>
        </is>
      </c>
      <c r="N542" t="inlineStr">
        <is>
          <t>2.1.1.01.01.001</t>
        </is>
      </c>
      <c r="O542" t="inlineStr">
        <is>
          <t>Factores salariales comunes</t>
        </is>
      </c>
      <c r="P542" t="inlineStr">
        <is>
          <t>00</t>
        </is>
      </c>
      <c r="Q542" t="inlineStr">
        <is>
          <t>RECURSO PROPIOS</t>
        </is>
      </c>
      <c r="R542" t="n">
        <v>40329453</v>
      </c>
      <c r="S542" t="n">
        <v>0</v>
      </c>
      <c r="T542" t="n">
        <v>0</v>
      </c>
      <c r="U542" t="n">
        <v>0</v>
      </c>
      <c r="V542" t="n">
        <v>0</v>
      </c>
      <c r="W542" t="n">
        <v>0</v>
      </c>
      <c r="X542" t="n">
        <v>0</v>
      </c>
      <c r="Y542" t="n">
        <v>40329453</v>
      </c>
      <c r="Z542" t="n">
        <v>14551982</v>
      </c>
      <c r="AA542" t="n">
        <v>14551982</v>
      </c>
      <c r="AB542" t="n">
        <v>14551982</v>
      </c>
      <c r="AC542" t="n">
        <v>14551982</v>
      </c>
      <c r="AD542" t="n">
        <v>25777471</v>
      </c>
      <c r="AE542" t="n">
        <v>36.08</v>
      </c>
    </row>
    <row r="543">
      <c r="A543" t="inlineStr">
        <is>
          <t>3 - CONCEJO</t>
        </is>
      </c>
      <c r="B543" t="inlineStr">
        <is>
          <t>00 - SIN SECTOR</t>
        </is>
      </c>
      <c r="C543" t="inlineStr">
        <is>
          <t>00</t>
        </is>
      </c>
      <c r="D543" t="inlineStr">
        <is>
          <t>0000</t>
        </is>
      </c>
      <c r="E543" t="inlineStr">
        <is>
          <t>0000000</t>
        </is>
      </c>
      <c r="F543" t="inlineStr">
        <is>
          <t>SIN PRODUCTO</t>
        </is>
      </c>
      <c r="G543" t="inlineStr">
        <is>
          <t>00</t>
        </is>
      </c>
      <c r="H543" t="inlineStr">
        <is>
          <t>SIN CODIGO BPIN</t>
        </is>
      </c>
      <c r="I543" t="inlineStr">
        <is>
          <t>00</t>
        </is>
      </c>
      <c r="J543" t="inlineStr">
        <is>
          <t>SIN PRODUCTO DANE</t>
        </is>
      </c>
      <c r="K543" t="inlineStr">
        <is>
          <t>00</t>
        </is>
      </c>
      <c r="L543" t="inlineStr">
        <is>
          <t>SIN ATRIBUTO</t>
        </is>
      </c>
      <c r="N543" t="inlineStr">
        <is>
          <t>2.1.1.01.01.001.01</t>
        </is>
      </c>
      <c r="O543" t="inlineStr">
        <is>
          <t>Sueldo basico</t>
        </is>
      </c>
      <c r="P543" t="inlineStr">
        <is>
          <t>1.2.1.0.00</t>
        </is>
      </c>
      <c r="Q543" t="inlineStr">
        <is>
          <t>INGRESOS CORRIENTES DE LIBRE DESTINACION</t>
        </is>
      </c>
      <c r="R543" t="n">
        <v>30716000</v>
      </c>
      <c r="S543" t="n">
        <v>0</v>
      </c>
      <c r="T543" t="n">
        <v>0</v>
      </c>
      <c r="U543" t="n">
        <v>0</v>
      </c>
      <c r="V543" t="n">
        <v>0</v>
      </c>
      <c r="W543" t="n">
        <v>0</v>
      </c>
      <c r="X543" t="n">
        <v>0</v>
      </c>
      <c r="Y543" t="n">
        <v>30716000</v>
      </c>
      <c r="Z543" t="n">
        <v>12798000</v>
      </c>
      <c r="AA543" t="n">
        <v>12798000</v>
      </c>
      <c r="AB543" t="n">
        <v>12798000</v>
      </c>
      <c r="AC543" t="n">
        <v>12798000</v>
      </c>
      <c r="AD543" t="n">
        <v>17918000</v>
      </c>
      <c r="AE543" t="n">
        <v>41.67</v>
      </c>
    </row>
    <row r="544">
      <c r="A544" t="inlineStr">
        <is>
          <t>3 - CONCEJO</t>
        </is>
      </c>
      <c r="B544" t="inlineStr">
        <is>
          <t>00 - SIN SECTOR</t>
        </is>
      </c>
      <c r="C544" t="inlineStr">
        <is>
          <t>00</t>
        </is>
      </c>
      <c r="D544" t="inlineStr">
        <is>
          <t>0000</t>
        </is>
      </c>
      <c r="E544" t="inlineStr">
        <is>
          <t>0000000</t>
        </is>
      </c>
      <c r="F544" t="inlineStr">
        <is>
          <t>SIN PRODUCTO</t>
        </is>
      </c>
      <c r="G544" t="inlineStr">
        <is>
          <t>00</t>
        </is>
      </c>
      <c r="H544" t="inlineStr">
        <is>
          <t>SIN CODIGO BPIN</t>
        </is>
      </c>
      <c r="I544" t="inlineStr">
        <is>
          <t>00</t>
        </is>
      </c>
      <c r="J544" t="inlineStr">
        <is>
          <t>SIN PRODUCTO DANE</t>
        </is>
      </c>
      <c r="K544" t="inlineStr">
        <is>
          <t>00</t>
        </is>
      </c>
      <c r="L544" t="inlineStr">
        <is>
          <t>SIN ATRIBUTO</t>
        </is>
      </c>
      <c r="N544" t="inlineStr">
        <is>
          <t>2.1.1.01.01.001.04</t>
        </is>
      </c>
      <c r="O544" t="inlineStr">
        <is>
          <t>Subsidio de alimentacion</t>
        </is>
      </c>
      <c r="P544" t="inlineStr">
        <is>
          <t>1.2.1.0.00</t>
        </is>
      </c>
      <c r="Q544" t="inlineStr">
        <is>
          <t>INGRESOS CORRIENTES DE LIBRE DESTINACION</t>
        </is>
      </c>
      <c r="R544" t="n">
        <v>1109496</v>
      </c>
      <c r="S544" t="n">
        <v>0</v>
      </c>
      <c r="T544" t="n">
        <v>0</v>
      </c>
      <c r="U544" t="n">
        <v>0</v>
      </c>
      <c r="V544" t="n">
        <v>0</v>
      </c>
      <c r="W544" t="n">
        <v>0</v>
      </c>
      <c r="X544" t="n">
        <v>0</v>
      </c>
      <c r="Y544" t="n">
        <v>1109496</v>
      </c>
      <c r="Z544" t="n">
        <v>508507</v>
      </c>
      <c r="AA544" t="n">
        <v>508507</v>
      </c>
      <c r="AB544" t="n">
        <v>508507</v>
      </c>
      <c r="AC544" t="n">
        <v>508507</v>
      </c>
      <c r="AD544" t="n">
        <v>600989</v>
      </c>
      <c r="AE544" t="n">
        <v>45.83</v>
      </c>
    </row>
    <row r="545">
      <c r="A545" t="inlineStr">
        <is>
          <t>3 - CONCEJO</t>
        </is>
      </c>
      <c r="B545" t="inlineStr">
        <is>
          <t>00 - SIN SECTOR</t>
        </is>
      </c>
      <c r="C545" t="inlineStr">
        <is>
          <t>00</t>
        </is>
      </c>
      <c r="D545" t="inlineStr">
        <is>
          <t>0000</t>
        </is>
      </c>
      <c r="E545" t="inlineStr">
        <is>
          <t>0000000</t>
        </is>
      </c>
      <c r="F545" t="inlineStr">
        <is>
          <t>SIN PRODUCTO</t>
        </is>
      </c>
      <c r="G545" t="inlineStr">
        <is>
          <t>00</t>
        </is>
      </c>
      <c r="H545" t="inlineStr">
        <is>
          <t>SIN CODIGO BPIN</t>
        </is>
      </c>
      <c r="I545" t="inlineStr">
        <is>
          <t>00</t>
        </is>
      </c>
      <c r="J545" t="inlineStr">
        <is>
          <t>SIN PRODUCTO DANE</t>
        </is>
      </c>
      <c r="K545" t="inlineStr">
        <is>
          <t>00</t>
        </is>
      </c>
      <c r="L545" t="inlineStr">
        <is>
          <t>SIN ATRIBUTO</t>
        </is>
      </c>
      <c r="N545" t="inlineStr">
        <is>
          <t>2.1.1.01.01.001.05</t>
        </is>
      </c>
      <c r="O545" t="inlineStr">
        <is>
          <t>Auxilio de transporte</t>
        </is>
      </c>
      <c r="P545" t="inlineStr">
        <is>
          <t>1.2.1.0.00</t>
        </is>
      </c>
      <c r="Q545" t="inlineStr">
        <is>
          <t>INGRESOS CORRIENTES DE LIBRE DESTINACION</t>
        </is>
      </c>
      <c r="R545" t="n">
        <v>2400000</v>
      </c>
      <c r="S545" t="n">
        <v>0</v>
      </c>
      <c r="T545" t="n">
        <v>0</v>
      </c>
      <c r="U545" t="n">
        <v>0</v>
      </c>
      <c r="V545" t="n">
        <v>0</v>
      </c>
      <c r="W545" t="n">
        <v>0</v>
      </c>
      <c r="X545" t="n">
        <v>0</v>
      </c>
      <c r="Y545" t="n">
        <v>2400000</v>
      </c>
      <c r="Z545" t="n">
        <v>1245475</v>
      </c>
      <c r="AA545" t="n">
        <v>1245475</v>
      </c>
      <c r="AB545" t="n">
        <v>1245475</v>
      </c>
      <c r="AC545" t="n">
        <v>1245475</v>
      </c>
      <c r="AD545" t="n">
        <v>1154525</v>
      </c>
      <c r="AE545" t="n">
        <v>51.89</v>
      </c>
    </row>
    <row r="546">
      <c r="A546" t="inlineStr">
        <is>
          <t>3 - CONCEJO</t>
        </is>
      </c>
      <c r="B546" t="inlineStr">
        <is>
          <t>00 - SIN SECTOR</t>
        </is>
      </c>
      <c r="C546" t="inlineStr">
        <is>
          <t>00</t>
        </is>
      </c>
      <c r="D546" t="inlineStr">
        <is>
          <t>0000</t>
        </is>
      </c>
      <c r="E546" t="inlineStr">
        <is>
          <t>0000000</t>
        </is>
      </c>
      <c r="F546" t="inlineStr">
        <is>
          <t>SIN PRODUCTO</t>
        </is>
      </c>
      <c r="G546" t="inlineStr">
        <is>
          <t>00</t>
        </is>
      </c>
      <c r="H546" t="inlineStr">
        <is>
          <t>SIN CODIGO BPIN</t>
        </is>
      </c>
      <c r="I546" t="inlineStr">
        <is>
          <t>00</t>
        </is>
      </c>
      <c r="J546" t="inlineStr">
        <is>
          <t>SIN PRODUCTO DANE</t>
        </is>
      </c>
      <c r="K546" t="inlineStr">
        <is>
          <t>00</t>
        </is>
      </c>
      <c r="L546" t="inlineStr">
        <is>
          <t>SIN ATRIBUTO</t>
        </is>
      </c>
      <c r="N546" t="inlineStr">
        <is>
          <t>2.1.1.01.01.001.06</t>
        </is>
      </c>
      <c r="O546" t="inlineStr">
        <is>
          <t>Prima de servicio</t>
        </is>
      </c>
      <c r="P546" t="inlineStr">
        <is>
          <t>1.2.1.0.00</t>
        </is>
      </c>
      <c r="Q546" t="inlineStr">
        <is>
          <t>INGRESOS CORRIENTES DE LIBRE DESTINACION</t>
        </is>
      </c>
      <c r="R546" t="n">
        <v>1406958</v>
      </c>
      <c r="S546" t="n">
        <v>0</v>
      </c>
      <c r="T546" t="n">
        <v>0</v>
      </c>
      <c r="U546" t="n">
        <v>0</v>
      </c>
      <c r="V546" t="n">
        <v>0</v>
      </c>
      <c r="W546" t="n">
        <v>0</v>
      </c>
      <c r="X546" t="n">
        <v>0</v>
      </c>
      <c r="Y546" t="n">
        <v>1406958</v>
      </c>
      <c r="Z546" t="n">
        <v>0</v>
      </c>
      <c r="AA546" t="n">
        <v>0</v>
      </c>
      <c r="AB546" t="n">
        <v>0</v>
      </c>
      <c r="AC546" t="n">
        <v>0</v>
      </c>
      <c r="AD546" t="n">
        <v>1406958</v>
      </c>
      <c r="AE546" t="n">
        <v>0</v>
      </c>
    </row>
    <row r="547">
      <c r="A547" t="inlineStr">
        <is>
          <t>3 - CONCEJO</t>
        </is>
      </c>
      <c r="B547" t="inlineStr">
        <is>
          <t>00 - SIN SECTOR</t>
        </is>
      </c>
      <c r="C547" t="inlineStr">
        <is>
          <t>00</t>
        </is>
      </c>
      <c r="D547" t="inlineStr">
        <is>
          <t>0000</t>
        </is>
      </c>
      <c r="E547" t="inlineStr">
        <is>
          <t>0000000</t>
        </is>
      </c>
      <c r="F547" t="inlineStr">
        <is>
          <t>SIN PRODUCTO</t>
        </is>
      </c>
      <c r="G547" t="inlineStr">
        <is>
          <t>00</t>
        </is>
      </c>
      <c r="H547" t="inlineStr">
        <is>
          <t>SIN CODIGO BPIN</t>
        </is>
      </c>
      <c r="I547" t="inlineStr">
        <is>
          <t>00</t>
        </is>
      </c>
      <c r="J547" t="inlineStr">
        <is>
          <t>SIN PRODUCTO DANE</t>
        </is>
      </c>
      <c r="K547" t="inlineStr">
        <is>
          <t>00</t>
        </is>
      </c>
      <c r="L547" t="inlineStr">
        <is>
          <t>SIN ATRIBUTO</t>
        </is>
      </c>
      <c r="N547" t="inlineStr">
        <is>
          <t>2.1.1.01.01.001.07</t>
        </is>
      </c>
      <c r="O547" t="inlineStr">
        <is>
          <t>Bonificacion por servicios prestados</t>
        </is>
      </c>
      <c r="P547" t="inlineStr">
        <is>
          <t>1.2.1.0.00</t>
        </is>
      </c>
      <c r="Q547" t="inlineStr">
        <is>
          <t>INGRESOS CORRIENTES DE LIBRE DESTINACION</t>
        </is>
      </c>
      <c r="R547" t="n">
        <v>857500</v>
      </c>
      <c r="S547" t="n">
        <v>0</v>
      </c>
      <c r="T547" t="n">
        <v>0</v>
      </c>
      <c r="U547" t="n">
        <v>0</v>
      </c>
      <c r="V547" t="n">
        <v>0</v>
      </c>
      <c r="W547" t="n">
        <v>0</v>
      </c>
      <c r="X547" t="n">
        <v>0</v>
      </c>
      <c r="Y547" t="n">
        <v>857500</v>
      </c>
      <c r="Z547" t="n">
        <v>0</v>
      </c>
      <c r="AA547" t="n">
        <v>0</v>
      </c>
      <c r="AB547" t="n">
        <v>0</v>
      </c>
      <c r="AC547" t="n">
        <v>0</v>
      </c>
      <c r="AD547" t="n">
        <v>857500</v>
      </c>
      <c r="AE547" t="n">
        <v>0</v>
      </c>
    </row>
    <row r="548">
      <c r="A548" t="inlineStr">
        <is>
          <t>3 - CONCEJO</t>
        </is>
      </c>
      <c r="B548" t="inlineStr">
        <is>
          <t>00 - SIN SECTOR</t>
        </is>
      </c>
      <c r="C548" t="inlineStr">
        <is>
          <t>00</t>
        </is>
      </c>
      <c r="D548" t="inlineStr">
        <is>
          <t>0000</t>
        </is>
      </c>
      <c r="E548" t="inlineStr">
        <is>
          <t>0000000</t>
        </is>
      </c>
      <c r="F548" t="inlineStr">
        <is>
          <t>SIN PRODUCTO</t>
        </is>
      </c>
      <c r="G548" t="inlineStr">
        <is>
          <t>00</t>
        </is>
      </c>
      <c r="H548" t="inlineStr">
        <is>
          <t>SIN CODIGO BPIN</t>
        </is>
      </c>
      <c r="I548" t="inlineStr">
        <is>
          <t>00</t>
        </is>
      </c>
      <c r="J548" t="inlineStr">
        <is>
          <t>SIN PRODUCTO DANE</t>
        </is>
      </c>
      <c r="K548" t="inlineStr">
        <is>
          <t>00</t>
        </is>
      </c>
      <c r="L548" t="inlineStr">
        <is>
          <t>SIN ATRIBUTO</t>
        </is>
      </c>
      <c r="N548" t="inlineStr">
        <is>
          <t>2.1.1.01.01.001.08</t>
        </is>
      </c>
      <c r="O548" t="inlineStr">
        <is>
          <t>Prestaciones sociales</t>
        </is>
      </c>
      <c r="P548" t="inlineStr">
        <is>
          <t>00</t>
        </is>
      </c>
      <c r="Q548" t="inlineStr">
        <is>
          <t>RECURSO PROPIOS</t>
        </is>
      </c>
      <c r="R548" t="n">
        <v>3839499</v>
      </c>
      <c r="S548" t="n">
        <v>0</v>
      </c>
      <c r="T548" t="n">
        <v>0</v>
      </c>
      <c r="U548" t="n">
        <v>0</v>
      </c>
      <c r="V548" t="n">
        <v>0</v>
      </c>
      <c r="W548" t="n">
        <v>0</v>
      </c>
      <c r="X548" t="n">
        <v>0</v>
      </c>
      <c r="Y548" t="n">
        <v>3839499</v>
      </c>
      <c r="Z548" t="n">
        <v>0</v>
      </c>
      <c r="AA548" t="n">
        <v>0</v>
      </c>
      <c r="AB548" t="n">
        <v>0</v>
      </c>
      <c r="AC548" t="n">
        <v>0</v>
      </c>
      <c r="AD548" t="n">
        <v>3839499</v>
      </c>
      <c r="AE548" t="n">
        <v>0</v>
      </c>
    </row>
    <row r="549">
      <c r="A549" t="inlineStr">
        <is>
          <t>3 - CONCEJO</t>
        </is>
      </c>
      <c r="B549" t="inlineStr">
        <is>
          <t>00 - SIN SECTOR</t>
        </is>
      </c>
      <c r="C549" t="inlineStr">
        <is>
          <t>00</t>
        </is>
      </c>
      <c r="D549" t="inlineStr">
        <is>
          <t>0000</t>
        </is>
      </c>
      <c r="E549" t="inlineStr">
        <is>
          <t>0000000</t>
        </is>
      </c>
      <c r="F549" t="inlineStr">
        <is>
          <t>SIN PRODUCTO</t>
        </is>
      </c>
      <c r="G549" t="inlineStr">
        <is>
          <t>00</t>
        </is>
      </c>
      <c r="H549" t="inlineStr">
        <is>
          <t>SIN CODIGO BPIN</t>
        </is>
      </c>
      <c r="I549" t="inlineStr">
        <is>
          <t>00</t>
        </is>
      </c>
      <c r="J549" t="inlineStr">
        <is>
          <t>SIN PRODUCTO DANE</t>
        </is>
      </c>
      <c r="K549" t="inlineStr">
        <is>
          <t>00</t>
        </is>
      </c>
      <c r="L549" t="inlineStr">
        <is>
          <t>SIN ATRIBUTO</t>
        </is>
      </c>
      <c r="N549" t="inlineStr">
        <is>
          <t>2.1.1.01.01.001.08.01</t>
        </is>
      </c>
      <c r="O549" t="inlineStr">
        <is>
          <t>Prima de navidad</t>
        </is>
      </c>
      <c r="P549" t="inlineStr">
        <is>
          <t>1.2.1.0.00</t>
        </is>
      </c>
      <c r="Q549" t="inlineStr">
        <is>
          <t>INGRESOS CORRIENTES DE LIBRE DESTINACION</t>
        </is>
      </c>
      <c r="R549" t="n">
        <v>2559666</v>
      </c>
      <c r="S549" t="n">
        <v>0</v>
      </c>
      <c r="T549" t="n">
        <v>0</v>
      </c>
      <c r="U549" t="n">
        <v>0</v>
      </c>
      <c r="V549" t="n">
        <v>0</v>
      </c>
      <c r="W549" t="n">
        <v>0</v>
      </c>
      <c r="X549" t="n">
        <v>0</v>
      </c>
      <c r="Y549" t="n">
        <v>2559666</v>
      </c>
      <c r="Z549" t="n">
        <v>0</v>
      </c>
      <c r="AA549" t="n">
        <v>0</v>
      </c>
      <c r="AB549" t="n">
        <v>0</v>
      </c>
      <c r="AC549" t="n">
        <v>0</v>
      </c>
      <c r="AD549" t="n">
        <v>2559666</v>
      </c>
      <c r="AE549" t="n">
        <v>0</v>
      </c>
    </row>
    <row r="550">
      <c r="A550" t="inlineStr">
        <is>
          <t>3 - CONCEJO</t>
        </is>
      </c>
      <c r="B550" t="inlineStr">
        <is>
          <t>00 - SIN SECTOR</t>
        </is>
      </c>
      <c r="C550" t="inlineStr">
        <is>
          <t>00</t>
        </is>
      </c>
      <c r="D550" t="inlineStr">
        <is>
          <t>0000</t>
        </is>
      </c>
      <c r="E550" t="inlineStr">
        <is>
          <t>0000000</t>
        </is>
      </c>
      <c r="F550" t="inlineStr">
        <is>
          <t>SIN PRODUCTO</t>
        </is>
      </c>
      <c r="G550" t="inlineStr">
        <is>
          <t>00</t>
        </is>
      </c>
      <c r="H550" t="inlineStr">
        <is>
          <t>SIN CODIGO BPIN</t>
        </is>
      </c>
      <c r="I550" t="inlineStr">
        <is>
          <t>00</t>
        </is>
      </c>
      <c r="J550" t="inlineStr">
        <is>
          <t>SIN PRODUCTO DANE</t>
        </is>
      </c>
      <c r="K550" t="inlineStr">
        <is>
          <t>00</t>
        </is>
      </c>
      <c r="L550" t="inlineStr">
        <is>
          <t>SIN ATRIBUTO</t>
        </is>
      </c>
      <c r="N550" t="inlineStr">
        <is>
          <t>2.1.1.01.01.001.08.02</t>
        </is>
      </c>
      <c r="O550" t="inlineStr">
        <is>
          <t>Prima de vacaciones</t>
        </is>
      </c>
      <c r="P550" t="inlineStr">
        <is>
          <t>1.2.1.0.00</t>
        </is>
      </c>
      <c r="Q550" t="inlineStr">
        <is>
          <t>INGRESOS CORRIENTES DE LIBRE DESTINACION</t>
        </is>
      </c>
      <c r="R550" t="n">
        <v>1279833</v>
      </c>
      <c r="S550" t="n">
        <v>0</v>
      </c>
      <c r="T550" t="n">
        <v>0</v>
      </c>
      <c r="U550" t="n">
        <v>0</v>
      </c>
      <c r="V550" t="n">
        <v>0</v>
      </c>
      <c r="W550" t="n">
        <v>0</v>
      </c>
      <c r="X550" t="n">
        <v>0</v>
      </c>
      <c r="Y550" t="n">
        <v>1279833</v>
      </c>
      <c r="Z550" t="n">
        <v>0</v>
      </c>
      <c r="AA550" t="n">
        <v>0</v>
      </c>
      <c r="AB550" t="n">
        <v>0</v>
      </c>
      <c r="AC550" t="n">
        <v>0</v>
      </c>
      <c r="AD550" t="n">
        <v>1279833</v>
      </c>
      <c r="AE550" t="n">
        <v>0</v>
      </c>
    </row>
    <row r="551">
      <c r="A551" t="inlineStr">
        <is>
          <t>3 - CONCEJO</t>
        </is>
      </c>
      <c r="B551" t="inlineStr">
        <is>
          <t>00 - SIN SECTOR</t>
        </is>
      </c>
      <c r="C551" t="inlineStr">
        <is>
          <t>00</t>
        </is>
      </c>
      <c r="D551" t="inlineStr">
        <is>
          <t>0000</t>
        </is>
      </c>
      <c r="E551" t="inlineStr">
        <is>
          <t>0000000</t>
        </is>
      </c>
      <c r="F551" t="inlineStr">
        <is>
          <t>SIN PRODUCTO</t>
        </is>
      </c>
      <c r="G551" t="inlineStr">
        <is>
          <t>00</t>
        </is>
      </c>
      <c r="H551" t="inlineStr">
        <is>
          <t>SIN CODIGO BPIN</t>
        </is>
      </c>
      <c r="I551" t="inlineStr">
        <is>
          <t>00</t>
        </is>
      </c>
      <c r="J551" t="inlineStr">
        <is>
          <t>SIN PRODUCTO DANE</t>
        </is>
      </c>
      <c r="K551" t="inlineStr">
        <is>
          <t>00</t>
        </is>
      </c>
      <c r="L551" t="inlineStr">
        <is>
          <t>SIN ATRIBUTO</t>
        </is>
      </c>
      <c r="N551" t="inlineStr">
        <is>
          <t>2.1.1.01.02</t>
        </is>
      </c>
      <c r="O551" t="inlineStr">
        <is>
          <t>Contribuciones inherentes a la nomina</t>
        </is>
      </c>
      <c r="P551" t="inlineStr">
        <is>
          <t>00</t>
        </is>
      </c>
      <c r="Q551" t="inlineStr">
        <is>
          <t>RECURSO PROPIOS</t>
        </is>
      </c>
      <c r="R551" t="n">
        <v>12925322</v>
      </c>
      <c r="S551" t="n">
        <v>0</v>
      </c>
      <c r="T551" t="n">
        <v>0</v>
      </c>
      <c r="U551" t="n">
        <v>0</v>
      </c>
      <c r="V551" t="n">
        <v>0</v>
      </c>
      <c r="W551" t="n">
        <v>0</v>
      </c>
      <c r="X551" t="n">
        <v>0</v>
      </c>
      <c r="Y551" t="n">
        <v>12925322</v>
      </c>
      <c r="Z551" t="n">
        <v>3889100</v>
      </c>
      <c r="AA551" t="n">
        <v>3889100</v>
      </c>
      <c r="AB551" t="n">
        <v>3889100</v>
      </c>
      <c r="AC551" t="n">
        <v>1513400</v>
      </c>
      <c r="AD551" t="n">
        <v>9036222</v>
      </c>
      <c r="AE551" t="n">
        <v>30.09</v>
      </c>
    </row>
    <row r="552">
      <c r="A552" t="inlineStr">
        <is>
          <t>3 - CONCEJO</t>
        </is>
      </c>
      <c r="B552" t="inlineStr">
        <is>
          <t>00 - SIN SECTOR</t>
        </is>
      </c>
      <c r="C552" t="inlineStr">
        <is>
          <t>00</t>
        </is>
      </c>
      <c r="D552" t="inlineStr">
        <is>
          <t>0000</t>
        </is>
      </c>
      <c r="E552" t="inlineStr">
        <is>
          <t>0000000</t>
        </is>
      </c>
      <c r="F552" t="inlineStr">
        <is>
          <t>SIN PRODUCTO</t>
        </is>
      </c>
      <c r="G552" t="inlineStr">
        <is>
          <t>00</t>
        </is>
      </c>
      <c r="H552" t="inlineStr">
        <is>
          <t>SIN CODIGO BPIN</t>
        </is>
      </c>
      <c r="I552" t="inlineStr">
        <is>
          <t>00</t>
        </is>
      </c>
      <c r="J552" t="inlineStr">
        <is>
          <t>SIN PRODUCTO DANE</t>
        </is>
      </c>
      <c r="K552" t="inlineStr">
        <is>
          <t>00</t>
        </is>
      </c>
      <c r="L552" t="inlineStr">
        <is>
          <t>SIN ATRIBUTO</t>
        </is>
      </c>
      <c r="N552" t="inlineStr">
        <is>
          <t>2.1.1.01.02.001</t>
        </is>
      </c>
      <c r="O552" t="inlineStr">
        <is>
          <t>Aportes a la seguridad social en pensiones</t>
        </is>
      </c>
      <c r="P552" t="inlineStr">
        <is>
          <t>1.2.1.0.00</t>
        </is>
      </c>
      <c r="Q552" t="inlineStr">
        <is>
          <t>INGRESOS CORRIENTES DE LIBRE DESTINACION</t>
        </is>
      </c>
      <c r="R552" t="n">
        <v>3685592</v>
      </c>
      <c r="S552" t="n">
        <v>0</v>
      </c>
      <c r="T552" t="n">
        <v>0</v>
      </c>
      <c r="U552" t="n">
        <v>0</v>
      </c>
      <c r="V552" t="n">
        <v>0</v>
      </c>
      <c r="W552" t="n">
        <v>0</v>
      </c>
      <c r="X552" t="n">
        <v>0</v>
      </c>
      <c r="Y552" t="n">
        <v>3685592</v>
      </c>
      <c r="Z552" t="n">
        <v>1535800</v>
      </c>
      <c r="AA552" t="n">
        <v>1535800</v>
      </c>
      <c r="AB552" t="n">
        <v>1535800</v>
      </c>
      <c r="AC552" t="n">
        <v>597600</v>
      </c>
      <c r="AD552" t="n">
        <v>2149792</v>
      </c>
      <c r="AE552" t="n">
        <v>41.67</v>
      </c>
    </row>
    <row r="553">
      <c r="A553" t="inlineStr">
        <is>
          <t>3 - CONCEJO</t>
        </is>
      </c>
      <c r="B553" t="inlineStr">
        <is>
          <t>00 - SIN SECTOR</t>
        </is>
      </c>
      <c r="C553" t="inlineStr">
        <is>
          <t>00</t>
        </is>
      </c>
      <c r="D553" t="inlineStr">
        <is>
          <t>0000</t>
        </is>
      </c>
      <c r="E553" t="inlineStr">
        <is>
          <t>0000000</t>
        </is>
      </c>
      <c r="F553" t="inlineStr">
        <is>
          <t>SIN PRODUCTO</t>
        </is>
      </c>
      <c r="G553" t="inlineStr">
        <is>
          <t>00</t>
        </is>
      </c>
      <c r="H553" t="inlineStr">
        <is>
          <t>SIN CODIGO BPIN</t>
        </is>
      </c>
      <c r="I553" t="inlineStr">
        <is>
          <t>00</t>
        </is>
      </c>
      <c r="J553" t="inlineStr">
        <is>
          <t>SIN PRODUCTO DANE</t>
        </is>
      </c>
      <c r="K553" t="inlineStr">
        <is>
          <t>00</t>
        </is>
      </c>
      <c r="L553" t="inlineStr">
        <is>
          <t>SIN ATRIBUTO</t>
        </is>
      </c>
      <c r="N553" t="inlineStr">
        <is>
          <t>2.1.1.01.02.002</t>
        </is>
      </c>
      <c r="O553" t="inlineStr">
        <is>
          <t>Aportes a la seguridad social en salud</t>
        </is>
      </c>
      <c r="P553" t="inlineStr">
        <is>
          <t>1.2.1.0.00</t>
        </is>
      </c>
      <c r="Q553" t="inlineStr">
        <is>
          <t>INGRESOS CORRIENTES DE LIBRE DESTINACION</t>
        </is>
      </c>
      <c r="R553" t="n">
        <v>2610894</v>
      </c>
      <c r="S553" t="n">
        <v>0</v>
      </c>
      <c r="T553" t="n">
        <v>0</v>
      </c>
      <c r="U553" t="n">
        <v>0</v>
      </c>
      <c r="V553" t="n">
        <v>0</v>
      </c>
      <c r="W553" t="n">
        <v>0</v>
      </c>
      <c r="X553" t="n">
        <v>0</v>
      </c>
      <c r="Y553" t="n">
        <v>2610894</v>
      </c>
      <c r="Z553" t="n">
        <v>1087900</v>
      </c>
      <c r="AA553" t="n">
        <v>1087900</v>
      </c>
      <c r="AB553" t="n">
        <v>1087900</v>
      </c>
      <c r="AC553" t="n">
        <v>423400</v>
      </c>
      <c r="AD553" t="n">
        <v>1522994</v>
      </c>
      <c r="AE553" t="n">
        <v>41.67</v>
      </c>
    </row>
    <row r="554">
      <c r="A554" t="inlineStr">
        <is>
          <t>3 - CONCEJO</t>
        </is>
      </c>
      <c r="B554" t="inlineStr">
        <is>
          <t>00 - SIN SECTOR</t>
        </is>
      </c>
      <c r="C554" t="inlineStr">
        <is>
          <t>00</t>
        </is>
      </c>
      <c r="D554" t="inlineStr">
        <is>
          <t>0000</t>
        </is>
      </c>
      <c r="E554" t="inlineStr">
        <is>
          <t>0000000</t>
        </is>
      </c>
      <c r="F554" t="inlineStr">
        <is>
          <t>SIN PRODUCTO</t>
        </is>
      </c>
      <c r="G554" t="inlineStr">
        <is>
          <t>00</t>
        </is>
      </c>
      <c r="H554" t="inlineStr">
        <is>
          <t>SIN CODIGO BPIN</t>
        </is>
      </c>
      <c r="I554" t="inlineStr">
        <is>
          <t>00</t>
        </is>
      </c>
      <c r="J554" t="inlineStr">
        <is>
          <t>SIN PRODUCTO DANE</t>
        </is>
      </c>
      <c r="K554" t="inlineStr">
        <is>
          <t>00</t>
        </is>
      </c>
      <c r="L554" t="inlineStr">
        <is>
          <t>SIN ATRIBUTO</t>
        </is>
      </c>
      <c r="N554" t="inlineStr">
        <is>
          <t>2.1.1.01.02.003</t>
        </is>
      </c>
      <c r="O554" t="inlineStr">
        <is>
          <t>Aportes de cesantias</t>
        </is>
      </c>
      <c r="P554" t="inlineStr">
        <is>
          <t>1.2.1.0.00</t>
        </is>
      </c>
      <c r="Q554" t="inlineStr">
        <is>
          <t>INGRESOS CORRIENTES DE LIBRE DESTINACION</t>
        </is>
      </c>
      <c r="R554" t="n">
        <v>3704664</v>
      </c>
      <c r="S554" t="n">
        <v>0</v>
      </c>
      <c r="T554" t="n">
        <v>0</v>
      </c>
      <c r="U554" t="n">
        <v>0</v>
      </c>
      <c r="V554" t="n">
        <v>0</v>
      </c>
      <c r="W554" t="n">
        <v>0</v>
      </c>
      <c r="X554" t="n">
        <v>0</v>
      </c>
      <c r="Y554" t="n">
        <v>3704664</v>
      </c>
      <c r="Z554" t="n">
        <v>0</v>
      </c>
      <c r="AA554" t="n">
        <v>0</v>
      </c>
      <c r="AB554" t="n">
        <v>0</v>
      </c>
      <c r="AC554" t="n">
        <v>0</v>
      </c>
      <c r="AD554" t="n">
        <v>3704664</v>
      </c>
      <c r="AE554" t="n">
        <v>0</v>
      </c>
    </row>
    <row r="555">
      <c r="A555" t="inlineStr">
        <is>
          <t>3 - CONCEJO</t>
        </is>
      </c>
      <c r="B555" t="inlineStr">
        <is>
          <t>00 - SIN SECTOR</t>
        </is>
      </c>
      <c r="C555" t="inlineStr">
        <is>
          <t>00</t>
        </is>
      </c>
      <c r="D555" t="inlineStr">
        <is>
          <t>0000</t>
        </is>
      </c>
      <c r="E555" t="inlineStr">
        <is>
          <t>0000000</t>
        </is>
      </c>
      <c r="F555" t="inlineStr">
        <is>
          <t>SIN PRODUCTO</t>
        </is>
      </c>
      <c r="G555" t="inlineStr">
        <is>
          <t>00</t>
        </is>
      </c>
      <c r="H555" t="inlineStr">
        <is>
          <t>SIN CODIGO BPIN</t>
        </is>
      </c>
      <c r="I555" t="inlineStr">
        <is>
          <t>00</t>
        </is>
      </c>
      <c r="J555" t="inlineStr">
        <is>
          <t>SIN PRODUCTO DANE</t>
        </is>
      </c>
      <c r="K555" t="inlineStr">
        <is>
          <t>00</t>
        </is>
      </c>
      <c r="L555" t="inlineStr">
        <is>
          <t>SIN ATRIBUTO</t>
        </is>
      </c>
      <c r="N555" t="inlineStr">
        <is>
          <t>2.1.1.01.02.004</t>
        </is>
      </c>
      <c r="O555" t="inlineStr">
        <is>
          <t>Aportes a cajas de compensacion familiar</t>
        </is>
      </c>
      <c r="P555" t="inlineStr">
        <is>
          <t>1.2.1.0.00</t>
        </is>
      </c>
      <c r="Q555" t="inlineStr">
        <is>
          <t>INGRESOS CORRIENTES DE LIBRE DESTINACION</t>
        </is>
      </c>
      <c r="R555" t="n">
        <v>1228640</v>
      </c>
      <c r="S555" t="n">
        <v>0</v>
      </c>
      <c r="T555" t="n">
        <v>0</v>
      </c>
      <c r="U555" t="n">
        <v>0</v>
      </c>
      <c r="V555" t="n">
        <v>0</v>
      </c>
      <c r="W555" t="n">
        <v>0</v>
      </c>
      <c r="X555" t="n">
        <v>0</v>
      </c>
      <c r="Y555" t="n">
        <v>1228640</v>
      </c>
      <c r="Z555" t="n">
        <v>532400</v>
      </c>
      <c r="AA555" t="n">
        <v>532400</v>
      </c>
      <c r="AB555" t="n">
        <v>532400</v>
      </c>
      <c r="AC555" t="n">
        <v>207200</v>
      </c>
      <c r="AD555" t="n">
        <v>696240</v>
      </c>
      <c r="AE555" t="n">
        <v>43.33</v>
      </c>
    </row>
    <row r="556">
      <c r="A556" t="inlineStr">
        <is>
          <t>3 - CONCEJO</t>
        </is>
      </c>
      <c r="B556" t="inlineStr">
        <is>
          <t>00 - SIN SECTOR</t>
        </is>
      </c>
      <c r="C556" t="inlineStr">
        <is>
          <t>00</t>
        </is>
      </c>
      <c r="D556" t="inlineStr">
        <is>
          <t>0000</t>
        </is>
      </c>
      <c r="E556" t="inlineStr">
        <is>
          <t>0000000</t>
        </is>
      </c>
      <c r="F556" t="inlineStr">
        <is>
          <t>SIN PRODUCTO</t>
        </is>
      </c>
      <c r="G556" t="inlineStr">
        <is>
          <t>00</t>
        </is>
      </c>
      <c r="H556" t="inlineStr">
        <is>
          <t>SIN CODIGO BPIN</t>
        </is>
      </c>
      <c r="I556" t="inlineStr">
        <is>
          <t>00</t>
        </is>
      </c>
      <c r="J556" t="inlineStr">
        <is>
          <t>SIN PRODUCTO DANE</t>
        </is>
      </c>
      <c r="K556" t="inlineStr">
        <is>
          <t>00</t>
        </is>
      </c>
      <c r="L556" t="inlineStr">
        <is>
          <t>SIN ATRIBUTO</t>
        </is>
      </c>
      <c r="N556" t="inlineStr">
        <is>
          <t>2.1.1.01.02.005</t>
        </is>
      </c>
      <c r="O556" t="inlineStr">
        <is>
          <t>Aportes generales al sistema de riesgos laborales</t>
        </is>
      </c>
      <c r="P556" t="inlineStr">
        <is>
          <t>1.2.1.0.00</t>
        </is>
      </c>
      <c r="Q556" t="inlineStr">
        <is>
          <t>INGRESOS CORRIENTES DE LIBRE DESTINACION</t>
        </is>
      </c>
      <c r="R556" t="n">
        <v>159732</v>
      </c>
      <c r="S556" t="n">
        <v>0</v>
      </c>
      <c r="T556" t="n">
        <v>0</v>
      </c>
      <c r="U556" t="n">
        <v>0</v>
      </c>
      <c r="V556" t="n">
        <v>0</v>
      </c>
      <c r="W556" t="n">
        <v>0</v>
      </c>
      <c r="X556" t="n">
        <v>0</v>
      </c>
      <c r="Y556" t="n">
        <v>159732</v>
      </c>
      <c r="Z556" t="n">
        <v>67000</v>
      </c>
      <c r="AA556" t="n">
        <v>67000</v>
      </c>
      <c r="AB556" t="n">
        <v>67000</v>
      </c>
      <c r="AC556" t="n">
        <v>26000</v>
      </c>
      <c r="AD556" t="n">
        <v>92732</v>
      </c>
      <c r="AE556" t="n">
        <v>41.95</v>
      </c>
    </row>
    <row r="557">
      <c r="A557" t="inlineStr">
        <is>
          <t>3 - CONCEJO</t>
        </is>
      </c>
      <c r="B557" t="inlineStr">
        <is>
          <t>00 - SIN SECTOR</t>
        </is>
      </c>
      <c r="C557" t="inlineStr">
        <is>
          <t>00</t>
        </is>
      </c>
      <c r="D557" t="inlineStr">
        <is>
          <t>0000</t>
        </is>
      </c>
      <c r="E557" t="inlineStr">
        <is>
          <t>0000000</t>
        </is>
      </c>
      <c r="F557" t="inlineStr">
        <is>
          <t>SIN PRODUCTO</t>
        </is>
      </c>
      <c r="G557" t="inlineStr">
        <is>
          <t>00</t>
        </is>
      </c>
      <c r="H557" t="inlineStr">
        <is>
          <t>SIN CODIGO BPIN</t>
        </is>
      </c>
      <c r="I557" t="inlineStr">
        <is>
          <t>00</t>
        </is>
      </c>
      <c r="J557" t="inlineStr">
        <is>
          <t>SIN PRODUCTO DANE</t>
        </is>
      </c>
      <c r="K557" t="inlineStr">
        <is>
          <t>00</t>
        </is>
      </c>
      <c r="L557" t="inlineStr">
        <is>
          <t>SIN ATRIBUTO</t>
        </is>
      </c>
      <c r="N557" t="inlineStr">
        <is>
          <t>2.1.1.01.02.006</t>
        </is>
      </c>
      <c r="O557" t="inlineStr">
        <is>
          <t>Aportes al icbf</t>
        </is>
      </c>
      <c r="P557" t="inlineStr">
        <is>
          <t>1.2.1.0.00</t>
        </is>
      </c>
      <c r="Q557" t="inlineStr">
        <is>
          <t>INGRESOS CORRIENTES DE LIBRE DESTINACION</t>
        </is>
      </c>
      <c r="R557" t="n">
        <v>921480</v>
      </c>
      <c r="S557" t="n">
        <v>0</v>
      </c>
      <c r="T557" t="n">
        <v>0</v>
      </c>
      <c r="U557" t="n">
        <v>0</v>
      </c>
      <c r="V557" t="n">
        <v>0</v>
      </c>
      <c r="W557" t="n">
        <v>0</v>
      </c>
      <c r="X557" t="n">
        <v>0</v>
      </c>
      <c r="Y557" t="n">
        <v>921480</v>
      </c>
      <c r="Z557" t="n">
        <v>399300</v>
      </c>
      <c r="AA557" t="n">
        <v>399300</v>
      </c>
      <c r="AB557" t="n">
        <v>399300</v>
      </c>
      <c r="AC557" t="n">
        <v>155400</v>
      </c>
      <c r="AD557" t="n">
        <v>522180</v>
      </c>
      <c r="AE557" t="n">
        <v>43.33</v>
      </c>
    </row>
    <row r="558">
      <c r="A558" t="inlineStr">
        <is>
          <t>3 - CONCEJO</t>
        </is>
      </c>
      <c r="B558" t="inlineStr">
        <is>
          <t>00 - SIN SECTOR</t>
        </is>
      </c>
      <c r="C558" t="inlineStr">
        <is>
          <t>00</t>
        </is>
      </c>
      <c r="D558" t="inlineStr">
        <is>
          <t>0000</t>
        </is>
      </c>
      <c r="E558" t="inlineStr">
        <is>
          <t>0000000</t>
        </is>
      </c>
      <c r="F558" t="inlineStr">
        <is>
          <t>SIN PRODUCTO</t>
        </is>
      </c>
      <c r="G558" t="inlineStr">
        <is>
          <t>00</t>
        </is>
      </c>
      <c r="H558" t="inlineStr">
        <is>
          <t>SIN CODIGO BPIN</t>
        </is>
      </c>
      <c r="I558" t="inlineStr">
        <is>
          <t>00</t>
        </is>
      </c>
      <c r="J558" t="inlineStr">
        <is>
          <t>SIN PRODUCTO DANE</t>
        </is>
      </c>
      <c r="K558" t="inlineStr">
        <is>
          <t>00</t>
        </is>
      </c>
      <c r="L558" t="inlineStr">
        <is>
          <t>SIN ATRIBUTO</t>
        </is>
      </c>
      <c r="N558" t="inlineStr">
        <is>
          <t>2.1.1.01.02.007</t>
        </is>
      </c>
      <c r="O558" t="inlineStr">
        <is>
          <t>Aportes al sena</t>
        </is>
      </c>
      <c r="P558" t="inlineStr">
        <is>
          <t>1.2.1.0.00</t>
        </is>
      </c>
      <c r="Q558" t="inlineStr">
        <is>
          <t>INGRESOS CORRIENTES DE LIBRE DESTINACION</t>
        </is>
      </c>
      <c r="R558" t="n">
        <v>153580</v>
      </c>
      <c r="S558" t="n">
        <v>0</v>
      </c>
      <c r="T558" t="n">
        <v>0</v>
      </c>
      <c r="U558" t="n">
        <v>0</v>
      </c>
      <c r="V558" t="n">
        <v>0</v>
      </c>
      <c r="W558" t="n">
        <v>0</v>
      </c>
      <c r="X558" t="n">
        <v>0</v>
      </c>
      <c r="Y558" t="n">
        <v>153580</v>
      </c>
      <c r="Z558" t="n">
        <v>66800</v>
      </c>
      <c r="AA558" t="n">
        <v>66800</v>
      </c>
      <c r="AB558" t="n">
        <v>66800</v>
      </c>
      <c r="AC558" t="n">
        <v>26000</v>
      </c>
      <c r="AD558" t="n">
        <v>86780</v>
      </c>
      <c r="AE558" t="n">
        <v>43.5</v>
      </c>
    </row>
    <row r="559">
      <c r="A559" t="inlineStr">
        <is>
          <t>3 - CONCEJO</t>
        </is>
      </c>
      <c r="B559" t="inlineStr">
        <is>
          <t>00 - SIN SECTOR</t>
        </is>
      </c>
      <c r="C559" t="inlineStr">
        <is>
          <t>00</t>
        </is>
      </c>
      <c r="D559" t="inlineStr">
        <is>
          <t>0000</t>
        </is>
      </c>
      <c r="E559" t="inlineStr">
        <is>
          <t>0000000</t>
        </is>
      </c>
      <c r="F559" t="inlineStr">
        <is>
          <t>SIN PRODUCTO</t>
        </is>
      </c>
      <c r="G559" t="inlineStr">
        <is>
          <t>00</t>
        </is>
      </c>
      <c r="H559" t="inlineStr">
        <is>
          <t>SIN CODIGO BPIN</t>
        </is>
      </c>
      <c r="I559" t="inlineStr">
        <is>
          <t>00</t>
        </is>
      </c>
      <c r="J559" t="inlineStr">
        <is>
          <t>SIN PRODUCTO DANE</t>
        </is>
      </c>
      <c r="K559" t="inlineStr">
        <is>
          <t>00</t>
        </is>
      </c>
      <c r="L559" t="inlineStr">
        <is>
          <t>SIN ATRIBUTO</t>
        </is>
      </c>
      <c r="N559" t="inlineStr">
        <is>
          <t>2.1.1.01.02.008</t>
        </is>
      </c>
      <c r="O559" t="inlineStr">
        <is>
          <t>Aportes a la esap</t>
        </is>
      </c>
      <c r="P559" t="inlineStr">
        <is>
          <t>1.2.1.0.00</t>
        </is>
      </c>
      <c r="Q559" t="inlineStr">
        <is>
          <t>INGRESOS CORRIENTES DE LIBRE DESTINACION</t>
        </is>
      </c>
      <c r="R559" t="n">
        <v>153580</v>
      </c>
      <c r="S559" t="n">
        <v>0</v>
      </c>
      <c r="T559" t="n">
        <v>0</v>
      </c>
      <c r="U559" t="n">
        <v>0</v>
      </c>
      <c r="V559" t="n">
        <v>0</v>
      </c>
      <c r="W559" t="n">
        <v>0</v>
      </c>
      <c r="X559" t="n">
        <v>0</v>
      </c>
      <c r="Y559" t="n">
        <v>153580</v>
      </c>
      <c r="Z559" t="n">
        <v>66800</v>
      </c>
      <c r="AA559" t="n">
        <v>66800</v>
      </c>
      <c r="AB559" t="n">
        <v>66800</v>
      </c>
      <c r="AC559" t="n">
        <v>26000</v>
      </c>
      <c r="AD559" t="n">
        <v>86780</v>
      </c>
      <c r="AE559" t="n">
        <v>43.5</v>
      </c>
    </row>
    <row r="560">
      <c r="A560" t="inlineStr">
        <is>
          <t>3 - CONCEJO</t>
        </is>
      </c>
      <c r="B560" t="inlineStr">
        <is>
          <t>00 - SIN SECTOR</t>
        </is>
      </c>
      <c r="C560" t="inlineStr">
        <is>
          <t>00</t>
        </is>
      </c>
      <c r="D560" t="inlineStr">
        <is>
          <t>0000</t>
        </is>
      </c>
      <c r="E560" t="inlineStr">
        <is>
          <t>0000000</t>
        </is>
      </c>
      <c r="F560" t="inlineStr">
        <is>
          <t>SIN PRODUCTO</t>
        </is>
      </c>
      <c r="G560" t="inlineStr">
        <is>
          <t>00</t>
        </is>
      </c>
      <c r="H560" t="inlineStr">
        <is>
          <t>SIN CODIGO BPIN</t>
        </is>
      </c>
      <c r="I560" t="inlineStr">
        <is>
          <t>00</t>
        </is>
      </c>
      <c r="J560" t="inlineStr">
        <is>
          <t>SIN PRODUCTO DANE</t>
        </is>
      </c>
      <c r="K560" t="inlineStr">
        <is>
          <t>00</t>
        </is>
      </c>
      <c r="L560" t="inlineStr">
        <is>
          <t>SIN ATRIBUTO</t>
        </is>
      </c>
      <c r="N560" t="inlineStr">
        <is>
          <t>2.1.1.01.02.009</t>
        </is>
      </c>
      <c r="O560" t="inlineStr">
        <is>
          <t>Aportes a escuelas industriales e institutos tecnicos</t>
        </is>
      </c>
      <c r="P560" t="inlineStr">
        <is>
          <t>1.2.1.0.00</t>
        </is>
      </c>
      <c r="Q560" t="inlineStr">
        <is>
          <t>INGRESOS CORRIENTES DE LIBRE DESTINACION</t>
        </is>
      </c>
      <c r="R560" t="n">
        <v>307160</v>
      </c>
      <c r="S560" t="n">
        <v>0</v>
      </c>
      <c r="T560" t="n">
        <v>0</v>
      </c>
      <c r="U560" t="n">
        <v>0</v>
      </c>
      <c r="V560" t="n">
        <v>0</v>
      </c>
      <c r="W560" t="n">
        <v>0</v>
      </c>
      <c r="X560" t="n">
        <v>0</v>
      </c>
      <c r="Y560" t="n">
        <v>307160</v>
      </c>
      <c r="Z560" t="n">
        <v>133100</v>
      </c>
      <c r="AA560" t="n">
        <v>133100</v>
      </c>
      <c r="AB560" t="n">
        <v>133100</v>
      </c>
      <c r="AC560" t="n">
        <v>51800</v>
      </c>
      <c r="AD560" t="n">
        <v>174060</v>
      </c>
      <c r="AE560" t="n">
        <v>43.33</v>
      </c>
    </row>
    <row r="561">
      <c r="A561" t="inlineStr">
        <is>
          <t>3 - CONCEJO</t>
        </is>
      </c>
      <c r="B561" t="inlineStr">
        <is>
          <t>00 - SIN SECTOR</t>
        </is>
      </c>
      <c r="C561" t="inlineStr">
        <is>
          <t>00</t>
        </is>
      </c>
      <c r="D561" t="inlineStr">
        <is>
          <t>0000</t>
        </is>
      </c>
      <c r="E561" t="inlineStr">
        <is>
          <t>0000000</t>
        </is>
      </c>
      <c r="F561" t="inlineStr">
        <is>
          <t>SIN PRODUCTO</t>
        </is>
      </c>
      <c r="G561" t="inlineStr">
        <is>
          <t>00</t>
        </is>
      </c>
      <c r="H561" t="inlineStr">
        <is>
          <t>SIN CODIGO BPIN</t>
        </is>
      </c>
      <c r="I561" t="inlineStr">
        <is>
          <t>00</t>
        </is>
      </c>
      <c r="J561" t="inlineStr">
        <is>
          <t>SIN PRODUCTO DANE</t>
        </is>
      </c>
      <c r="K561" t="inlineStr">
        <is>
          <t>00</t>
        </is>
      </c>
      <c r="L561" t="inlineStr">
        <is>
          <t>SIN ATRIBUTO</t>
        </is>
      </c>
      <c r="N561" t="inlineStr">
        <is>
          <t>2.1.1.01.03</t>
        </is>
      </c>
      <c r="O561" t="inlineStr">
        <is>
          <t>Remuneraciones no constitutivas de factor salarial</t>
        </is>
      </c>
      <c r="P561" t="inlineStr">
        <is>
          <t>00</t>
        </is>
      </c>
      <c r="Q561" t="inlineStr">
        <is>
          <t>RECURSO PROPIOS</t>
        </is>
      </c>
      <c r="R561" t="n">
        <v>448907111</v>
      </c>
      <c r="S561" t="n">
        <v>0</v>
      </c>
      <c r="T561" t="n">
        <v>0</v>
      </c>
      <c r="U561" t="n">
        <v>0</v>
      </c>
      <c r="V561" t="n">
        <v>0</v>
      </c>
      <c r="W561" t="n">
        <v>0</v>
      </c>
      <c r="X561" t="n">
        <v>0</v>
      </c>
      <c r="Y561" t="n">
        <v>448907111</v>
      </c>
      <c r="Z561" t="n">
        <v>181872784</v>
      </c>
      <c r="AA561" t="n">
        <v>181872784</v>
      </c>
      <c r="AB561" t="n">
        <v>181872784</v>
      </c>
      <c r="AC561" t="n">
        <v>181872784</v>
      </c>
      <c r="AD561" t="n">
        <v>267034327</v>
      </c>
      <c r="AE561" t="n">
        <v>40.51</v>
      </c>
    </row>
    <row r="562">
      <c r="A562" t="inlineStr">
        <is>
          <t>3 - CONCEJO</t>
        </is>
      </c>
      <c r="B562" t="inlineStr">
        <is>
          <t>00 - SIN SECTOR</t>
        </is>
      </c>
      <c r="C562" t="inlineStr">
        <is>
          <t>00</t>
        </is>
      </c>
      <c r="D562" t="inlineStr">
        <is>
          <t>0000</t>
        </is>
      </c>
      <c r="E562" t="inlineStr">
        <is>
          <t>0000000</t>
        </is>
      </c>
      <c r="F562" t="inlineStr">
        <is>
          <t>SIN PRODUCTO</t>
        </is>
      </c>
      <c r="G562" t="inlineStr">
        <is>
          <t>00</t>
        </is>
      </c>
      <c r="H562" t="inlineStr">
        <is>
          <t>SIN CODIGO BPIN</t>
        </is>
      </c>
      <c r="I562" t="inlineStr">
        <is>
          <t>00</t>
        </is>
      </c>
      <c r="J562" t="inlineStr">
        <is>
          <t>SIN PRODUCTO DANE</t>
        </is>
      </c>
      <c r="K562" t="inlineStr">
        <is>
          <t>00</t>
        </is>
      </c>
      <c r="L562" t="inlineStr">
        <is>
          <t>SIN ATRIBUTO</t>
        </is>
      </c>
      <c r="N562" t="inlineStr">
        <is>
          <t>2.1.1.01.03.001</t>
        </is>
      </c>
      <c r="O562" t="inlineStr">
        <is>
          <t>Prestaciones sociales</t>
        </is>
      </c>
      <c r="P562" t="inlineStr">
        <is>
          <t>00</t>
        </is>
      </c>
      <c r="Q562" t="inlineStr">
        <is>
          <t>RECURSO PROPIOS</t>
        </is>
      </c>
      <c r="R562" t="n">
        <v>4436111</v>
      </c>
      <c r="S562" t="n">
        <v>0</v>
      </c>
      <c r="T562" t="n">
        <v>0</v>
      </c>
      <c r="U562" t="n">
        <v>0</v>
      </c>
      <c r="V562" t="n">
        <v>0</v>
      </c>
      <c r="W562" t="n">
        <v>0</v>
      </c>
      <c r="X562" t="n">
        <v>0</v>
      </c>
      <c r="Y562" t="n">
        <v>4436111</v>
      </c>
      <c r="Z562" t="n">
        <v>0</v>
      </c>
      <c r="AA562" t="n">
        <v>0</v>
      </c>
      <c r="AB562" t="n">
        <v>0</v>
      </c>
      <c r="AC562" t="n">
        <v>0</v>
      </c>
      <c r="AD562" t="n">
        <v>4436111</v>
      </c>
      <c r="AE562" t="n">
        <v>0</v>
      </c>
    </row>
    <row r="563">
      <c r="A563" t="inlineStr">
        <is>
          <t>3 - CONCEJO</t>
        </is>
      </c>
      <c r="B563" t="inlineStr">
        <is>
          <t>00 - SIN SECTOR</t>
        </is>
      </c>
      <c r="C563" t="inlineStr">
        <is>
          <t>00</t>
        </is>
      </c>
      <c r="D563" t="inlineStr">
        <is>
          <t>0000</t>
        </is>
      </c>
      <c r="E563" t="inlineStr">
        <is>
          <t>0000000</t>
        </is>
      </c>
      <c r="F563" t="inlineStr">
        <is>
          <t>SIN PRODUCTO</t>
        </is>
      </c>
      <c r="G563" t="inlineStr">
        <is>
          <t>00</t>
        </is>
      </c>
      <c r="H563" t="inlineStr">
        <is>
          <t>SIN CODIGO BPIN</t>
        </is>
      </c>
      <c r="I563" t="inlineStr">
        <is>
          <t>00</t>
        </is>
      </c>
      <c r="J563" t="inlineStr">
        <is>
          <t>SIN PRODUCTO DANE</t>
        </is>
      </c>
      <c r="K563" t="inlineStr">
        <is>
          <t>00</t>
        </is>
      </c>
      <c r="L563" t="inlineStr">
        <is>
          <t>SIN ATRIBUTO</t>
        </is>
      </c>
      <c r="N563" t="inlineStr">
        <is>
          <t>2.1.1.01.03.001.01</t>
        </is>
      </c>
      <c r="O563" t="inlineStr">
        <is>
          <t>Vacaciones</t>
        </is>
      </c>
      <c r="P563" t="inlineStr">
        <is>
          <t>1.2.1.0.00</t>
        </is>
      </c>
      <c r="Q563" t="inlineStr">
        <is>
          <t>INGRESOS CORRIENTES DE LIBRE DESTINACION</t>
        </is>
      </c>
      <c r="R563" t="n">
        <v>1706444</v>
      </c>
      <c r="S563" t="n">
        <v>0</v>
      </c>
      <c r="T563" t="n">
        <v>0</v>
      </c>
      <c r="U563" t="n">
        <v>0</v>
      </c>
      <c r="V563" t="n">
        <v>0</v>
      </c>
      <c r="W563" t="n">
        <v>0</v>
      </c>
      <c r="X563" t="n">
        <v>0</v>
      </c>
      <c r="Y563" t="n">
        <v>1706444</v>
      </c>
      <c r="Z563" t="n">
        <v>0</v>
      </c>
      <c r="AA563" t="n">
        <v>0</v>
      </c>
      <c r="AB563" t="n">
        <v>0</v>
      </c>
      <c r="AC563" t="n">
        <v>0</v>
      </c>
      <c r="AD563" t="n">
        <v>1706444</v>
      </c>
      <c r="AE563" t="n">
        <v>0</v>
      </c>
    </row>
    <row r="564">
      <c r="A564" t="inlineStr">
        <is>
          <t>3 - CONCEJO</t>
        </is>
      </c>
      <c r="B564" t="inlineStr">
        <is>
          <t>00 - SIN SECTOR</t>
        </is>
      </c>
      <c r="C564" t="inlineStr">
        <is>
          <t>00</t>
        </is>
      </c>
      <c r="D564" t="inlineStr">
        <is>
          <t>0000</t>
        </is>
      </c>
      <c r="E564" t="inlineStr">
        <is>
          <t>0000000</t>
        </is>
      </c>
      <c r="F564" t="inlineStr">
        <is>
          <t>SIN PRODUCTO</t>
        </is>
      </c>
      <c r="G564" t="inlineStr">
        <is>
          <t>00</t>
        </is>
      </c>
      <c r="H564" t="inlineStr">
        <is>
          <t>SIN CODIGO BPIN</t>
        </is>
      </c>
      <c r="I564" t="inlineStr">
        <is>
          <t>00</t>
        </is>
      </c>
      <c r="J564" t="inlineStr">
        <is>
          <t>SIN PRODUCTO DANE</t>
        </is>
      </c>
      <c r="K564" t="inlineStr">
        <is>
          <t>00</t>
        </is>
      </c>
      <c r="L564" t="inlineStr">
        <is>
          <t>SIN ATRIBUTO</t>
        </is>
      </c>
      <c r="N564" t="inlineStr">
        <is>
          <t>2.1.1.01.03.001.02</t>
        </is>
      </c>
      <c r="O564" t="inlineStr">
        <is>
          <t>Indemnizacion por vacaciones</t>
        </is>
      </c>
      <c r="P564" t="inlineStr">
        <is>
          <t>1.2.1.0.00</t>
        </is>
      </c>
      <c r="Q564" t="inlineStr">
        <is>
          <t>INGRESOS CORRIENTES DE LIBRE DESTINACION</t>
        </is>
      </c>
      <c r="R564" t="n">
        <v>2559667</v>
      </c>
      <c r="S564" t="n">
        <v>0</v>
      </c>
      <c r="T564" t="n">
        <v>0</v>
      </c>
      <c r="U564" t="n">
        <v>0</v>
      </c>
      <c r="V564" t="n">
        <v>0</v>
      </c>
      <c r="W564" t="n">
        <v>0</v>
      </c>
      <c r="X564" t="n">
        <v>0</v>
      </c>
      <c r="Y564" t="n">
        <v>2559667</v>
      </c>
      <c r="Z564" t="n">
        <v>0</v>
      </c>
      <c r="AA564" t="n">
        <v>0</v>
      </c>
      <c r="AB564" t="n">
        <v>0</v>
      </c>
      <c r="AC564" t="n">
        <v>0</v>
      </c>
      <c r="AD564" t="n">
        <v>2559667</v>
      </c>
      <c r="AE564" t="n">
        <v>0</v>
      </c>
    </row>
    <row r="565">
      <c r="A565" t="inlineStr">
        <is>
          <t>3 - CONCEJO</t>
        </is>
      </c>
      <c r="B565" t="inlineStr">
        <is>
          <t>00 - SIN SECTOR</t>
        </is>
      </c>
      <c r="C565" t="inlineStr">
        <is>
          <t>00</t>
        </is>
      </c>
      <c r="D565" t="inlineStr">
        <is>
          <t>0000</t>
        </is>
      </c>
      <c r="E565" t="inlineStr">
        <is>
          <t>0000000</t>
        </is>
      </c>
      <c r="F565" t="inlineStr">
        <is>
          <t>SIN PRODUCTO</t>
        </is>
      </c>
      <c r="G565" t="inlineStr">
        <is>
          <t>00</t>
        </is>
      </c>
      <c r="H565" t="inlineStr">
        <is>
          <t>SIN CODIGO BPIN</t>
        </is>
      </c>
      <c r="I565" t="inlineStr">
        <is>
          <t>00</t>
        </is>
      </c>
      <c r="J565" t="inlineStr">
        <is>
          <t>SIN PRODUCTO DANE</t>
        </is>
      </c>
      <c r="K565" t="inlineStr">
        <is>
          <t>00</t>
        </is>
      </c>
      <c r="L565" t="inlineStr">
        <is>
          <t>SIN ATRIBUTO</t>
        </is>
      </c>
      <c r="N565" t="inlineStr">
        <is>
          <t>2.1.1.01.03.001.03</t>
        </is>
      </c>
      <c r="O565" t="inlineStr">
        <is>
          <t>Bonificacion especial de recreacion</t>
        </is>
      </c>
      <c r="P565" t="inlineStr">
        <is>
          <t>1.2.1.0.00</t>
        </is>
      </c>
      <c r="Q565" t="inlineStr">
        <is>
          <t>INGRESOS CORRIENTES DE LIBRE DESTINACION</t>
        </is>
      </c>
      <c r="R565" t="n">
        <v>170000</v>
      </c>
      <c r="S565" t="n">
        <v>0</v>
      </c>
      <c r="T565" t="n">
        <v>0</v>
      </c>
      <c r="U565" t="n">
        <v>0</v>
      </c>
      <c r="V565" t="n">
        <v>0</v>
      </c>
      <c r="W565" t="n">
        <v>0</v>
      </c>
      <c r="X565" t="n">
        <v>0</v>
      </c>
      <c r="Y565" t="n">
        <v>170000</v>
      </c>
      <c r="Z565" t="n">
        <v>0</v>
      </c>
      <c r="AA565" t="n">
        <v>0</v>
      </c>
      <c r="AB565" t="n">
        <v>0</v>
      </c>
      <c r="AC565" t="n">
        <v>0</v>
      </c>
      <c r="AD565" t="n">
        <v>170000</v>
      </c>
      <c r="AE565" t="n">
        <v>0</v>
      </c>
    </row>
    <row r="566">
      <c r="A566" t="inlineStr">
        <is>
          <t>3 - CONCEJO</t>
        </is>
      </c>
      <c r="B566" t="inlineStr">
        <is>
          <t>00 - SIN SECTOR</t>
        </is>
      </c>
      <c r="C566" t="inlineStr">
        <is>
          <t>00</t>
        </is>
      </c>
      <c r="D566" t="inlineStr">
        <is>
          <t>0000</t>
        </is>
      </c>
      <c r="E566" t="inlineStr">
        <is>
          <t>0000000</t>
        </is>
      </c>
      <c r="F566" t="inlineStr">
        <is>
          <t>SIN PRODUCTO</t>
        </is>
      </c>
      <c r="G566" t="inlineStr">
        <is>
          <t>00</t>
        </is>
      </c>
      <c r="H566" t="inlineStr">
        <is>
          <t>SIN CODIGO BPIN</t>
        </is>
      </c>
      <c r="I566" t="inlineStr">
        <is>
          <t>00</t>
        </is>
      </c>
      <c r="J566" t="inlineStr">
        <is>
          <t>SIN PRODUCTO DANE</t>
        </is>
      </c>
      <c r="K566" t="inlineStr">
        <is>
          <t>00</t>
        </is>
      </c>
      <c r="L566" t="inlineStr">
        <is>
          <t>SIN ATRIBUTO</t>
        </is>
      </c>
      <c r="N566" t="inlineStr">
        <is>
          <t>2.1.1.01.03.006</t>
        </is>
      </c>
      <c r="O566" t="inlineStr">
        <is>
          <t>Honorarios concejales</t>
        </is>
      </c>
      <c r="P566" t="inlineStr">
        <is>
          <t>1.2.1.0.00</t>
        </is>
      </c>
      <c r="Q566" t="inlineStr">
        <is>
          <t>INGRESOS CORRIENTES DE LIBRE DESTINACION</t>
        </is>
      </c>
      <c r="R566" t="n">
        <v>444471000</v>
      </c>
      <c r="S566" t="n">
        <v>0</v>
      </c>
      <c r="T566" t="n">
        <v>0</v>
      </c>
      <c r="U566" t="n">
        <v>0</v>
      </c>
      <c r="V566" t="n">
        <v>0</v>
      </c>
      <c r="W566" t="n">
        <v>0</v>
      </c>
      <c r="X566" t="n">
        <v>0</v>
      </c>
      <c r="Y566" t="n">
        <v>444471000</v>
      </c>
      <c r="Z566" t="n">
        <v>181872784</v>
      </c>
      <c r="AA566" t="n">
        <v>181872784</v>
      </c>
      <c r="AB566" t="n">
        <v>181872784</v>
      </c>
      <c r="AC566" t="n">
        <v>181872784</v>
      </c>
      <c r="AD566" t="n">
        <v>262598216</v>
      </c>
      <c r="AE566" t="n">
        <v>40.92</v>
      </c>
    </row>
    <row r="567">
      <c r="A567" t="inlineStr">
        <is>
          <t>3 - CONCEJO</t>
        </is>
      </c>
      <c r="B567" t="inlineStr">
        <is>
          <t>00 - SIN SECTOR</t>
        </is>
      </c>
      <c r="C567" t="inlineStr">
        <is>
          <t>00</t>
        </is>
      </c>
      <c r="D567" t="inlineStr">
        <is>
          <t>0000</t>
        </is>
      </c>
      <c r="E567" t="inlineStr">
        <is>
          <t>0000000</t>
        </is>
      </c>
      <c r="F567" t="inlineStr">
        <is>
          <t>SIN PRODUCTO</t>
        </is>
      </c>
      <c r="G567" t="inlineStr">
        <is>
          <t>00</t>
        </is>
      </c>
      <c r="H567" t="inlineStr">
        <is>
          <t>SIN CODIGO BPIN</t>
        </is>
      </c>
      <c r="I567" t="inlineStr">
        <is>
          <t>00</t>
        </is>
      </c>
      <c r="J567" t="inlineStr">
        <is>
          <t>SIN PRODUCTO DANE</t>
        </is>
      </c>
      <c r="K567" t="inlineStr">
        <is>
          <t>00</t>
        </is>
      </c>
      <c r="L567" t="inlineStr">
        <is>
          <t>SIN ATRIBUTO</t>
        </is>
      </c>
      <c r="N567" t="inlineStr">
        <is>
          <t>2.1.2</t>
        </is>
      </c>
      <c r="O567" t="inlineStr">
        <is>
          <t>Adquisicion de bienes y servicios</t>
        </is>
      </c>
      <c r="P567" t="inlineStr">
        <is>
          <t>00</t>
        </is>
      </c>
      <c r="Q567" t="inlineStr">
        <is>
          <t>RECURSO PROPIOS</t>
        </is>
      </c>
      <c r="R567" t="n">
        <v>184800000</v>
      </c>
      <c r="S567" t="n">
        <v>0</v>
      </c>
      <c r="T567" t="n">
        <v>0</v>
      </c>
      <c r="U567" t="n">
        <v>55000000</v>
      </c>
      <c r="V567" t="n">
        <v>55000000</v>
      </c>
      <c r="W567" t="n">
        <v>0</v>
      </c>
      <c r="X567" t="n">
        <v>0</v>
      </c>
      <c r="Y567" t="n">
        <v>184800000</v>
      </c>
      <c r="Z567" t="n">
        <v>177821927</v>
      </c>
      <c r="AA567" t="n">
        <v>177821927</v>
      </c>
      <c r="AB567" t="n">
        <v>125021927</v>
      </c>
      <c r="AC567" t="n">
        <v>119863687</v>
      </c>
      <c r="AD567" t="n">
        <v>6978073</v>
      </c>
      <c r="AE567" t="n">
        <v>96.22</v>
      </c>
    </row>
    <row r="568">
      <c r="A568" t="inlineStr">
        <is>
          <t>3 - CONCEJO</t>
        </is>
      </c>
      <c r="B568" t="inlineStr">
        <is>
          <t>00 - SIN SECTOR</t>
        </is>
      </c>
      <c r="C568" t="inlineStr">
        <is>
          <t>00</t>
        </is>
      </c>
      <c r="D568" t="inlineStr">
        <is>
          <t>0000</t>
        </is>
      </c>
      <c r="E568" t="inlineStr">
        <is>
          <t>0000000</t>
        </is>
      </c>
      <c r="F568" t="inlineStr">
        <is>
          <t>SIN PRODUCTO</t>
        </is>
      </c>
      <c r="G568" t="inlineStr">
        <is>
          <t>00</t>
        </is>
      </c>
      <c r="H568" t="inlineStr">
        <is>
          <t>SIN CODIGO BPIN</t>
        </is>
      </c>
      <c r="I568" t="inlineStr">
        <is>
          <t>00</t>
        </is>
      </c>
      <c r="J568" t="inlineStr">
        <is>
          <t>SIN PRODUCTO DANE</t>
        </is>
      </c>
      <c r="K568" t="inlineStr">
        <is>
          <t>00</t>
        </is>
      </c>
      <c r="L568" t="inlineStr">
        <is>
          <t>SIN ATRIBUTO</t>
        </is>
      </c>
      <c r="N568" t="inlineStr">
        <is>
          <t>2.1.2.01</t>
        </is>
      </c>
      <c r="O568" t="inlineStr">
        <is>
          <t>Adquisicion de activos no financieros</t>
        </is>
      </c>
      <c r="P568" t="inlineStr">
        <is>
          <t>00</t>
        </is>
      </c>
      <c r="Q568" t="inlineStr">
        <is>
          <t>RECURSO PROPIOS</t>
        </is>
      </c>
      <c r="R568" t="n">
        <v>50000000</v>
      </c>
      <c r="S568" t="n">
        <v>0</v>
      </c>
      <c r="T568" t="n">
        <v>0</v>
      </c>
      <c r="U568" t="n">
        <v>0</v>
      </c>
      <c r="V568" t="n">
        <v>40000000</v>
      </c>
      <c r="W568" t="n">
        <v>0</v>
      </c>
      <c r="X568" t="n">
        <v>0</v>
      </c>
      <c r="Y568" t="n">
        <v>10000000</v>
      </c>
      <c r="Z568" t="n">
        <v>5000000</v>
      </c>
      <c r="AA568" t="n">
        <v>5000000</v>
      </c>
      <c r="AB568" t="n">
        <v>5000000</v>
      </c>
      <c r="AC568" t="n">
        <v>0</v>
      </c>
      <c r="AD568" t="n">
        <v>5000000</v>
      </c>
      <c r="AE568" t="n">
        <v>50</v>
      </c>
    </row>
    <row r="569">
      <c r="A569" t="inlineStr">
        <is>
          <t>3 - CONCEJO</t>
        </is>
      </c>
      <c r="B569" t="inlineStr">
        <is>
          <t>00 - SIN SECTOR</t>
        </is>
      </c>
      <c r="C569" t="inlineStr">
        <is>
          <t>00</t>
        </is>
      </c>
      <c r="D569" t="inlineStr">
        <is>
          <t>0000</t>
        </is>
      </c>
      <c r="E569" t="inlineStr">
        <is>
          <t>0000000</t>
        </is>
      </c>
      <c r="F569" t="inlineStr">
        <is>
          <t>SIN PRODUCTO</t>
        </is>
      </c>
      <c r="G569" t="inlineStr">
        <is>
          <t>00</t>
        </is>
      </c>
      <c r="H569" t="inlineStr">
        <is>
          <t>SIN CODIGO BPIN</t>
        </is>
      </c>
      <c r="I569" t="inlineStr">
        <is>
          <t>00</t>
        </is>
      </c>
      <c r="J569" t="inlineStr">
        <is>
          <t>SIN PRODUCTO DANE</t>
        </is>
      </c>
      <c r="K569" t="inlineStr">
        <is>
          <t>00</t>
        </is>
      </c>
      <c r="L569" t="inlineStr">
        <is>
          <t>SIN ATRIBUTO</t>
        </is>
      </c>
      <c r="N569" t="inlineStr">
        <is>
          <t>2.1.2.01.01</t>
        </is>
      </c>
      <c r="O569" t="inlineStr">
        <is>
          <t>Activos fijos</t>
        </is>
      </c>
      <c r="P569" t="inlineStr">
        <is>
          <t>00</t>
        </is>
      </c>
      <c r="Q569" t="inlineStr">
        <is>
          <t>RECURSO PROPIOS</t>
        </is>
      </c>
      <c r="R569" t="n">
        <v>50000000</v>
      </c>
      <c r="S569" t="n">
        <v>0</v>
      </c>
      <c r="T569" t="n">
        <v>0</v>
      </c>
      <c r="U569" t="n">
        <v>0</v>
      </c>
      <c r="V569" t="n">
        <v>40000000</v>
      </c>
      <c r="W569" t="n">
        <v>0</v>
      </c>
      <c r="X569" t="n">
        <v>0</v>
      </c>
      <c r="Y569" t="n">
        <v>10000000</v>
      </c>
      <c r="Z569" t="n">
        <v>5000000</v>
      </c>
      <c r="AA569" t="n">
        <v>5000000</v>
      </c>
      <c r="AB569" t="n">
        <v>5000000</v>
      </c>
      <c r="AC569" t="n">
        <v>0</v>
      </c>
      <c r="AD569" t="n">
        <v>5000000</v>
      </c>
      <c r="AE569" t="n">
        <v>50</v>
      </c>
    </row>
    <row r="570">
      <c r="A570" t="inlineStr">
        <is>
          <t>3 - CONCEJO</t>
        </is>
      </c>
      <c r="B570" t="inlineStr">
        <is>
          <t>00 - SIN SECTOR</t>
        </is>
      </c>
      <c r="C570" t="inlineStr">
        <is>
          <t>00</t>
        </is>
      </c>
      <c r="D570" t="inlineStr">
        <is>
          <t>0000</t>
        </is>
      </c>
      <c r="E570" t="inlineStr">
        <is>
          <t>0000000</t>
        </is>
      </c>
      <c r="F570" t="inlineStr">
        <is>
          <t>SIN PRODUCTO</t>
        </is>
      </c>
      <c r="G570" t="inlineStr">
        <is>
          <t>00</t>
        </is>
      </c>
      <c r="H570" t="inlineStr">
        <is>
          <t>SIN CODIGO BPIN</t>
        </is>
      </c>
      <c r="I570" t="inlineStr">
        <is>
          <t>00</t>
        </is>
      </c>
      <c r="J570" t="inlineStr">
        <is>
          <t>SIN PRODUCTO DANE</t>
        </is>
      </c>
      <c r="K570" t="inlineStr">
        <is>
          <t>00</t>
        </is>
      </c>
      <c r="L570" t="inlineStr">
        <is>
          <t>SIN ATRIBUTO</t>
        </is>
      </c>
      <c r="N570" t="inlineStr">
        <is>
          <t>2.1.2.01.01.003</t>
        </is>
      </c>
      <c r="O570" t="inlineStr">
        <is>
          <t>Maquinaria y equipo</t>
        </is>
      </c>
      <c r="P570" t="inlineStr">
        <is>
          <t>00</t>
        </is>
      </c>
      <c r="Q570" t="inlineStr">
        <is>
          <t>RECURSO PROPIOS</t>
        </is>
      </c>
      <c r="R570" t="n">
        <v>30000000</v>
      </c>
      <c r="S570" t="n">
        <v>0</v>
      </c>
      <c r="T570" t="n">
        <v>0</v>
      </c>
      <c r="U570" t="n">
        <v>0</v>
      </c>
      <c r="V570" t="n">
        <v>25000000</v>
      </c>
      <c r="W570" t="n">
        <v>0</v>
      </c>
      <c r="X570" t="n">
        <v>0</v>
      </c>
      <c r="Y570" t="n">
        <v>5000000</v>
      </c>
      <c r="Z570" t="n">
        <v>5000000</v>
      </c>
      <c r="AA570" t="n">
        <v>5000000</v>
      </c>
      <c r="AB570" t="n">
        <v>5000000</v>
      </c>
      <c r="AC570" t="n">
        <v>0</v>
      </c>
      <c r="AD570" t="n">
        <v>0</v>
      </c>
      <c r="AE570" t="n">
        <v>100</v>
      </c>
    </row>
    <row r="571">
      <c r="A571" t="inlineStr">
        <is>
          <t>3 - CONCEJO</t>
        </is>
      </c>
      <c r="B571" t="inlineStr">
        <is>
          <t>00 - SIN SECTOR</t>
        </is>
      </c>
      <c r="C571" t="inlineStr">
        <is>
          <t>00</t>
        </is>
      </c>
      <c r="D571" t="inlineStr">
        <is>
          <t>0000</t>
        </is>
      </c>
      <c r="E571" t="inlineStr">
        <is>
          <t>0000000</t>
        </is>
      </c>
      <c r="F571" t="inlineStr">
        <is>
          <t>SIN PRODUCTO</t>
        </is>
      </c>
      <c r="G571" t="inlineStr">
        <is>
          <t>00</t>
        </is>
      </c>
      <c r="H571" t="inlineStr">
        <is>
          <t>SIN CODIGO BPIN</t>
        </is>
      </c>
      <c r="I571" t="inlineStr">
        <is>
          <t>00</t>
        </is>
      </c>
      <c r="J571" t="inlineStr">
        <is>
          <t>SIN PRODUCTO DANE</t>
        </is>
      </c>
      <c r="K571" t="inlineStr">
        <is>
          <t>00</t>
        </is>
      </c>
      <c r="L571" t="inlineStr">
        <is>
          <t>SIN ATRIBUTO</t>
        </is>
      </c>
      <c r="N571" t="inlineStr">
        <is>
          <t>2.1.2.01.01.003.03</t>
        </is>
      </c>
      <c r="O571" t="inlineStr">
        <is>
          <t>Maquinaria de oficina, contabilidad e informatica</t>
        </is>
      </c>
      <c r="P571" t="inlineStr">
        <is>
          <t>00</t>
        </is>
      </c>
      <c r="Q571" t="inlineStr">
        <is>
          <t>RECURSO PROPIOS</t>
        </is>
      </c>
      <c r="R571" t="n">
        <v>20000000</v>
      </c>
      <c r="S571" t="n">
        <v>0</v>
      </c>
      <c r="T571" t="n">
        <v>0</v>
      </c>
      <c r="U571" t="n">
        <v>0</v>
      </c>
      <c r="V571" t="n">
        <v>15000000</v>
      </c>
      <c r="W571" t="n">
        <v>0</v>
      </c>
      <c r="X571" t="n">
        <v>0</v>
      </c>
      <c r="Y571" t="n">
        <v>5000000</v>
      </c>
      <c r="Z571" t="n">
        <v>5000000</v>
      </c>
      <c r="AA571" t="n">
        <v>5000000</v>
      </c>
      <c r="AB571" t="n">
        <v>5000000</v>
      </c>
      <c r="AC571" t="n">
        <v>0</v>
      </c>
      <c r="AD571" t="n">
        <v>0</v>
      </c>
      <c r="AE571" t="n">
        <v>100</v>
      </c>
    </row>
    <row r="572">
      <c r="A572" t="inlineStr">
        <is>
          <t>3 - CONCEJO</t>
        </is>
      </c>
      <c r="B572" t="inlineStr">
        <is>
          <t>00 - SIN SECTOR</t>
        </is>
      </c>
      <c r="C572" t="inlineStr">
        <is>
          <t>00</t>
        </is>
      </c>
      <c r="D572" t="inlineStr">
        <is>
          <t>0000</t>
        </is>
      </c>
      <c r="E572" t="inlineStr">
        <is>
          <t>0000000</t>
        </is>
      </c>
      <c r="F572" t="inlineStr">
        <is>
          <t>SIN PRODUCTO</t>
        </is>
      </c>
      <c r="G572" t="inlineStr">
        <is>
          <t>00</t>
        </is>
      </c>
      <c r="H572" t="inlineStr">
        <is>
          <t>SIN CODIGO BPIN</t>
        </is>
      </c>
      <c r="I572" t="inlineStr">
        <is>
          <t>00</t>
        </is>
      </c>
      <c r="J572" t="inlineStr">
        <is>
          <t>SIN PRODUCTO DANE</t>
        </is>
      </c>
      <c r="K572" t="inlineStr">
        <is>
          <t>00</t>
        </is>
      </c>
      <c r="L572" t="inlineStr">
        <is>
          <t>SIN ATRIBUTO</t>
        </is>
      </c>
      <c r="N572" t="inlineStr">
        <is>
          <t>2.1.2.01.01.003.03.02</t>
        </is>
      </c>
      <c r="O572" t="inlineStr">
        <is>
          <t>Maquinaria de informatica y sus partes, piezas y accesorios</t>
        </is>
      </c>
      <c r="P572" t="inlineStr">
        <is>
          <t>1.2.1.0.00</t>
        </is>
      </c>
      <c r="Q572" t="inlineStr">
        <is>
          <t>INGRESOS CORRIENTES DE LIBRE DESTINACION</t>
        </is>
      </c>
      <c r="R572" t="n">
        <v>20000000</v>
      </c>
      <c r="S572" t="n">
        <v>0</v>
      </c>
      <c r="T572" t="n">
        <v>0</v>
      </c>
      <c r="U572" t="n">
        <v>0</v>
      </c>
      <c r="V572" t="n">
        <v>15000000</v>
      </c>
      <c r="W572" t="n">
        <v>0</v>
      </c>
      <c r="X572" t="n">
        <v>0</v>
      </c>
      <c r="Y572" t="n">
        <v>5000000</v>
      </c>
      <c r="Z572" t="n">
        <v>5000000</v>
      </c>
      <c r="AA572" t="n">
        <v>5000000</v>
      </c>
      <c r="AB572" t="n">
        <v>5000000</v>
      </c>
      <c r="AC572" t="n">
        <v>0</v>
      </c>
      <c r="AD572" t="n">
        <v>0</v>
      </c>
      <c r="AE572" t="n">
        <v>100</v>
      </c>
    </row>
    <row r="573">
      <c r="A573" t="inlineStr">
        <is>
          <t>3 - CONCEJO</t>
        </is>
      </c>
      <c r="B573" t="inlineStr">
        <is>
          <t>00 - SIN SECTOR</t>
        </is>
      </c>
      <c r="C573" t="inlineStr">
        <is>
          <t>00</t>
        </is>
      </c>
      <c r="D573" t="inlineStr">
        <is>
          <t>0000</t>
        </is>
      </c>
      <c r="E573" t="inlineStr">
        <is>
          <t>0000000</t>
        </is>
      </c>
      <c r="F573" t="inlineStr">
        <is>
          <t>SIN PRODUCTO</t>
        </is>
      </c>
      <c r="G573" t="inlineStr">
        <is>
          <t>00</t>
        </is>
      </c>
      <c r="H573" t="inlineStr">
        <is>
          <t>SIN CODIGO BPIN</t>
        </is>
      </c>
      <c r="I573" t="inlineStr">
        <is>
          <t>00</t>
        </is>
      </c>
      <c r="J573" t="inlineStr">
        <is>
          <t>SIN PRODUCTO DANE</t>
        </is>
      </c>
      <c r="K573" t="inlineStr">
        <is>
          <t>00</t>
        </is>
      </c>
      <c r="L573" t="inlineStr">
        <is>
          <t>SIN ATRIBUTO</t>
        </is>
      </c>
      <c r="N573" t="inlineStr">
        <is>
          <t>2.1.2.01.01.003.05</t>
        </is>
      </c>
      <c r="O573" t="inlineStr">
        <is>
          <t>Equipo y aparatos de radio, television y comunicaciones</t>
        </is>
      </c>
      <c r="P573" t="inlineStr">
        <is>
          <t>00</t>
        </is>
      </c>
      <c r="Q573" t="inlineStr">
        <is>
          <t>RECURSO PROPIOS</t>
        </is>
      </c>
      <c r="R573" t="n">
        <v>10000000</v>
      </c>
      <c r="S573" t="n">
        <v>0</v>
      </c>
      <c r="T573" t="n">
        <v>0</v>
      </c>
      <c r="U573" t="n">
        <v>0</v>
      </c>
      <c r="V573" t="n">
        <v>10000000</v>
      </c>
      <c r="W573" t="n">
        <v>0</v>
      </c>
      <c r="X573" t="n">
        <v>0</v>
      </c>
      <c r="Y573" t="n">
        <v>0</v>
      </c>
      <c r="Z573" t="n">
        <v>0</v>
      </c>
      <c r="AA573" t="n">
        <v>0</v>
      </c>
      <c r="AB573" t="n">
        <v>0</v>
      </c>
      <c r="AC573" t="n">
        <v>0</v>
      </c>
      <c r="AD573" t="n">
        <v>0</v>
      </c>
      <c r="AE573" t="n">
        <v>0</v>
      </c>
    </row>
    <row r="574">
      <c r="A574" t="inlineStr">
        <is>
          <t>3 - CONCEJO</t>
        </is>
      </c>
      <c r="B574" t="inlineStr">
        <is>
          <t>00 - SIN SECTOR</t>
        </is>
      </c>
      <c r="C574" t="inlineStr">
        <is>
          <t>00</t>
        </is>
      </c>
      <c r="D574" t="inlineStr">
        <is>
          <t>0000</t>
        </is>
      </c>
      <c r="E574" t="inlineStr">
        <is>
          <t>0000000</t>
        </is>
      </c>
      <c r="F574" t="inlineStr">
        <is>
          <t>SIN PRODUCTO</t>
        </is>
      </c>
      <c r="G574" t="inlineStr">
        <is>
          <t>00</t>
        </is>
      </c>
      <c r="H574" t="inlineStr">
        <is>
          <t>SIN CODIGO BPIN</t>
        </is>
      </c>
      <c r="I574" t="inlineStr">
        <is>
          <t>00</t>
        </is>
      </c>
      <c r="J574" t="inlineStr">
        <is>
          <t>SIN PRODUCTO DANE</t>
        </is>
      </c>
      <c r="K574" t="inlineStr">
        <is>
          <t>00</t>
        </is>
      </c>
      <c r="L574" t="inlineStr">
        <is>
          <t>SIN ATRIBUTO</t>
        </is>
      </c>
      <c r="N574" t="inlineStr">
        <is>
          <t>2.1.2.01.01.003.05.02</t>
        </is>
      </c>
      <c r="O574" t="inlineStr">
        <is>
          <t>Aparatos transmisores de television y radio, television, video y camaras digitales, telefonos</t>
        </is>
      </c>
      <c r="P574" t="inlineStr">
        <is>
          <t>1.2.1.0.00</t>
        </is>
      </c>
      <c r="Q574" t="inlineStr">
        <is>
          <t>INGRESOS CORRIENTES DE LIBRE DESTINACION</t>
        </is>
      </c>
      <c r="R574" t="n">
        <v>10000000</v>
      </c>
      <c r="S574" t="n">
        <v>0</v>
      </c>
      <c r="T574" t="n">
        <v>0</v>
      </c>
      <c r="U574" t="n">
        <v>0</v>
      </c>
      <c r="V574" t="n">
        <v>10000000</v>
      </c>
      <c r="W574" t="n">
        <v>0</v>
      </c>
      <c r="X574" t="n">
        <v>0</v>
      </c>
      <c r="Y574" t="n">
        <v>0</v>
      </c>
      <c r="Z574" t="n">
        <v>0</v>
      </c>
      <c r="AA574" t="n">
        <v>0</v>
      </c>
      <c r="AB574" t="n">
        <v>0</v>
      </c>
      <c r="AC574" t="n">
        <v>0</v>
      </c>
      <c r="AD574" t="n">
        <v>0</v>
      </c>
      <c r="AE574" t="n">
        <v>0</v>
      </c>
    </row>
    <row r="575">
      <c r="A575" t="inlineStr">
        <is>
          <t>3 - CONCEJO</t>
        </is>
      </c>
      <c r="B575" t="inlineStr">
        <is>
          <t>00 - SIN SECTOR</t>
        </is>
      </c>
      <c r="C575" t="inlineStr">
        <is>
          <t>00</t>
        </is>
      </c>
      <c r="D575" t="inlineStr">
        <is>
          <t>0000</t>
        </is>
      </c>
      <c r="E575" t="inlineStr">
        <is>
          <t>0000000</t>
        </is>
      </c>
      <c r="F575" t="inlineStr">
        <is>
          <t>SIN PRODUCTO</t>
        </is>
      </c>
      <c r="G575" t="inlineStr">
        <is>
          <t>00</t>
        </is>
      </c>
      <c r="H575" t="inlineStr">
        <is>
          <t>SIN CODIGO BPIN</t>
        </is>
      </c>
      <c r="I575" t="inlineStr">
        <is>
          <t>00</t>
        </is>
      </c>
      <c r="J575" t="inlineStr">
        <is>
          <t>SIN PRODUCTO DANE</t>
        </is>
      </c>
      <c r="K575" t="inlineStr">
        <is>
          <t>00</t>
        </is>
      </c>
      <c r="L575" t="inlineStr">
        <is>
          <t>SIN ATRIBUTO</t>
        </is>
      </c>
      <c r="N575" t="inlineStr">
        <is>
          <t>2.1.2.01.01.004</t>
        </is>
      </c>
      <c r="O575" t="inlineStr">
        <is>
          <t>Activos fijos no clasificados como maquinaria y equipo</t>
        </is>
      </c>
      <c r="P575" t="inlineStr">
        <is>
          <t>00</t>
        </is>
      </c>
      <c r="Q575" t="inlineStr">
        <is>
          <t>RECURSO PROPIOS</t>
        </is>
      </c>
      <c r="R575" t="n">
        <v>20000000</v>
      </c>
      <c r="S575" t="n">
        <v>0</v>
      </c>
      <c r="T575" t="n">
        <v>0</v>
      </c>
      <c r="U575" t="n">
        <v>0</v>
      </c>
      <c r="V575" t="n">
        <v>15000000</v>
      </c>
      <c r="W575" t="n">
        <v>0</v>
      </c>
      <c r="X575" t="n">
        <v>0</v>
      </c>
      <c r="Y575" t="n">
        <v>5000000</v>
      </c>
      <c r="Z575" t="n">
        <v>0</v>
      </c>
      <c r="AA575" t="n">
        <v>0</v>
      </c>
      <c r="AB575" t="n">
        <v>0</v>
      </c>
      <c r="AC575" t="n">
        <v>0</v>
      </c>
      <c r="AD575" t="n">
        <v>5000000</v>
      </c>
      <c r="AE575" t="n">
        <v>0</v>
      </c>
    </row>
    <row r="576">
      <c r="A576" t="inlineStr">
        <is>
          <t>3 - CONCEJO</t>
        </is>
      </c>
      <c r="B576" t="inlineStr">
        <is>
          <t>00 - SIN SECTOR</t>
        </is>
      </c>
      <c r="C576" t="inlineStr">
        <is>
          <t>00</t>
        </is>
      </c>
      <c r="D576" t="inlineStr">
        <is>
          <t>0000</t>
        </is>
      </c>
      <c r="E576" t="inlineStr">
        <is>
          <t>0000000</t>
        </is>
      </c>
      <c r="F576" t="inlineStr">
        <is>
          <t>SIN PRODUCTO</t>
        </is>
      </c>
      <c r="G576" t="inlineStr">
        <is>
          <t>00</t>
        </is>
      </c>
      <c r="H576" t="inlineStr">
        <is>
          <t>SIN CODIGO BPIN</t>
        </is>
      </c>
      <c r="I576" t="inlineStr">
        <is>
          <t>00</t>
        </is>
      </c>
      <c r="J576" t="inlineStr">
        <is>
          <t>SIN PRODUCTO DANE</t>
        </is>
      </c>
      <c r="K576" t="inlineStr">
        <is>
          <t>00</t>
        </is>
      </c>
      <c r="L576" t="inlineStr">
        <is>
          <t>SIN ATRIBUTO</t>
        </is>
      </c>
      <c r="N576" t="inlineStr">
        <is>
          <t>2.1.2.01.01.004.01</t>
        </is>
      </c>
      <c r="O576" t="inlineStr">
        <is>
          <t>Muebles, instrumentos musicales, articulos de deporte y antigãœedades</t>
        </is>
      </c>
      <c r="P576" t="inlineStr">
        <is>
          <t>00</t>
        </is>
      </c>
      <c r="Q576" t="inlineStr">
        <is>
          <t>RECURSO PROPIOS</t>
        </is>
      </c>
      <c r="R576" t="n">
        <v>20000000</v>
      </c>
      <c r="S576" t="n">
        <v>0</v>
      </c>
      <c r="T576" t="n">
        <v>0</v>
      </c>
      <c r="U576" t="n">
        <v>0</v>
      </c>
      <c r="V576" t="n">
        <v>15000000</v>
      </c>
      <c r="W576" t="n">
        <v>0</v>
      </c>
      <c r="X576" t="n">
        <v>0</v>
      </c>
      <c r="Y576" t="n">
        <v>5000000</v>
      </c>
      <c r="Z576" t="n">
        <v>0</v>
      </c>
      <c r="AA576" t="n">
        <v>0</v>
      </c>
      <c r="AB576" t="n">
        <v>0</v>
      </c>
      <c r="AC576" t="n">
        <v>0</v>
      </c>
      <c r="AD576" t="n">
        <v>5000000</v>
      </c>
      <c r="AE576" t="n">
        <v>0</v>
      </c>
    </row>
    <row r="577">
      <c r="A577" t="inlineStr">
        <is>
          <t>3 - CONCEJO</t>
        </is>
      </c>
      <c r="B577" t="inlineStr">
        <is>
          <t>00 - SIN SECTOR</t>
        </is>
      </c>
      <c r="C577" t="inlineStr">
        <is>
          <t>00</t>
        </is>
      </c>
      <c r="D577" t="inlineStr">
        <is>
          <t>0000</t>
        </is>
      </c>
      <c r="E577" t="inlineStr">
        <is>
          <t>0000000</t>
        </is>
      </c>
      <c r="F577" t="inlineStr">
        <is>
          <t>SIN PRODUCTO</t>
        </is>
      </c>
      <c r="G577" t="inlineStr">
        <is>
          <t>00</t>
        </is>
      </c>
      <c r="H577" t="inlineStr">
        <is>
          <t>SIN CODIGO BPIN</t>
        </is>
      </c>
      <c r="I577" t="inlineStr">
        <is>
          <t>00</t>
        </is>
      </c>
      <c r="J577" t="inlineStr">
        <is>
          <t>SIN PRODUCTO DANE</t>
        </is>
      </c>
      <c r="K577" t="inlineStr">
        <is>
          <t>00</t>
        </is>
      </c>
      <c r="L577" t="inlineStr">
        <is>
          <t>SIN ATRIBUTO</t>
        </is>
      </c>
      <c r="N577" t="inlineStr">
        <is>
          <t>2.1.2.01.01.004.01.01</t>
        </is>
      </c>
      <c r="O577" t="inlineStr">
        <is>
          <t>Muebles</t>
        </is>
      </c>
      <c r="P577" t="inlineStr">
        <is>
          <t>00</t>
        </is>
      </c>
      <c r="Q577" t="inlineStr">
        <is>
          <t>RECURSO PROPIOS</t>
        </is>
      </c>
      <c r="R577" t="n">
        <v>20000000</v>
      </c>
      <c r="S577" t="n">
        <v>0</v>
      </c>
      <c r="T577" t="n">
        <v>0</v>
      </c>
      <c r="U577" t="n">
        <v>0</v>
      </c>
      <c r="V577" t="n">
        <v>15000000</v>
      </c>
      <c r="W577" t="n">
        <v>0</v>
      </c>
      <c r="X577" t="n">
        <v>0</v>
      </c>
      <c r="Y577" t="n">
        <v>5000000</v>
      </c>
      <c r="Z577" t="n">
        <v>0</v>
      </c>
      <c r="AA577" t="n">
        <v>0</v>
      </c>
      <c r="AB577" t="n">
        <v>0</v>
      </c>
      <c r="AC577" t="n">
        <v>0</v>
      </c>
      <c r="AD577" t="n">
        <v>5000000</v>
      </c>
      <c r="AE577" t="n">
        <v>0</v>
      </c>
    </row>
    <row r="578">
      <c r="A578" t="inlineStr">
        <is>
          <t>3 - CONCEJO</t>
        </is>
      </c>
      <c r="B578" t="inlineStr">
        <is>
          <t>00 - SIN SECTOR</t>
        </is>
      </c>
      <c r="C578" t="inlineStr">
        <is>
          <t>00</t>
        </is>
      </c>
      <c r="D578" t="inlineStr">
        <is>
          <t>0000</t>
        </is>
      </c>
      <c r="E578" t="inlineStr">
        <is>
          <t>0000000</t>
        </is>
      </c>
      <c r="F578" t="inlineStr">
        <is>
          <t>SIN PRODUCTO</t>
        </is>
      </c>
      <c r="G578" t="inlineStr">
        <is>
          <t>00</t>
        </is>
      </c>
      <c r="H578" t="inlineStr">
        <is>
          <t>SIN CODIGO BPIN</t>
        </is>
      </c>
      <c r="I578" t="inlineStr">
        <is>
          <t>00</t>
        </is>
      </c>
      <c r="J578" t="inlineStr">
        <is>
          <t>SIN PRODUCTO DANE</t>
        </is>
      </c>
      <c r="K578" t="inlineStr">
        <is>
          <t>00</t>
        </is>
      </c>
      <c r="L578" t="inlineStr">
        <is>
          <t>SIN ATRIBUTO</t>
        </is>
      </c>
      <c r="N578" t="inlineStr">
        <is>
          <t>2.1.2.01.01.004.01.01.02</t>
        </is>
      </c>
      <c r="O578" t="inlineStr">
        <is>
          <t>Muebles del tipo utilizado en la oficina</t>
        </is>
      </c>
      <c r="P578" t="inlineStr">
        <is>
          <t>1.2.1.0.00</t>
        </is>
      </c>
      <c r="Q578" t="inlineStr">
        <is>
          <t>INGRESOS CORRIENTES DE LIBRE DESTINACION</t>
        </is>
      </c>
      <c r="R578" t="n">
        <v>10000000</v>
      </c>
      <c r="S578" t="n">
        <v>0</v>
      </c>
      <c r="T578" t="n">
        <v>0</v>
      </c>
      <c r="U578" t="n">
        <v>0</v>
      </c>
      <c r="V578" t="n">
        <v>5000000</v>
      </c>
      <c r="W578" t="n">
        <v>0</v>
      </c>
      <c r="X578" t="n">
        <v>0</v>
      </c>
      <c r="Y578" t="n">
        <v>5000000</v>
      </c>
      <c r="Z578" t="n">
        <v>0</v>
      </c>
      <c r="AA578" t="n">
        <v>0</v>
      </c>
      <c r="AB578" t="n">
        <v>0</v>
      </c>
      <c r="AC578" t="n">
        <v>0</v>
      </c>
      <c r="AD578" t="n">
        <v>5000000</v>
      </c>
      <c r="AE578" t="n">
        <v>0</v>
      </c>
    </row>
    <row r="579">
      <c r="A579" t="inlineStr">
        <is>
          <t>3 - CONCEJO</t>
        </is>
      </c>
      <c r="B579" t="inlineStr">
        <is>
          <t>00 - SIN SECTOR</t>
        </is>
      </c>
      <c r="C579" t="inlineStr">
        <is>
          <t>00</t>
        </is>
      </c>
      <c r="D579" t="inlineStr">
        <is>
          <t>0000</t>
        </is>
      </c>
      <c r="E579" t="inlineStr">
        <is>
          <t>0000000</t>
        </is>
      </c>
      <c r="F579" t="inlineStr">
        <is>
          <t>SIN PRODUCTO</t>
        </is>
      </c>
      <c r="G579" t="inlineStr">
        <is>
          <t>00</t>
        </is>
      </c>
      <c r="H579" t="inlineStr">
        <is>
          <t>SIN CODIGO BPIN</t>
        </is>
      </c>
      <c r="I579" t="inlineStr">
        <is>
          <t>00</t>
        </is>
      </c>
      <c r="J579" t="inlineStr">
        <is>
          <t>SIN PRODUCTO DANE</t>
        </is>
      </c>
      <c r="K579" t="inlineStr">
        <is>
          <t>00</t>
        </is>
      </c>
      <c r="L579" t="inlineStr">
        <is>
          <t>SIN ATRIBUTO</t>
        </is>
      </c>
      <c r="N579" t="inlineStr">
        <is>
          <t>2.1.2.01.01.004.01.01.03</t>
        </is>
      </c>
      <c r="O579" t="inlineStr">
        <is>
          <t>Muebles de madera, del tipo usado en la cocina</t>
        </is>
      </c>
      <c r="P579" t="inlineStr">
        <is>
          <t>1.2.1.0.00</t>
        </is>
      </c>
      <c r="Q579" t="inlineStr">
        <is>
          <t>INGRESOS CORRIENTES DE LIBRE DESTINACION</t>
        </is>
      </c>
      <c r="R579" t="n">
        <v>10000000</v>
      </c>
      <c r="S579" t="n">
        <v>0</v>
      </c>
      <c r="T579" t="n">
        <v>0</v>
      </c>
      <c r="U579" t="n">
        <v>0</v>
      </c>
      <c r="V579" t="n">
        <v>10000000</v>
      </c>
      <c r="W579" t="n">
        <v>0</v>
      </c>
      <c r="X579" t="n">
        <v>0</v>
      </c>
      <c r="Y579" t="n">
        <v>0</v>
      </c>
      <c r="Z579" t="n">
        <v>0</v>
      </c>
      <c r="AA579" t="n">
        <v>0</v>
      </c>
      <c r="AB579" t="n">
        <v>0</v>
      </c>
      <c r="AC579" t="n">
        <v>0</v>
      </c>
      <c r="AD579" t="n">
        <v>0</v>
      </c>
      <c r="AE579" t="n">
        <v>0</v>
      </c>
    </row>
    <row r="580">
      <c r="A580" t="inlineStr">
        <is>
          <t>3 - CONCEJO</t>
        </is>
      </c>
      <c r="B580" t="inlineStr">
        <is>
          <t>00 - SIN SECTOR</t>
        </is>
      </c>
      <c r="C580" t="inlineStr">
        <is>
          <t>00</t>
        </is>
      </c>
      <c r="D580" t="inlineStr">
        <is>
          <t>0000</t>
        </is>
      </c>
      <c r="E580" t="inlineStr">
        <is>
          <t>0000000</t>
        </is>
      </c>
      <c r="F580" t="inlineStr">
        <is>
          <t>SIN PRODUCTO</t>
        </is>
      </c>
      <c r="G580" t="inlineStr">
        <is>
          <t>00</t>
        </is>
      </c>
      <c r="H580" t="inlineStr">
        <is>
          <t>SIN CODIGO BPIN</t>
        </is>
      </c>
      <c r="I580" t="inlineStr">
        <is>
          <t>00</t>
        </is>
      </c>
      <c r="J580" t="inlineStr">
        <is>
          <t>SIN PRODUCTO DANE</t>
        </is>
      </c>
      <c r="K580" t="inlineStr">
        <is>
          <t>00</t>
        </is>
      </c>
      <c r="L580" t="inlineStr">
        <is>
          <t>SIN ATRIBUTO</t>
        </is>
      </c>
      <c r="N580" t="inlineStr">
        <is>
          <t>2.1.2.02</t>
        </is>
      </c>
      <c r="O580" t="inlineStr">
        <is>
          <t>Adquisiciones diferentes de activos</t>
        </is>
      </c>
      <c r="P580" t="inlineStr">
        <is>
          <t>00</t>
        </is>
      </c>
      <c r="Q580" t="inlineStr">
        <is>
          <t>RECURSO PROPIOS</t>
        </is>
      </c>
      <c r="R580" t="n">
        <v>134800000</v>
      </c>
      <c r="S580" t="n">
        <v>0</v>
      </c>
      <c r="T580" t="n">
        <v>0</v>
      </c>
      <c r="U580" t="n">
        <v>55000000</v>
      </c>
      <c r="V580" t="n">
        <v>15000000</v>
      </c>
      <c r="W580" t="n">
        <v>0</v>
      </c>
      <c r="X580" t="n">
        <v>0</v>
      </c>
      <c r="Y580" t="n">
        <v>174800000</v>
      </c>
      <c r="Z580" t="n">
        <v>172821927</v>
      </c>
      <c r="AA580" t="n">
        <v>172821927</v>
      </c>
      <c r="AB580" t="n">
        <v>120021927</v>
      </c>
      <c r="AC580" t="n">
        <v>119863687</v>
      </c>
      <c r="AD580" t="n">
        <v>1978073</v>
      </c>
      <c r="AE580" t="n">
        <v>98.87</v>
      </c>
    </row>
    <row r="581">
      <c r="A581" t="inlineStr">
        <is>
          <t>3 - CONCEJO</t>
        </is>
      </c>
      <c r="B581" t="inlineStr">
        <is>
          <t>00 - SIN SECTOR</t>
        </is>
      </c>
      <c r="C581" t="inlineStr">
        <is>
          <t>00</t>
        </is>
      </c>
      <c r="D581" t="inlineStr">
        <is>
          <t>0000</t>
        </is>
      </c>
      <c r="E581" t="inlineStr">
        <is>
          <t>0000000</t>
        </is>
      </c>
      <c r="F581" t="inlineStr">
        <is>
          <t>SIN PRODUCTO</t>
        </is>
      </c>
      <c r="G581" t="inlineStr">
        <is>
          <t>00</t>
        </is>
      </c>
      <c r="H581" t="inlineStr">
        <is>
          <t>SIN CODIGO BPIN</t>
        </is>
      </c>
      <c r="I581" t="inlineStr">
        <is>
          <t>00</t>
        </is>
      </c>
      <c r="J581" t="inlineStr">
        <is>
          <t>SIN PRODUCTO DANE</t>
        </is>
      </c>
      <c r="K581" t="inlineStr">
        <is>
          <t>00</t>
        </is>
      </c>
      <c r="L581" t="inlineStr">
        <is>
          <t>SIN ATRIBUTO</t>
        </is>
      </c>
      <c r="N581" t="inlineStr">
        <is>
          <t>2.1.2.02.01</t>
        </is>
      </c>
      <c r="O581" t="inlineStr">
        <is>
          <t>Materiales y suministros</t>
        </is>
      </c>
      <c r="P581" t="inlineStr">
        <is>
          <t>00</t>
        </is>
      </c>
      <c r="Q581" t="inlineStr">
        <is>
          <t>RECURSO PROPIOS</t>
        </is>
      </c>
      <c r="R581" t="n">
        <v>4000000</v>
      </c>
      <c r="S581" t="n">
        <v>0</v>
      </c>
      <c r="T581" t="n">
        <v>0</v>
      </c>
      <c r="U581" t="n">
        <v>0</v>
      </c>
      <c r="V581" t="n">
        <v>0</v>
      </c>
      <c r="W581" t="n">
        <v>0</v>
      </c>
      <c r="X581" t="n">
        <v>0</v>
      </c>
      <c r="Y581" t="n">
        <v>4000000</v>
      </c>
      <c r="Z581" t="n">
        <v>4000000</v>
      </c>
      <c r="AA581" t="n">
        <v>4000000</v>
      </c>
      <c r="AB581" t="n">
        <v>4000000</v>
      </c>
      <c r="AC581" t="n">
        <v>4000000</v>
      </c>
      <c r="AD581" t="n">
        <v>0</v>
      </c>
      <c r="AE581" t="n">
        <v>100</v>
      </c>
    </row>
    <row r="582">
      <c r="A582" t="inlineStr">
        <is>
          <t>3 - CONCEJO</t>
        </is>
      </c>
      <c r="B582" t="inlineStr">
        <is>
          <t>00 - SIN SECTOR</t>
        </is>
      </c>
      <c r="C582" t="inlineStr">
        <is>
          <t>00</t>
        </is>
      </c>
      <c r="D582" t="inlineStr">
        <is>
          <t>0000</t>
        </is>
      </c>
      <c r="E582" t="inlineStr">
        <is>
          <t>0000000</t>
        </is>
      </c>
      <c r="F582" t="inlineStr">
        <is>
          <t>SIN PRODUCTO</t>
        </is>
      </c>
      <c r="G582" t="inlineStr">
        <is>
          <t>00</t>
        </is>
      </c>
      <c r="H582" t="inlineStr">
        <is>
          <t>SIN CODIGO BPIN</t>
        </is>
      </c>
      <c r="I582" t="inlineStr">
        <is>
          <t>00</t>
        </is>
      </c>
      <c r="J582" t="inlineStr">
        <is>
          <t>SIN PRODUCTO DANE</t>
        </is>
      </c>
      <c r="K582" t="inlineStr">
        <is>
          <t>00</t>
        </is>
      </c>
      <c r="L582" t="inlineStr">
        <is>
          <t>SIN ATRIBUTO</t>
        </is>
      </c>
      <c r="N582" t="inlineStr">
        <is>
          <t>2.1.2.02.01.002</t>
        </is>
      </c>
      <c r="O582" t="inlineStr">
        <is>
          <t>Productos alimenticios, bebidas y tabaco, textiles, prendas de vestir y productos de cuero</t>
        </is>
      </c>
      <c r="P582" t="inlineStr">
        <is>
          <t>00</t>
        </is>
      </c>
      <c r="Q582" t="inlineStr">
        <is>
          <t>RECURSO PROPIOS</t>
        </is>
      </c>
      <c r="R582" t="n">
        <v>4000000</v>
      </c>
      <c r="S582" t="n">
        <v>0</v>
      </c>
      <c r="T582" t="n">
        <v>0</v>
      </c>
      <c r="U582" t="n">
        <v>0</v>
      </c>
      <c r="V582" t="n">
        <v>0</v>
      </c>
      <c r="W582" t="n">
        <v>0</v>
      </c>
      <c r="X582" t="n">
        <v>0</v>
      </c>
      <c r="Y582" t="n">
        <v>4000000</v>
      </c>
      <c r="Z582" t="n">
        <v>4000000</v>
      </c>
      <c r="AA582" t="n">
        <v>4000000</v>
      </c>
      <c r="AB582" t="n">
        <v>4000000</v>
      </c>
      <c r="AC582" t="n">
        <v>4000000</v>
      </c>
      <c r="AD582" t="n">
        <v>0</v>
      </c>
      <c r="AE582" t="n">
        <v>100</v>
      </c>
    </row>
    <row r="583">
      <c r="A583" t="inlineStr">
        <is>
          <t>3 - CONCEJO</t>
        </is>
      </c>
      <c r="B583" t="inlineStr">
        <is>
          <t>00 - SIN SECTOR</t>
        </is>
      </c>
      <c r="C583" t="inlineStr">
        <is>
          <t>00</t>
        </is>
      </c>
      <c r="D583" t="inlineStr">
        <is>
          <t>0000</t>
        </is>
      </c>
      <c r="E583" t="inlineStr">
        <is>
          <t>0000000</t>
        </is>
      </c>
      <c r="F583" t="inlineStr">
        <is>
          <t>SIN PRODUCTO</t>
        </is>
      </c>
      <c r="G583" t="inlineStr">
        <is>
          <t>00</t>
        </is>
      </c>
      <c r="H583" t="inlineStr">
        <is>
          <t>SIN CODIGO BPIN</t>
        </is>
      </c>
      <c r="I583" t="inlineStr">
        <is>
          <t>00</t>
        </is>
      </c>
      <c r="J583" t="inlineStr">
        <is>
          <t>SIN PRODUCTO DANE</t>
        </is>
      </c>
      <c r="K583" t="inlineStr">
        <is>
          <t>00</t>
        </is>
      </c>
      <c r="L583" t="inlineStr">
        <is>
          <t>SIN ATRIBUTO</t>
        </is>
      </c>
      <c r="N583" t="inlineStr">
        <is>
          <t>2.1.2.02.01.002.01</t>
        </is>
      </c>
      <c r="O583" t="inlineStr">
        <is>
          <t>Dotación de Uniformes</t>
        </is>
      </c>
      <c r="P583" t="inlineStr">
        <is>
          <t>1.2.1.0.00</t>
        </is>
      </c>
      <c r="Q583" t="inlineStr">
        <is>
          <t>INGRESOS CORRIENTES DE LIBRE DESTINACION</t>
        </is>
      </c>
      <c r="R583" t="n">
        <v>4000000</v>
      </c>
      <c r="S583" t="n">
        <v>0</v>
      </c>
      <c r="T583" t="n">
        <v>0</v>
      </c>
      <c r="U583" t="n">
        <v>0</v>
      </c>
      <c r="V583" t="n">
        <v>0</v>
      </c>
      <c r="W583" t="n">
        <v>0</v>
      </c>
      <c r="X583" t="n">
        <v>0</v>
      </c>
      <c r="Y583" t="n">
        <v>4000000</v>
      </c>
      <c r="Z583" t="n">
        <v>4000000</v>
      </c>
      <c r="AA583" t="n">
        <v>4000000</v>
      </c>
      <c r="AB583" t="n">
        <v>4000000</v>
      </c>
      <c r="AC583" t="n">
        <v>4000000</v>
      </c>
      <c r="AD583" t="n">
        <v>0</v>
      </c>
      <c r="AE583" t="n">
        <v>100</v>
      </c>
    </row>
    <row r="584">
      <c r="A584" t="inlineStr">
        <is>
          <t>3 - CONCEJO</t>
        </is>
      </c>
      <c r="B584" t="inlineStr">
        <is>
          <t>00 - SIN SECTOR</t>
        </is>
      </c>
      <c r="C584" t="inlineStr">
        <is>
          <t>00</t>
        </is>
      </c>
      <c r="D584" t="inlineStr">
        <is>
          <t>0000</t>
        </is>
      </c>
      <c r="E584" t="inlineStr">
        <is>
          <t>0000000</t>
        </is>
      </c>
      <c r="F584" t="inlineStr">
        <is>
          <t>SIN PRODUCTO</t>
        </is>
      </c>
      <c r="G584" t="inlineStr">
        <is>
          <t>00</t>
        </is>
      </c>
      <c r="H584" t="inlineStr">
        <is>
          <t>SIN CODIGO BPIN</t>
        </is>
      </c>
      <c r="I584" t="inlineStr">
        <is>
          <t>00</t>
        </is>
      </c>
      <c r="J584" t="inlineStr">
        <is>
          <t>SIN PRODUCTO DANE</t>
        </is>
      </c>
      <c r="K584" t="inlineStr">
        <is>
          <t>00</t>
        </is>
      </c>
      <c r="L584" t="inlineStr">
        <is>
          <t>SIN ATRIBUTO</t>
        </is>
      </c>
      <c r="N584" t="inlineStr">
        <is>
          <t>2.1.2.02.02</t>
        </is>
      </c>
      <c r="O584" t="inlineStr">
        <is>
          <t>Adquisicion de servicios</t>
        </is>
      </c>
      <c r="P584" t="inlineStr">
        <is>
          <t>00</t>
        </is>
      </c>
      <c r="Q584" t="inlineStr">
        <is>
          <t>RECURSO PROPIOS</t>
        </is>
      </c>
      <c r="R584" t="n">
        <v>130800000</v>
      </c>
      <c r="S584" t="n">
        <v>0</v>
      </c>
      <c r="T584" t="n">
        <v>0</v>
      </c>
      <c r="U584" t="n">
        <v>55000000</v>
      </c>
      <c r="V584" t="n">
        <v>15000000</v>
      </c>
      <c r="W584" t="n">
        <v>0</v>
      </c>
      <c r="X584" t="n">
        <v>0</v>
      </c>
      <c r="Y584" t="n">
        <v>170800000</v>
      </c>
      <c r="Z584" t="n">
        <v>168821927</v>
      </c>
      <c r="AA584" t="n">
        <v>168821927</v>
      </c>
      <c r="AB584" t="n">
        <v>116021927</v>
      </c>
      <c r="AC584" t="n">
        <v>115863687</v>
      </c>
      <c r="AD584" t="n">
        <v>1978073</v>
      </c>
      <c r="AE584" t="n">
        <v>98.84</v>
      </c>
    </row>
    <row r="585">
      <c r="A585" t="inlineStr">
        <is>
          <t>3 - CONCEJO</t>
        </is>
      </c>
      <c r="B585" t="inlineStr">
        <is>
          <t>00 - SIN SECTOR</t>
        </is>
      </c>
      <c r="C585" t="inlineStr">
        <is>
          <t>00</t>
        </is>
      </c>
      <c r="D585" t="inlineStr">
        <is>
          <t>0000</t>
        </is>
      </c>
      <c r="E585" t="inlineStr">
        <is>
          <t>0000000</t>
        </is>
      </c>
      <c r="F585" t="inlineStr">
        <is>
          <t>SIN PRODUCTO</t>
        </is>
      </c>
      <c r="G585" t="inlineStr">
        <is>
          <t>00</t>
        </is>
      </c>
      <c r="H585" t="inlineStr">
        <is>
          <t>SIN CODIGO BPIN</t>
        </is>
      </c>
      <c r="I585" t="inlineStr">
        <is>
          <t>00</t>
        </is>
      </c>
      <c r="J585" t="inlineStr">
        <is>
          <t>SIN PRODUCTO DANE</t>
        </is>
      </c>
      <c r="K585" t="inlineStr">
        <is>
          <t>00</t>
        </is>
      </c>
      <c r="L585" t="inlineStr">
        <is>
          <t>SIN ATRIBUTO</t>
        </is>
      </c>
      <c r="N585" t="inlineStr">
        <is>
          <t>2.1.2.02.02.006</t>
        </is>
      </c>
      <c r="O585" t="inlineStr">
        <is>
          <t>Comercio y distribucion; alojamiento; servicios de suministro de comidas y bebidas; servicios de transporte; y servicios de distribucion de electricidad, gas y agua</t>
        </is>
      </c>
      <c r="P585" t="inlineStr">
        <is>
          <t>1.2.1.0.00</t>
        </is>
      </c>
      <c r="Q585" t="inlineStr">
        <is>
          <t>INGRESOS CORRIENTES DE LIBRE DESTINACION</t>
        </is>
      </c>
      <c r="R585" t="n">
        <v>30000000</v>
      </c>
      <c r="S585" t="n">
        <v>0</v>
      </c>
      <c r="T585" t="n">
        <v>0</v>
      </c>
      <c r="U585" t="n">
        <v>0</v>
      </c>
      <c r="V585" t="n">
        <v>15000000</v>
      </c>
      <c r="W585" t="n">
        <v>0</v>
      </c>
      <c r="X585" t="n">
        <v>0</v>
      </c>
      <c r="Y585" t="n">
        <v>15000000</v>
      </c>
      <c r="Z585" t="n">
        <v>14421927</v>
      </c>
      <c r="AA585" t="n">
        <v>14421927</v>
      </c>
      <c r="AB585" t="n">
        <v>14421927</v>
      </c>
      <c r="AC585" t="n">
        <v>14263687</v>
      </c>
      <c r="AD585" t="n">
        <v>578073</v>
      </c>
      <c r="AE585" t="n">
        <v>96.15000000000001</v>
      </c>
    </row>
    <row r="586">
      <c r="A586" t="inlineStr">
        <is>
          <t>3 - CONCEJO</t>
        </is>
      </c>
      <c r="B586" t="inlineStr">
        <is>
          <t>00 - SIN SECTOR</t>
        </is>
      </c>
      <c r="C586" t="inlineStr">
        <is>
          <t>00</t>
        </is>
      </c>
      <c r="D586" t="inlineStr">
        <is>
          <t>0000</t>
        </is>
      </c>
      <c r="E586" t="inlineStr">
        <is>
          <t>0000000</t>
        </is>
      </c>
      <c r="F586" t="inlineStr">
        <is>
          <t>SIN PRODUCTO</t>
        </is>
      </c>
      <c r="G586" t="inlineStr">
        <is>
          <t>00</t>
        </is>
      </c>
      <c r="H586" t="inlineStr">
        <is>
          <t>SIN CODIGO BPIN</t>
        </is>
      </c>
      <c r="I586" t="inlineStr">
        <is>
          <t>00</t>
        </is>
      </c>
      <c r="J586" t="inlineStr">
        <is>
          <t>SIN PRODUCTO DANE</t>
        </is>
      </c>
      <c r="K586" t="inlineStr">
        <is>
          <t>00</t>
        </is>
      </c>
      <c r="L586" t="inlineStr">
        <is>
          <t>SIN ATRIBUTO</t>
        </is>
      </c>
      <c r="N586" t="inlineStr">
        <is>
          <t>2.1.2.02.02.007</t>
        </is>
      </c>
      <c r="O586" t="inlineStr">
        <is>
          <t>Servicios financieros y servicios conexos; servicios inmobiliarios; y servicios de arrendamiento y leasing</t>
        </is>
      </c>
      <c r="P586" t="inlineStr">
        <is>
          <t>00</t>
        </is>
      </c>
      <c r="Q586" t="inlineStr">
        <is>
          <t>RECURSO PROPIOS</t>
        </is>
      </c>
      <c r="R586" t="n">
        <v>800000</v>
      </c>
      <c r="S586" t="n">
        <v>0</v>
      </c>
      <c r="T586" t="n">
        <v>0</v>
      </c>
      <c r="U586" t="n">
        <v>0</v>
      </c>
      <c r="V586" t="n">
        <v>0</v>
      </c>
      <c r="W586" t="n">
        <v>0</v>
      </c>
      <c r="X586" t="n">
        <v>0</v>
      </c>
      <c r="Y586" t="n">
        <v>800000</v>
      </c>
      <c r="Z586" t="n">
        <v>0</v>
      </c>
      <c r="AA586" t="n">
        <v>0</v>
      </c>
      <c r="AB586" t="n">
        <v>0</v>
      </c>
      <c r="AC586" t="n">
        <v>0</v>
      </c>
      <c r="AD586" t="n">
        <v>800000</v>
      </c>
      <c r="AE586" t="n">
        <v>0</v>
      </c>
    </row>
    <row r="587">
      <c r="A587" t="inlineStr">
        <is>
          <t>3 - CONCEJO</t>
        </is>
      </c>
      <c r="B587" t="inlineStr">
        <is>
          <t>00 - SIN SECTOR</t>
        </is>
      </c>
      <c r="C587" t="inlineStr">
        <is>
          <t>00</t>
        </is>
      </c>
      <c r="D587" t="inlineStr">
        <is>
          <t>0000</t>
        </is>
      </c>
      <c r="E587" t="inlineStr">
        <is>
          <t>0000000</t>
        </is>
      </c>
      <c r="F587" t="inlineStr">
        <is>
          <t>SIN PRODUCTO</t>
        </is>
      </c>
      <c r="G587" t="inlineStr">
        <is>
          <t>00</t>
        </is>
      </c>
      <c r="H587" t="inlineStr">
        <is>
          <t>SIN CODIGO BPIN</t>
        </is>
      </c>
      <c r="I587" t="inlineStr">
        <is>
          <t>71702</t>
        </is>
      </c>
      <c r="J587" t="inlineStr">
        <is>
          <t>Servicios de tenencia de valores y otros activos de los fideicomisos, fondos financieros y entidades financieras similares</t>
        </is>
      </c>
      <c r="K587" t="inlineStr">
        <is>
          <t>00</t>
        </is>
      </c>
      <c r="L587" t="inlineStr">
        <is>
          <t>SIN ATRIBUTO</t>
        </is>
      </c>
      <c r="N587" t="inlineStr">
        <is>
          <t>2.1.2.02.02.007.01</t>
        </is>
      </c>
      <c r="O587" t="inlineStr">
        <is>
          <t>Comisiones y Gastos bancarios</t>
        </is>
      </c>
      <c r="P587" t="inlineStr">
        <is>
          <t>1.2.1.0.00</t>
        </is>
      </c>
      <c r="Q587" t="inlineStr">
        <is>
          <t>INGRESOS CORRIENTES DE LIBRE DESTINACION</t>
        </is>
      </c>
      <c r="R587" t="n">
        <v>800000</v>
      </c>
      <c r="S587" t="n">
        <v>0</v>
      </c>
      <c r="T587" t="n">
        <v>0</v>
      </c>
      <c r="U587" t="n">
        <v>0</v>
      </c>
      <c r="V587" t="n">
        <v>0</v>
      </c>
      <c r="W587" t="n">
        <v>0</v>
      </c>
      <c r="X587" t="n">
        <v>0</v>
      </c>
      <c r="Y587" t="n">
        <v>800000</v>
      </c>
      <c r="Z587" t="n">
        <v>0</v>
      </c>
      <c r="AA587" t="n">
        <v>0</v>
      </c>
      <c r="AB587" t="n">
        <v>0</v>
      </c>
      <c r="AC587" t="n">
        <v>0</v>
      </c>
      <c r="AD587" t="n">
        <v>800000</v>
      </c>
      <c r="AE587" t="n">
        <v>0</v>
      </c>
    </row>
    <row r="588">
      <c r="A588" t="inlineStr">
        <is>
          <t>3 - CONCEJO</t>
        </is>
      </c>
      <c r="B588" t="inlineStr">
        <is>
          <t>00 - SIN SECTOR</t>
        </is>
      </c>
      <c r="C588" t="inlineStr">
        <is>
          <t>00</t>
        </is>
      </c>
      <c r="D588" t="inlineStr">
        <is>
          <t>0000</t>
        </is>
      </c>
      <c r="E588" t="inlineStr">
        <is>
          <t>0000000</t>
        </is>
      </c>
      <c r="F588" t="inlineStr">
        <is>
          <t>SIN PRODUCTO</t>
        </is>
      </c>
      <c r="G588" t="inlineStr">
        <is>
          <t>00</t>
        </is>
      </c>
      <c r="H588" t="inlineStr">
        <is>
          <t>SIN CODIGO BPIN</t>
        </is>
      </c>
      <c r="I588" t="inlineStr">
        <is>
          <t>00</t>
        </is>
      </c>
      <c r="J588" t="inlineStr">
        <is>
          <t>SIN PRODUCTO DANE</t>
        </is>
      </c>
      <c r="K588" t="inlineStr">
        <is>
          <t>00</t>
        </is>
      </c>
      <c r="L588" t="inlineStr">
        <is>
          <t>SIN ATRIBUTO</t>
        </is>
      </c>
      <c r="N588" t="inlineStr">
        <is>
          <t>2.1.2.02.02.009</t>
        </is>
      </c>
      <c r="O588" t="inlineStr">
        <is>
          <t>Servicios para la comunidad, sociales y personales</t>
        </is>
      </c>
      <c r="P588" t="inlineStr">
        <is>
          <t>00</t>
        </is>
      </c>
      <c r="Q588" t="inlineStr">
        <is>
          <t>RECURSO PROPIOS</t>
        </is>
      </c>
      <c r="R588" t="n">
        <v>100000000</v>
      </c>
      <c r="S588" t="n">
        <v>0</v>
      </c>
      <c r="T588" t="n">
        <v>0</v>
      </c>
      <c r="U588" t="n">
        <v>55000000</v>
      </c>
      <c r="V588" t="n">
        <v>0</v>
      </c>
      <c r="W588" t="n">
        <v>0</v>
      </c>
      <c r="X588" t="n">
        <v>0</v>
      </c>
      <c r="Y588" t="n">
        <v>155000000</v>
      </c>
      <c r="Z588" t="n">
        <v>154400000</v>
      </c>
      <c r="AA588" t="n">
        <v>154400000</v>
      </c>
      <c r="AB588" t="n">
        <v>101600000</v>
      </c>
      <c r="AC588" t="n">
        <v>101600000</v>
      </c>
      <c r="AD588" t="n">
        <v>600000</v>
      </c>
      <c r="AE588" t="n">
        <v>99.61</v>
      </c>
    </row>
    <row r="589">
      <c r="A589" t="inlineStr">
        <is>
          <t>3 - CONCEJO</t>
        </is>
      </c>
      <c r="B589" t="inlineStr">
        <is>
          <t>00 - SIN SECTOR</t>
        </is>
      </c>
      <c r="C589" t="inlineStr">
        <is>
          <t>00</t>
        </is>
      </c>
      <c r="D589" t="inlineStr">
        <is>
          <t>0000</t>
        </is>
      </c>
      <c r="E589" t="inlineStr">
        <is>
          <t>0000000</t>
        </is>
      </c>
      <c r="F589" t="inlineStr">
        <is>
          <t>SIN PRODUCTO</t>
        </is>
      </c>
      <c r="G589" t="inlineStr">
        <is>
          <t>00</t>
        </is>
      </c>
      <c r="H589" t="inlineStr">
        <is>
          <t>SIN CODIGO BPIN</t>
        </is>
      </c>
      <c r="I589" t="inlineStr">
        <is>
          <t>91112</t>
        </is>
      </c>
      <c r="J589" t="inlineStr">
        <is>
          <t>Servicios ejecutivos de la administración pública</t>
        </is>
      </c>
      <c r="K589" t="inlineStr">
        <is>
          <t>00</t>
        </is>
      </c>
      <c r="L589" t="inlineStr">
        <is>
          <t>SIN ATRIBUTO</t>
        </is>
      </c>
      <c r="N589" t="inlineStr">
        <is>
          <t>2.1.2.02.02.009.01</t>
        </is>
      </c>
      <c r="O589" t="inlineStr">
        <is>
          <t>Servicios administrativos del gobierno</t>
        </is>
      </c>
      <c r="P589" t="inlineStr">
        <is>
          <t>1.2.1.0.00</t>
        </is>
      </c>
      <c r="Q589" t="inlineStr">
        <is>
          <t>INGRESOS CORRIENTES DE LIBRE DESTINACION</t>
        </is>
      </c>
      <c r="R589" t="n">
        <v>100000000</v>
      </c>
      <c r="S589" t="n">
        <v>0</v>
      </c>
      <c r="T589" t="n">
        <v>0</v>
      </c>
      <c r="U589" t="n">
        <v>55000000</v>
      </c>
      <c r="V589" t="n">
        <v>0</v>
      </c>
      <c r="W589" t="n">
        <v>0</v>
      </c>
      <c r="X589" t="n">
        <v>0</v>
      </c>
      <c r="Y589" t="n">
        <v>155000000</v>
      </c>
      <c r="Z589" t="n">
        <v>154400000</v>
      </c>
      <c r="AA589" t="n">
        <v>154400000</v>
      </c>
      <c r="AB589" t="n">
        <v>101600000</v>
      </c>
      <c r="AC589" t="n">
        <v>101600000</v>
      </c>
      <c r="AD589" t="n">
        <v>600000</v>
      </c>
      <c r="AE589" t="n">
        <v>99.61</v>
      </c>
    </row>
    <row r="590">
      <c r="A590" t="inlineStr">
        <is>
          <t>5 - PERSONERÍA</t>
        </is>
      </c>
      <c r="B590" t="inlineStr">
        <is>
          <t>00 - SIN SECTOR</t>
        </is>
      </c>
      <c r="C590" t="inlineStr">
        <is>
          <t>00</t>
        </is>
      </c>
      <c r="D590" t="inlineStr">
        <is>
          <t>0000</t>
        </is>
      </c>
      <c r="E590" t="inlineStr">
        <is>
          <t>0000000</t>
        </is>
      </c>
      <c r="F590" t="inlineStr">
        <is>
          <t>SIN PRODUCTO</t>
        </is>
      </c>
      <c r="G590" t="inlineStr">
        <is>
          <t>00</t>
        </is>
      </c>
      <c r="H590" t="inlineStr">
        <is>
          <t>SIN CODIGO BPIN</t>
        </is>
      </c>
      <c r="I590" t="inlineStr">
        <is>
          <t>00</t>
        </is>
      </c>
      <c r="J590" t="inlineStr">
        <is>
          <t>SIN PRODUCTO DANE</t>
        </is>
      </c>
      <c r="K590" t="inlineStr">
        <is>
          <t>00</t>
        </is>
      </c>
      <c r="L590" t="inlineStr">
        <is>
          <t>SIN ATRIBUTO</t>
        </is>
      </c>
      <c r="N590" t="inlineStr">
        <is>
          <t>2</t>
        </is>
      </c>
      <c r="O590" t="inlineStr">
        <is>
          <t>Gastos</t>
        </is>
      </c>
      <c r="P590" t="inlineStr">
        <is>
          <t>00</t>
        </is>
      </c>
      <c r="Q590" t="inlineStr">
        <is>
          <t>RECURSO PROPIOS</t>
        </is>
      </c>
      <c r="R590" t="n">
        <v>469000000</v>
      </c>
      <c r="S590" t="n">
        <v>56271499</v>
      </c>
      <c r="T590" t="n">
        <v>0</v>
      </c>
      <c r="U590" t="n">
        <v>24275564.3</v>
      </c>
      <c r="V590" t="n">
        <v>24275564.3</v>
      </c>
      <c r="W590" t="n">
        <v>0</v>
      </c>
      <c r="X590" t="n">
        <v>0</v>
      </c>
      <c r="Y590" t="n">
        <v>525271499</v>
      </c>
      <c r="Z590" t="n">
        <v>222651379</v>
      </c>
      <c r="AA590" t="n">
        <v>222651379</v>
      </c>
      <c r="AB590" t="n">
        <v>155851379</v>
      </c>
      <c r="AC590" t="n">
        <v>145957779</v>
      </c>
      <c r="AD590" t="n">
        <v>302620120</v>
      </c>
      <c r="AE590" t="n">
        <v>42.39</v>
      </c>
    </row>
    <row r="591">
      <c r="A591" t="inlineStr">
        <is>
          <t>5 - PERSONERÍA</t>
        </is>
      </c>
      <c r="B591" t="inlineStr">
        <is>
          <t>00 - SIN SECTOR</t>
        </is>
      </c>
      <c r="C591" t="inlineStr">
        <is>
          <t>00</t>
        </is>
      </c>
      <c r="D591" t="inlineStr">
        <is>
          <t>0000</t>
        </is>
      </c>
      <c r="E591" t="inlineStr">
        <is>
          <t>0000000</t>
        </is>
      </c>
      <c r="F591" t="inlineStr">
        <is>
          <t>SIN PRODUCTO</t>
        </is>
      </c>
      <c r="G591" t="inlineStr">
        <is>
          <t>00</t>
        </is>
      </c>
      <c r="H591" t="inlineStr">
        <is>
          <t>SIN CODIGO BPIN</t>
        </is>
      </c>
      <c r="I591" t="inlineStr">
        <is>
          <t>00</t>
        </is>
      </c>
      <c r="J591" t="inlineStr">
        <is>
          <t>SIN PRODUCTO DANE</t>
        </is>
      </c>
      <c r="K591" t="inlineStr">
        <is>
          <t>00</t>
        </is>
      </c>
      <c r="L591" t="inlineStr">
        <is>
          <t>SIN ATRIBUTO</t>
        </is>
      </c>
      <c r="N591" t="inlineStr">
        <is>
          <t>2.1</t>
        </is>
      </c>
      <c r="O591" t="inlineStr">
        <is>
          <t>Funcionamiento</t>
        </is>
      </c>
      <c r="P591" t="inlineStr">
        <is>
          <t>00</t>
        </is>
      </c>
      <c r="Q591" t="inlineStr">
        <is>
          <t>RECURSO PROPIOS</t>
        </is>
      </c>
      <c r="R591" t="n">
        <v>469000000</v>
      </c>
      <c r="S591" t="n">
        <v>56271499</v>
      </c>
      <c r="T591" t="n">
        <v>0</v>
      </c>
      <c r="U591" t="n">
        <v>24275564.3</v>
      </c>
      <c r="V591" t="n">
        <v>24275564.3</v>
      </c>
      <c r="W591" t="n">
        <v>0</v>
      </c>
      <c r="X591" t="n">
        <v>0</v>
      </c>
      <c r="Y591" t="n">
        <v>525271499</v>
      </c>
      <c r="Z591" t="n">
        <v>222651379</v>
      </c>
      <c r="AA591" t="n">
        <v>222651379</v>
      </c>
      <c r="AB591" t="n">
        <v>155851379</v>
      </c>
      <c r="AC591" t="n">
        <v>145957779</v>
      </c>
      <c r="AD591" t="n">
        <v>302620120</v>
      </c>
      <c r="AE591" t="n">
        <v>42.39</v>
      </c>
    </row>
    <row r="592">
      <c r="A592" t="inlineStr">
        <is>
          <t>5 - PERSONERÍA</t>
        </is>
      </c>
      <c r="B592" t="inlineStr">
        <is>
          <t>00 - SIN SECTOR</t>
        </is>
      </c>
      <c r="C592" t="inlineStr">
        <is>
          <t>00</t>
        </is>
      </c>
      <c r="D592" t="inlineStr">
        <is>
          <t>0000</t>
        </is>
      </c>
      <c r="E592" t="inlineStr">
        <is>
          <t>0000000</t>
        </is>
      </c>
      <c r="F592" t="inlineStr">
        <is>
          <t>SIN PRODUCTO</t>
        </is>
      </c>
      <c r="G592" t="inlineStr">
        <is>
          <t>00</t>
        </is>
      </c>
      <c r="H592" t="inlineStr">
        <is>
          <t>SIN CODIGO BPIN</t>
        </is>
      </c>
      <c r="I592" t="inlineStr">
        <is>
          <t>00</t>
        </is>
      </c>
      <c r="J592" t="inlineStr">
        <is>
          <t>SIN PRODUCTO DANE</t>
        </is>
      </c>
      <c r="K592" t="inlineStr">
        <is>
          <t>00</t>
        </is>
      </c>
      <c r="L592" t="inlineStr">
        <is>
          <t>SIN ATRIBUTO</t>
        </is>
      </c>
      <c r="N592" t="inlineStr">
        <is>
          <t>2.1.1</t>
        </is>
      </c>
      <c r="O592" t="inlineStr">
        <is>
          <t>Gastos de personal</t>
        </is>
      </c>
      <c r="P592" t="inlineStr">
        <is>
          <t>00</t>
        </is>
      </c>
      <c r="Q592" t="inlineStr">
        <is>
          <t>RECURSO PROPIOS</t>
        </is>
      </c>
      <c r="R592" t="n">
        <v>366692233</v>
      </c>
      <c r="S592" t="n">
        <v>47733240</v>
      </c>
      <c r="T592" t="n">
        <v>0</v>
      </c>
      <c r="U592" t="n">
        <v>2475564.3</v>
      </c>
      <c r="V592" t="n">
        <v>20375564.3</v>
      </c>
      <c r="W592" t="n">
        <v>0</v>
      </c>
      <c r="X592" t="n">
        <v>0</v>
      </c>
      <c r="Y592" t="n">
        <v>396525473</v>
      </c>
      <c r="Z592" t="n">
        <v>109551379</v>
      </c>
      <c r="AA592" t="n">
        <v>109551379</v>
      </c>
      <c r="AB592" t="n">
        <v>109551379</v>
      </c>
      <c r="AC592" t="n">
        <v>99657779</v>
      </c>
      <c r="AD592" t="n">
        <v>286974094</v>
      </c>
      <c r="AE592" t="n">
        <v>27.63</v>
      </c>
    </row>
    <row r="593">
      <c r="A593" t="inlineStr">
        <is>
          <t>5 - PERSONERÍA</t>
        </is>
      </c>
      <c r="B593" t="inlineStr">
        <is>
          <t>00 - SIN SECTOR</t>
        </is>
      </c>
      <c r="C593" t="inlineStr">
        <is>
          <t>00</t>
        </is>
      </c>
      <c r="D593" t="inlineStr">
        <is>
          <t>0000</t>
        </is>
      </c>
      <c r="E593" t="inlineStr">
        <is>
          <t>0000000</t>
        </is>
      </c>
      <c r="F593" t="inlineStr">
        <is>
          <t>SIN PRODUCTO</t>
        </is>
      </c>
      <c r="G593" t="inlineStr">
        <is>
          <t>00</t>
        </is>
      </c>
      <c r="H593" t="inlineStr">
        <is>
          <t>SIN CODIGO BPIN</t>
        </is>
      </c>
      <c r="I593" t="inlineStr">
        <is>
          <t>00</t>
        </is>
      </c>
      <c r="J593" t="inlineStr">
        <is>
          <t>SIN PRODUCTO DANE</t>
        </is>
      </c>
      <c r="K593" t="inlineStr">
        <is>
          <t>00</t>
        </is>
      </c>
      <c r="L593" t="inlineStr">
        <is>
          <t>SIN ATRIBUTO</t>
        </is>
      </c>
      <c r="N593" t="inlineStr">
        <is>
          <t>2.1.1.01</t>
        </is>
      </c>
      <c r="O593" t="inlineStr">
        <is>
          <t>Planta de personal permanente</t>
        </is>
      </c>
      <c r="P593" t="inlineStr">
        <is>
          <t>00</t>
        </is>
      </c>
      <c r="Q593" t="inlineStr">
        <is>
          <t>RECURSO PROPIOS</t>
        </is>
      </c>
      <c r="R593" t="n">
        <v>366692233</v>
      </c>
      <c r="S593" t="n">
        <v>47733240</v>
      </c>
      <c r="T593" t="n">
        <v>0</v>
      </c>
      <c r="U593" t="n">
        <v>2475564.3</v>
      </c>
      <c r="V593" t="n">
        <v>20375564.3</v>
      </c>
      <c r="W593" t="n">
        <v>0</v>
      </c>
      <c r="X593" t="n">
        <v>0</v>
      </c>
      <c r="Y593" t="n">
        <v>396525473</v>
      </c>
      <c r="Z593" t="n">
        <v>109551379</v>
      </c>
      <c r="AA593" t="n">
        <v>109551379</v>
      </c>
      <c r="AB593" t="n">
        <v>109551379</v>
      </c>
      <c r="AC593" t="n">
        <v>99657779</v>
      </c>
      <c r="AD593" t="n">
        <v>286974094</v>
      </c>
      <c r="AE593" t="n">
        <v>27.63</v>
      </c>
    </row>
    <row r="594">
      <c r="A594" t="inlineStr">
        <is>
          <t>5 - PERSONERÍA</t>
        </is>
      </c>
      <c r="B594" t="inlineStr">
        <is>
          <t>00 - SIN SECTOR</t>
        </is>
      </c>
      <c r="C594" t="inlineStr">
        <is>
          <t>00</t>
        </is>
      </c>
      <c r="D594" t="inlineStr">
        <is>
          <t>0000</t>
        </is>
      </c>
      <c r="E594" t="inlineStr">
        <is>
          <t>0000000</t>
        </is>
      </c>
      <c r="F594" t="inlineStr">
        <is>
          <t>SIN PRODUCTO</t>
        </is>
      </c>
      <c r="G594" t="inlineStr">
        <is>
          <t>00</t>
        </is>
      </c>
      <c r="H594" t="inlineStr">
        <is>
          <t>SIN CODIGO BPIN</t>
        </is>
      </c>
      <c r="I594" t="inlineStr">
        <is>
          <t>00</t>
        </is>
      </c>
      <c r="J594" t="inlineStr">
        <is>
          <t>SIN PRODUCTO DANE</t>
        </is>
      </c>
      <c r="K594" t="inlineStr">
        <is>
          <t>00</t>
        </is>
      </c>
      <c r="L594" t="inlineStr">
        <is>
          <t>SIN ATRIBUTO</t>
        </is>
      </c>
      <c r="N594" t="inlineStr">
        <is>
          <t>2.1.1.01.01</t>
        </is>
      </c>
      <c r="O594" t="inlineStr">
        <is>
          <t>Factores constitutivos de salario</t>
        </is>
      </c>
      <c r="P594" t="inlineStr">
        <is>
          <t>00</t>
        </is>
      </c>
      <c r="Q594" t="inlineStr">
        <is>
          <t>RECURSO PROPIOS</t>
        </is>
      </c>
      <c r="R594" t="n">
        <v>266270969</v>
      </c>
      <c r="S594" t="n">
        <v>35821454</v>
      </c>
      <c r="T594" t="n">
        <v>0</v>
      </c>
      <c r="U594" t="n">
        <v>2475564.3</v>
      </c>
      <c r="V594" t="n">
        <v>20375564.3</v>
      </c>
      <c r="W594" t="n">
        <v>0</v>
      </c>
      <c r="X594" t="n">
        <v>0</v>
      </c>
      <c r="Y594" t="n">
        <v>284192423</v>
      </c>
      <c r="Z594" t="n">
        <v>86612879</v>
      </c>
      <c r="AA594" t="n">
        <v>86612879</v>
      </c>
      <c r="AB594" t="n">
        <v>86612879</v>
      </c>
      <c r="AC594" t="n">
        <v>86612879</v>
      </c>
      <c r="AD594" t="n">
        <v>197579544</v>
      </c>
      <c r="AE594" t="n">
        <v>30.48</v>
      </c>
    </row>
    <row r="595">
      <c r="A595" t="inlineStr">
        <is>
          <t>5 - PERSONERÍA</t>
        </is>
      </c>
      <c r="B595" t="inlineStr">
        <is>
          <t>00 - SIN SECTOR</t>
        </is>
      </c>
      <c r="C595" t="inlineStr">
        <is>
          <t>00</t>
        </is>
      </c>
      <c r="D595" t="inlineStr">
        <is>
          <t>0000</t>
        </is>
      </c>
      <c r="E595" t="inlineStr">
        <is>
          <t>0000000</t>
        </is>
      </c>
      <c r="F595" t="inlineStr">
        <is>
          <t>SIN PRODUCTO</t>
        </is>
      </c>
      <c r="G595" t="inlineStr">
        <is>
          <t>00</t>
        </is>
      </c>
      <c r="H595" t="inlineStr">
        <is>
          <t>SIN CODIGO BPIN</t>
        </is>
      </c>
      <c r="I595" t="inlineStr">
        <is>
          <t>00</t>
        </is>
      </c>
      <c r="J595" t="inlineStr">
        <is>
          <t>SIN PRODUCTO DANE</t>
        </is>
      </c>
      <c r="K595" t="inlineStr">
        <is>
          <t>00</t>
        </is>
      </c>
      <c r="L595" t="inlineStr">
        <is>
          <t>SIN ATRIBUTO</t>
        </is>
      </c>
      <c r="N595" t="inlineStr">
        <is>
          <t>2.1.1.01.01.001</t>
        </is>
      </c>
      <c r="O595" t="inlineStr">
        <is>
          <t>Factores salariales comunes</t>
        </is>
      </c>
      <c r="P595" t="inlineStr">
        <is>
          <t>00</t>
        </is>
      </c>
      <c r="Q595" t="inlineStr">
        <is>
          <t>RECURSO PROPIOS</t>
        </is>
      </c>
      <c r="R595" t="n">
        <v>266270969</v>
      </c>
      <c r="S595" t="n">
        <v>35821454</v>
      </c>
      <c r="T595" t="n">
        <v>0</v>
      </c>
      <c r="U595" t="n">
        <v>2475564.3</v>
      </c>
      <c r="V595" t="n">
        <v>20375564.3</v>
      </c>
      <c r="W595" t="n">
        <v>0</v>
      </c>
      <c r="X595" t="n">
        <v>0</v>
      </c>
      <c r="Y595" t="n">
        <v>284192423</v>
      </c>
      <c r="Z595" t="n">
        <v>86612879</v>
      </c>
      <c r="AA595" t="n">
        <v>86612879</v>
      </c>
      <c r="AB595" t="n">
        <v>86612879</v>
      </c>
      <c r="AC595" t="n">
        <v>86612879</v>
      </c>
      <c r="AD595" t="n">
        <v>197579544</v>
      </c>
      <c r="AE595" t="n">
        <v>30.48</v>
      </c>
    </row>
    <row r="596">
      <c r="A596" t="inlineStr">
        <is>
          <t>5 - PERSONERÍA</t>
        </is>
      </c>
      <c r="B596" t="inlineStr">
        <is>
          <t>00 - SIN SECTOR</t>
        </is>
      </c>
      <c r="C596" t="inlineStr">
        <is>
          <t>00</t>
        </is>
      </c>
      <c r="D596" t="inlineStr">
        <is>
          <t>0000</t>
        </is>
      </c>
      <c r="E596" t="inlineStr">
        <is>
          <t>0000000</t>
        </is>
      </c>
      <c r="F596" t="inlineStr">
        <is>
          <t>SIN PRODUCTO</t>
        </is>
      </c>
      <c r="G596" t="inlineStr">
        <is>
          <t>00</t>
        </is>
      </c>
      <c r="H596" t="inlineStr">
        <is>
          <t>SIN CODIGO BPIN</t>
        </is>
      </c>
      <c r="I596" t="inlineStr">
        <is>
          <t>00</t>
        </is>
      </c>
      <c r="J596" t="inlineStr">
        <is>
          <t>SIN PRODUCTO DANE</t>
        </is>
      </c>
      <c r="K596" t="inlineStr">
        <is>
          <t>00</t>
        </is>
      </c>
      <c r="L596" t="inlineStr">
        <is>
          <t>SIN ATRIBUTO</t>
        </is>
      </c>
      <c r="N596" t="inlineStr">
        <is>
          <t>2.1.1.01.01.001.01</t>
        </is>
      </c>
      <c r="O596" t="inlineStr">
        <is>
          <t>Sueldo basico</t>
        </is>
      </c>
      <c r="P596" t="inlineStr">
        <is>
          <t>1.2.1.0.00</t>
        </is>
      </c>
      <c r="Q596" t="inlineStr">
        <is>
          <t>INGRESOS CORRIENTES DE LIBRE DESTINACION</t>
        </is>
      </c>
      <c r="R596" t="n">
        <v>192910441</v>
      </c>
      <c r="S596" t="n">
        <v>18946561</v>
      </c>
      <c r="T596" t="n">
        <v>0</v>
      </c>
      <c r="U596" t="n">
        <v>0</v>
      </c>
      <c r="V596" t="n">
        <v>19100000</v>
      </c>
      <c r="W596" t="n">
        <v>0</v>
      </c>
      <c r="X596" t="n">
        <v>0</v>
      </c>
      <c r="Y596" t="n">
        <v>192757002</v>
      </c>
      <c r="Z596" t="n">
        <v>72099766</v>
      </c>
      <c r="AA596" t="n">
        <v>72099766</v>
      </c>
      <c r="AB596" t="n">
        <v>72099766</v>
      </c>
      <c r="AC596" t="n">
        <v>72099766</v>
      </c>
      <c r="AD596" t="n">
        <v>120657236</v>
      </c>
      <c r="AE596" t="n">
        <v>37.4</v>
      </c>
    </row>
    <row r="597">
      <c r="A597" t="inlineStr">
        <is>
          <t>5 - PERSONERÍA</t>
        </is>
      </c>
      <c r="B597" t="inlineStr">
        <is>
          <t>00 - SIN SECTOR</t>
        </is>
      </c>
      <c r="C597" t="inlineStr">
        <is>
          <t>00</t>
        </is>
      </c>
      <c r="D597" t="inlineStr">
        <is>
          <t>0000</t>
        </is>
      </c>
      <c r="E597" t="inlineStr">
        <is>
          <t>0000000</t>
        </is>
      </c>
      <c r="F597" t="inlineStr">
        <is>
          <t>SIN PRODUCTO</t>
        </is>
      </c>
      <c r="G597" t="inlineStr">
        <is>
          <t>00</t>
        </is>
      </c>
      <c r="H597" t="inlineStr">
        <is>
          <t>SIN CODIGO BPIN</t>
        </is>
      </c>
      <c r="I597" t="inlineStr">
        <is>
          <t>00</t>
        </is>
      </c>
      <c r="J597" t="inlineStr">
        <is>
          <t>SIN PRODUCTO DANE</t>
        </is>
      </c>
      <c r="K597" t="inlineStr">
        <is>
          <t>00</t>
        </is>
      </c>
      <c r="L597" t="inlineStr">
        <is>
          <t>SIN ATRIBUTO</t>
        </is>
      </c>
      <c r="N597" t="inlineStr">
        <is>
          <t>2.1.1.01.01.001.04</t>
        </is>
      </c>
      <c r="O597" t="inlineStr">
        <is>
          <t>Subsidio de alimentacion</t>
        </is>
      </c>
      <c r="P597" t="inlineStr">
        <is>
          <t>1.2.1.0.00</t>
        </is>
      </c>
      <c r="Q597" t="inlineStr">
        <is>
          <t>INGRESOS CORRIENTES DE LIBRE DESTINACION</t>
        </is>
      </c>
      <c r="R597" t="n">
        <v>2400000</v>
      </c>
      <c r="S597" t="n">
        <v>233757</v>
      </c>
      <c r="T597" t="n">
        <v>0</v>
      </c>
      <c r="U597" t="n">
        <v>0</v>
      </c>
      <c r="V597" t="n">
        <v>0</v>
      </c>
      <c r="W597" t="n">
        <v>0</v>
      </c>
      <c r="X597" t="n">
        <v>0</v>
      </c>
      <c r="Y597" t="n">
        <v>2633757</v>
      </c>
      <c r="Z597" t="n">
        <v>1003162</v>
      </c>
      <c r="AA597" t="n">
        <v>1003162</v>
      </c>
      <c r="AB597" t="n">
        <v>1003162</v>
      </c>
      <c r="AC597" t="n">
        <v>1003162</v>
      </c>
      <c r="AD597" t="n">
        <v>1630595</v>
      </c>
      <c r="AE597" t="n">
        <v>38.09</v>
      </c>
    </row>
    <row r="598">
      <c r="A598" t="inlineStr">
        <is>
          <t>5 - PERSONERÍA</t>
        </is>
      </c>
      <c r="B598" t="inlineStr">
        <is>
          <t>00 - SIN SECTOR</t>
        </is>
      </c>
      <c r="C598" t="inlineStr">
        <is>
          <t>00</t>
        </is>
      </c>
      <c r="D598" t="inlineStr">
        <is>
          <t>0000</t>
        </is>
      </c>
      <c r="E598" t="inlineStr">
        <is>
          <t>0000000</t>
        </is>
      </c>
      <c r="F598" t="inlineStr">
        <is>
          <t>SIN PRODUCTO</t>
        </is>
      </c>
      <c r="G598" t="inlineStr">
        <is>
          <t>00</t>
        </is>
      </c>
      <c r="H598" t="inlineStr">
        <is>
          <t>SIN CODIGO BPIN</t>
        </is>
      </c>
      <c r="I598" t="inlineStr">
        <is>
          <t>00</t>
        </is>
      </c>
      <c r="J598" t="inlineStr">
        <is>
          <t>SIN PRODUCTO DANE</t>
        </is>
      </c>
      <c r="K598" t="inlineStr">
        <is>
          <t>00</t>
        </is>
      </c>
      <c r="L598" t="inlineStr">
        <is>
          <t>SIN ATRIBUTO</t>
        </is>
      </c>
      <c r="N598" t="inlineStr">
        <is>
          <t>2.1.1.01.01.001.05</t>
        </is>
      </c>
      <c r="O598" t="inlineStr">
        <is>
          <t>Auxilio de transporte</t>
        </is>
      </c>
      <c r="P598" t="inlineStr">
        <is>
          <t>1.2.1.0.00</t>
        </is>
      </c>
      <c r="Q598" t="inlineStr">
        <is>
          <t>INGRESOS CORRIENTES DE LIBRE DESTINACION</t>
        </is>
      </c>
      <c r="R598" t="n">
        <v>5280000</v>
      </c>
      <c r="S598" t="n">
        <v>720000</v>
      </c>
      <c r="T598" t="n">
        <v>0</v>
      </c>
      <c r="U598" t="n">
        <v>232760</v>
      </c>
      <c r="V598" t="n">
        <v>232760</v>
      </c>
      <c r="W598" t="n">
        <v>0</v>
      </c>
      <c r="X598" t="n">
        <v>0</v>
      </c>
      <c r="Y598" t="n">
        <v>6000000</v>
      </c>
      <c r="Z598" t="n">
        <v>2490950</v>
      </c>
      <c r="AA598" t="n">
        <v>2490950</v>
      </c>
      <c r="AB598" t="n">
        <v>2490950</v>
      </c>
      <c r="AC598" t="n">
        <v>2490950</v>
      </c>
      <c r="AD598" t="n">
        <v>3509050</v>
      </c>
      <c r="AE598" t="n">
        <v>41.52</v>
      </c>
    </row>
    <row r="599">
      <c r="A599" t="inlineStr">
        <is>
          <t>5 - PERSONERÍA</t>
        </is>
      </c>
      <c r="B599" t="inlineStr">
        <is>
          <t>00 - SIN SECTOR</t>
        </is>
      </c>
      <c r="C599" t="inlineStr">
        <is>
          <t>00</t>
        </is>
      </c>
      <c r="D599" t="inlineStr">
        <is>
          <t>0000</t>
        </is>
      </c>
      <c r="E599" t="inlineStr">
        <is>
          <t>0000000</t>
        </is>
      </c>
      <c r="F599" t="inlineStr">
        <is>
          <t>SIN PRODUCTO</t>
        </is>
      </c>
      <c r="G599" t="inlineStr">
        <is>
          <t>00</t>
        </is>
      </c>
      <c r="H599" t="inlineStr">
        <is>
          <t>SIN CODIGO BPIN</t>
        </is>
      </c>
      <c r="I599" t="inlineStr">
        <is>
          <t>00</t>
        </is>
      </c>
      <c r="J599" t="inlineStr">
        <is>
          <t>SIN PRODUCTO DANE</t>
        </is>
      </c>
      <c r="K599" t="inlineStr">
        <is>
          <t>00</t>
        </is>
      </c>
      <c r="L599" t="inlineStr">
        <is>
          <t>SIN ATRIBUTO</t>
        </is>
      </c>
      <c r="N599" t="inlineStr">
        <is>
          <t>2.1.1.01.01.001.06</t>
        </is>
      </c>
      <c r="O599" t="inlineStr">
        <is>
          <t>Prima de servicio</t>
        </is>
      </c>
      <c r="P599" t="inlineStr">
        <is>
          <t>1.2.1.0.00</t>
        </is>
      </c>
      <c r="Q599" t="inlineStr">
        <is>
          <t>INGRESOS CORRIENTES DE LIBRE DESTINACION</t>
        </is>
      </c>
      <c r="R599" t="n">
        <v>8500000</v>
      </c>
      <c r="S599" t="n">
        <v>847501</v>
      </c>
      <c r="T599" t="n">
        <v>0</v>
      </c>
      <c r="U599" t="n">
        <v>0</v>
      </c>
      <c r="V599" t="n">
        <v>0</v>
      </c>
      <c r="W599" t="n">
        <v>0</v>
      </c>
      <c r="X599" t="n">
        <v>0</v>
      </c>
      <c r="Y599" t="n">
        <v>9347501</v>
      </c>
      <c r="Z599" t="n">
        <v>0</v>
      </c>
      <c r="AA599" t="n">
        <v>0</v>
      </c>
      <c r="AB599" t="n">
        <v>0</v>
      </c>
      <c r="AC599" t="n">
        <v>0</v>
      </c>
      <c r="AD599" t="n">
        <v>9347501</v>
      </c>
      <c r="AE599" t="n">
        <v>0</v>
      </c>
    </row>
    <row r="600">
      <c r="A600" t="inlineStr">
        <is>
          <t>5 - PERSONERÍA</t>
        </is>
      </c>
      <c r="B600" t="inlineStr">
        <is>
          <t>00 - SIN SECTOR</t>
        </is>
      </c>
      <c r="C600" t="inlineStr">
        <is>
          <t>00</t>
        </is>
      </c>
      <c r="D600" t="inlineStr">
        <is>
          <t>0000</t>
        </is>
      </c>
      <c r="E600" t="inlineStr">
        <is>
          <t>0000000</t>
        </is>
      </c>
      <c r="F600" t="inlineStr">
        <is>
          <t>SIN PRODUCTO</t>
        </is>
      </c>
      <c r="G600" t="inlineStr">
        <is>
          <t>00</t>
        </is>
      </c>
      <c r="H600" t="inlineStr">
        <is>
          <t>SIN CODIGO BPIN</t>
        </is>
      </c>
      <c r="I600" t="inlineStr">
        <is>
          <t>00</t>
        </is>
      </c>
      <c r="J600" t="inlineStr">
        <is>
          <t>SIN PRODUCTO DANE</t>
        </is>
      </c>
      <c r="K600" t="inlineStr">
        <is>
          <t>00</t>
        </is>
      </c>
      <c r="L600" t="inlineStr">
        <is>
          <t>SIN ATRIBUTO</t>
        </is>
      </c>
      <c r="N600" t="inlineStr">
        <is>
          <t>2.1.1.01.01.001.07</t>
        </is>
      </c>
      <c r="O600" t="inlineStr">
        <is>
          <t>Bonificacion por servicios prestados</t>
        </is>
      </c>
      <c r="P600" t="inlineStr">
        <is>
          <t>1.2.1.0.00</t>
        </is>
      </c>
      <c r="Q600" t="inlineStr">
        <is>
          <t>INGRESOS CORRIENTES DE LIBRE DESTINACION</t>
        </is>
      </c>
      <c r="R600" t="n">
        <v>6256826</v>
      </c>
      <c r="S600" t="n">
        <v>614509</v>
      </c>
      <c r="T600" t="n">
        <v>0</v>
      </c>
      <c r="U600" t="n">
        <v>1042804.3</v>
      </c>
      <c r="V600" t="n">
        <v>1042804.3</v>
      </c>
      <c r="W600" t="n">
        <v>0</v>
      </c>
      <c r="X600" t="n">
        <v>0</v>
      </c>
      <c r="Y600" t="n">
        <v>6871335</v>
      </c>
      <c r="Z600" t="n">
        <v>3983142</v>
      </c>
      <c r="AA600" t="n">
        <v>3983142</v>
      </c>
      <c r="AB600" t="n">
        <v>3983142</v>
      </c>
      <c r="AC600" t="n">
        <v>3983142</v>
      </c>
      <c r="AD600" t="n">
        <v>2888193</v>
      </c>
      <c r="AE600" t="n">
        <v>57.97</v>
      </c>
    </row>
    <row r="601">
      <c r="A601" t="inlineStr">
        <is>
          <t>5 - PERSONERÍA</t>
        </is>
      </c>
      <c r="B601" t="inlineStr">
        <is>
          <t>00 - SIN SECTOR</t>
        </is>
      </c>
      <c r="C601" t="inlineStr">
        <is>
          <t>00</t>
        </is>
      </c>
      <c r="D601" t="inlineStr">
        <is>
          <t>0000</t>
        </is>
      </c>
      <c r="E601" t="inlineStr">
        <is>
          <t>0000000</t>
        </is>
      </c>
      <c r="F601" t="inlineStr">
        <is>
          <t>SIN PRODUCTO</t>
        </is>
      </c>
      <c r="G601" t="inlineStr">
        <is>
          <t>00</t>
        </is>
      </c>
      <c r="H601" t="inlineStr">
        <is>
          <t>SIN CODIGO BPIN</t>
        </is>
      </c>
      <c r="I601" t="inlineStr">
        <is>
          <t>00</t>
        </is>
      </c>
      <c r="J601" t="inlineStr">
        <is>
          <t>SIN PRODUCTO DANE</t>
        </is>
      </c>
      <c r="K601" t="inlineStr">
        <is>
          <t>00</t>
        </is>
      </c>
      <c r="L601" t="inlineStr">
        <is>
          <t>SIN ATRIBUTO</t>
        </is>
      </c>
      <c r="N601" t="inlineStr">
        <is>
          <t>2.1.1.01.01.001.08</t>
        </is>
      </c>
      <c r="O601" t="inlineStr">
        <is>
          <t>Prestaciones sociales</t>
        </is>
      </c>
      <c r="P601" t="inlineStr">
        <is>
          <t>00</t>
        </is>
      </c>
      <c r="Q601" t="inlineStr">
        <is>
          <t>RECURSO PROPIOS</t>
        </is>
      </c>
      <c r="R601" t="n">
        <v>27835709</v>
      </c>
      <c r="S601" t="n">
        <v>2733863</v>
      </c>
      <c r="T601" t="n">
        <v>0</v>
      </c>
      <c r="U601" t="n">
        <v>0</v>
      </c>
      <c r="V601" t="n">
        <v>0</v>
      </c>
      <c r="W601" t="n">
        <v>0</v>
      </c>
      <c r="X601" t="n">
        <v>0</v>
      </c>
      <c r="Y601" t="n">
        <v>30569572</v>
      </c>
      <c r="Z601" t="n">
        <v>0</v>
      </c>
      <c r="AA601" t="n">
        <v>0</v>
      </c>
      <c r="AB601" t="n">
        <v>0</v>
      </c>
      <c r="AC601" t="n">
        <v>0</v>
      </c>
      <c r="AD601" t="n">
        <v>30569572</v>
      </c>
      <c r="AE601" t="n">
        <v>0</v>
      </c>
    </row>
    <row r="602">
      <c r="A602" t="inlineStr">
        <is>
          <t>5 - PERSONERÍA</t>
        </is>
      </c>
      <c r="B602" t="inlineStr">
        <is>
          <t>00 - SIN SECTOR</t>
        </is>
      </c>
      <c r="C602" t="inlineStr">
        <is>
          <t>00</t>
        </is>
      </c>
      <c r="D602" t="inlineStr">
        <is>
          <t>0000</t>
        </is>
      </c>
      <c r="E602" t="inlineStr">
        <is>
          <t>0000000</t>
        </is>
      </c>
      <c r="F602" t="inlineStr">
        <is>
          <t>SIN PRODUCTO</t>
        </is>
      </c>
      <c r="G602" t="inlineStr">
        <is>
          <t>00</t>
        </is>
      </c>
      <c r="H602" t="inlineStr">
        <is>
          <t>SIN CODIGO BPIN</t>
        </is>
      </c>
      <c r="I602" t="inlineStr">
        <is>
          <t>00</t>
        </is>
      </c>
      <c r="J602" t="inlineStr">
        <is>
          <t>SIN PRODUCTO DANE</t>
        </is>
      </c>
      <c r="K602" t="inlineStr">
        <is>
          <t>00</t>
        </is>
      </c>
      <c r="L602" t="inlineStr">
        <is>
          <t>SIN ATRIBUTO</t>
        </is>
      </c>
      <c r="N602" t="inlineStr">
        <is>
          <t>2.1.1.01.01.001.08.01</t>
        </is>
      </c>
      <c r="O602" t="inlineStr">
        <is>
          <t>Prima de navidad</t>
        </is>
      </c>
      <c r="P602" t="inlineStr">
        <is>
          <t>1.2.1.0.00</t>
        </is>
      </c>
      <c r="Q602" t="inlineStr">
        <is>
          <t>INGRESOS CORRIENTES DE LIBRE DESTINACION</t>
        </is>
      </c>
      <c r="R602" t="n">
        <v>18863322</v>
      </c>
      <c r="S602" t="n">
        <v>1852647</v>
      </c>
      <c r="T602" t="n">
        <v>0</v>
      </c>
      <c r="U602" t="n">
        <v>0</v>
      </c>
      <c r="V602" t="n">
        <v>0</v>
      </c>
      <c r="W602" t="n">
        <v>0</v>
      </c>
      <c r="X602" t="n">
        <v>0</v>
      </c>
      <c r="Y602" t="n">
        <v>20715969</v>
      </c>
      <c r="Z602" t="n">
        <v>0</v>
      </c>
      <c r="AA602" t="n">
        <v>0</v>
      </c>
      <c r="AB602" t="n">
        <v>0</v>
      </c>
      <c r="AC602" t="n">
        <v>0</v>
      </c>
      <c r="AD602" t="n">
        <v>20715969</v>
      </c>
      <c r="AE602" t="n">
        <v>0</v>
      </c>
    </row>
    <row r="603">
      <c r="A603" t="inlineStr">
        <is>
          <t>5 - PERSONERÍA</t>
        </is>
      </c>
      <c r="B603" t="inlineStr">
        <is>
          <t>00 - SIN SECTOR</t>
        </is>
      </c>
      <c r="C603" t="inlineStr">
        <is>
          <t>00</t>
        </is>
      </c>
      <c r="D603" t="inlineStr">
        <is>
          <t>0000</t>
        </is>
      </c>
      <c r="E603" t="inlineStr">
        <is>
          <t>0000000</t>
        </is>
      </c>
      <c r="F603" t="inlineStr">
        <is>
          <t>SIN PRODUCTO</t>
        </is>
      </c>
      <c r="G603" t="inlineStr">
        <is>
          <t>00</t>
        </is>
      </c>
      <c r="H603" t="inlineStr">
        <is>
          <t>SIN CODIGO BPIN</t>
        </is>
      </c>
      <c r="I603" t="inlineStr">
        <is>
          <t>00</t>
        </is>
      </c>
      <c r="J603" t="inlineStr">
        <is>
          <t>SIN PRODUCTO DANE</t>
        </is>
      </c>
      <c r="K603" t="inlineStr">
        <is>
          <t>00</t>
        </is>
      </c>
      <c r="L603" t="inlineStr">
        <is>
          <t>SIN ATRIBUTO</t>
        </is>
      </c>
      <c r="N603" t="inlineStr">
        <is>
          <t>2.1.1.01.01.001.08.02</t>
        </is>
      </c>
      <c r="O603" t="inlineStr">
        <is>
          <t>Prima de vacaciones</t>
        </is>
      </c>
      <c r="P603" t="inlineStr">
        <is>
          <t>1.2.1.0.00</t>
        </is>
      </c>
      <c r="Q603" t="inlineStr">
        <is>
          <t>INGRESOS CORRIENTES DE LIBRE DESTINACION</t>
        </is>
      </c>
      <c r="R603" t="n">
        <v>8972387</v>
      </c>
      <c r="S603" t="n">
        <v>881216</v>
      </c>
      <c r="T603" t="n">
        <v>0</v>
      </c>
      <c r="U603" t="n">
        <v>0</v>
      </c>
      <c r="V603" t="n">
        <v>0</v>
      </c>
      <c r="W603" t="n">
        <v>0</v>
      </c>
      <c r="X603" t="n">
        <v>0</v>
      </c>
      <c r="Y603" t="n">
        <v>9853603</v>
      </c>
      <c r="Z603" t="n">
        <v>0</v>
      </c>
      <c r="AA603" t="n">
        <v>0</v>
      </c>
      <c r="AB603" t="n">
        <v>0</v>
      </c>
      <c r="AC603" t="n">
        <v>0</v>
      </c>
      <c r="AD603" t="n">
        <v>9853603</v>
      </c>
      <c r="AE603" t="n">
        <v>0</v>
      </c>
    </row>
    <row r="604">
      <c r="A604" t="inlineStr">
        <is>
          <t>5 - PERSONERÍA</t>
        </is>
      </c>
      <c r="B604" t="inlineStr">
        <is>
          <t>00 - SIN SECTOR</t>
        </is>
      </c>
      <c r="C604" t="inlineStr">
        <is>
          <t>00</t>
        </is>
      </c>
      <c r="D604" t="inlineStr">
        <is>
          <t>0000</t>
        </is>
      </c>
      <c r="E604" t="inlineStr">
        <is>
          <t>0000000</t>
        </is>
      </c>
      <c r="F604" t="inlineStr">
        <is>
          <t>SIN PRODUCTO</t>
        </is>
      </c>
      <c r="G604" t="inlineStr">
        <is>
          <t>00</t>
        </is>
      </c>
      <c r="H604" t="inlineStr">
        <is>
          <t>SIN CODIGO BPIN</t>
        </is>
      </c>
      <c r="I604" t="inlineStr">
        <is>
          <t>00</t>
        </is>
      </c>
      <c r="J604" t="inlineStr">
        <is>
          <t>SIN PRODUCTO DANE</t>
        </is>
      </c>
      <c r="K604" t="inlineStr">
        <is>
          <t>00</t>
        </is>
      </c>
      <c r="L604" t="inlineStr">
        <is>
          <t>SIN ATRIBUTO</t>
        </is>
      </c>
      <c r="N604" t="inlineStr">
        <is>
          <t>2.1.1.01.01.001.10</t>
        </is>
      </c>
      <c r="O604" t="inlineStr">
        <is>
          <t>Viaticos de los funcionarios en comision</t>
        </is>
      </c>
      <c r="P604" t="inlineStr">
        <is>
          <t>1.2.1.0.00</t>
        </is>
      </c>
      <c r="Q604" t="inlineStr">
        <is>
          <t>INGRESOS CORRIENTES DE LIBRE DESTINACION</t>
        </is>
      </c>
      <c r="R604" t="n">
        <v>23087993</v>
      </c>
      <c r="S604" t="n">
        <v>11725263</v>
      </c>
      <c r="T604" t="n">
        <v>0</v>
      </c>
      <c r="U604" t="n">
        <v>1200000</v>
      </c>
      <c r="V604" t="n">
        <v>0</v>
      </c>
      <c r="W604" t="n">
        <v>0</v>
      </c>
      <c r="X604" t="n">
        <v>0</v>
      </c>
      <c r="Y604" t="n">
        <v>36013256</v>
      </c>
      <c r="Z604" t="n">
        <v>7035859</v>
      </c>
      <c r="AA604" t="n">
        <v>7035859</v>
      </c>
      <c r="AB604" t="n">
        <v>7035859</v>
      </c>
      <c r="AC604" t="n">
        <v>7035859</v>
      </c>
      <c r="AD604" t="n">
        <v>28977397</v>
      </c>
      <c r="AE604" t="n">
        <v>19.54</v>
      </c>
    </row>
    <row r="605">
      <c r="A605" t="inlineStr">
        <is>
          <t>5 - PERSONERÍA</t>
        </is>
      </c>
      <c r="B605" t="inlineStr">
        <is>
          <t>00 - SIN SECTOR</t>
        </is>
      </c>
      <c r="C605" t="inlineStr">
        <is>
          <t>00</t>
        </is>
      </c>
      <c r="D605" t="inlineStr">
        <is>
          <t>0000</t>
        </is>
      </c>
      <c r="E605" t="inlineStr">
        <is>
          <t>0000000</t>
        </is>
      </c>
      <c r="F605" t="inlineStr">
        <is>
          <t>SIN PRODUCTO</t>
        </is>
      </c>
      <c r="G605" t="inlineStr">
        <is>
          <t>00</t>
        </is>
      </c>
      <c r="H605" t="inlineStr">
        <is>
          <t>SIN CODIGO BPIN</t>
        </is>
      </c>
      <c r="I605" t="inlineStr">
        <is>
          <t>00</t>
        </is>
      </c>
      <c r="J605" t="inlineStr">
        <is>
          <t>SIN PRODUCTO DANE</t>
        </is>
      </c>
      <c r="K605" t="inlineStr">
        <is>
          <t>00</t>
        </is>
      </c>
      <c r="L605" t="inlineStr">
        <is>
          <t>SIN ATRIBUTO</t>
        </is>
      </c>
      <c r="N605" t="inlineStr">
        <is>
          <t>2.1.1.01.02</t>
        </is>
      </c>
      <c r="O605" t="inlineStr">
        <is>
          <t>Contribuciones inherentes a la nomina</t>
        </is>
      </c>
      <c r="P605" t="inlineStr">
        <is>
          <t>00</t>
        </is>
      </c>
      <c r="Q605" t="inlineStr">
        <is>
          <t>RECURSO PROPIOS</t>
        </is>
      </c>
      <c r="R605" t="n">
        <v>86544883</v>
      </c>
      <c r="S605" t="n">
        <v>10385385</v>
      </c>
      <c r="T605" t="n">
        <v>0</v>
      </c>
      <c r="U605" t="n">
        <v>0</v>
      </c>
      <c r="V605" t="n">
        <v>0</v>
      </c>
      <c r="W605" t="n">
        <v>0</v>
      </c>
      <c r="X605" t="n">
        <v>0</v>
      </c>
      <c r="Y605" t="n">
        <v>96930268</v>
      </c>
      <c r="Z605" t="n">
        <v>22938500</v>
      </c>
      <c r="AA605" t="n">
        <v>22938500</v>
      </c>
      <c r="AB605" t="n">
        <v>22938500</v>
      </c>
      <c r="AC605" t="n">
        <v>13044900</v>
      </c>
      <c r="AD605" t="n">
        <v>73991768</v>
      </c>
      <c r="AE605" t="n">
        <v>23.66</v>
      </c>
    </row>
    <row r="606">
      <c r="A606" t="inlineStr">
        <is>
          <t>5 - PERSONERÍA</t>
        </is>
      </c>
      <c r="B606" t="inlineStr">
        <is>
          <t>00 - SIN SECTOR</t>
        </is>
      </c>
      <c r="C606" t="inlineStr">
        <is>
          <t>00</t>
        </is>
      </c>
      <c r="D606" t="inlineStr">
        <is>
          <t>0000</t>
        </is>
      </c>
      <c r="E606" t="inlineStr">
        <is>
          <t>0000000</t>
        </is>
      </c>
      <c r="F606" t="inlineStr">
        <is>
          <t>SIN PRODUCTO</t>
        </is>
      </c>
      <c r="G606" t="inlineStr">
        <is>
          <t>00</t>
        </is>
      </c>
      <c r="H606" t="inlineStr">
        <is>
          <t>SIN CODIGO BPIN</t>
        </is>
      </c>
      <c r="I606" t="inlineStr">
        <is>
          <t>00</t>
        </is>
      </c>
      <c r="J606" t="inlineStr">
        <is>
          <t>SIN PRODUCTO DANE</t>
        </is>
      </c>
      <c r="K606" t="inlineStr">
        <is>
          <t>00</t>
        </is>
      </c>
      <c r="L606" t="inlineStr">
        <is>
          <t>SIN ATRIBUTO</t>
        </is>
      </c>
      <c r="N606" t="inlineStr">
        <is>
          <t>2.1.1.01.02.001</t>
        </is>
      </c>
      <c r="O606" t="inlineStr">
        <is>
          <t>Aportes a la seguridad social en pensiones</t>
        </is>
      </c>
      <c r="P606" t="inlineStr">
        <is>
          <t>1.2.1.0.00</t>
        </is>
      </c>
      <c r="Q606" t="inlineStr">
        <is>
          <t>INGRESOS CORRIENTES DE LIBRE DESTINACION</t>
        </is>
      </c>
      <c r="R606" t="n">
        <v>23403904</v>
      </c>
      <c r="S606" t="n">
        <v>2808468</v>
      </c>
      <c r="T606" t="n">
        <v>0</v>
      </c>
      <c r="U606" t="n">
        <v>0</v>
      </c>
      <c r="V606" t="n">
        <v>0</v>
      </c>
      <c r="W606" t="n">
        <v>0</v>
      </c>
      <c r="X606" t="n">
        <v>0</v>
      </c>
      <c r="Y606" t="n">
        <v>26212372</v>
      </c>
      <c r="Z606" t="n">
        <v>9130800</v>
      </c>
      <c r="AA606" t="n">
        <v>9130800</v>
      </c>
      <c r="AB606" t="n">
        <v>9130800</v>
      </c>
      <c r="AC606" t="n">
        <v>5191800</v>
      </c>
      <c r="AD606" t="n">
        <v>17081572</v>
      </c>
      <c r="AE606" t="n">
        <v>34.83</v>
      </c>
    </row>
    <row r="607">
      <c r="A607" t="inlineStr">
        <is>
          <t>5 - PERSONERÍA</t>
        </is>
      </c>
      <c r="B607" t="inlineStr">
        <is>
          <t>00 - SIN SECTOR</t>
        </is>
      </c>
      <c r="C607" t="inlineStr">
        <is>
          <t>00</t>
        </is>
      </c>
      <c r="D607" t="inlineStr">
        <is>
          <t>0000</t>
        </is>
      </c>
      <c r="E607" t="inlineStr">
        <is>
          <t>0000000</t>
        </is>
      </c>
      <c r="F607" t="inlineStr">
        <is>
          <t>SIN PRODUCTO</t>
        </is>
      </c>
      <c r="G607" t="inlineStr">
        <is>
          <t>00</t>
        </is>
      </c>
      <c r="H607" t="inlineStr">
        <is>
          <t>SIN CODIGO BPIN</t>
        </is>
      </c>
      <c r="I607" t="inlineStr">
        <is>
          <t>00</t>
        </is>
      </c>
      <c r="J607" t="inlineStr">
        <is>
          <t>SIN PRODUCTO DANE</t>
        </is>
      </c>
      <c r="K607" t="inlineStr">
        <is>
          <t>00</t>
        </is>
      </c>
      <c r="L607" t="inlineStr">
        <is>
          <t>SIN ATRIBUTO</t>
        </is>
      </c>
      <c r="N607" t="inlineStr">
        <is>
          <t>2.1.1.01.02.002</t>
        </is>
      </c>
      <c r="O607" t="inlineStr">
        <is>
          <t>Aportes a la seguridad social en salud</t>
        </is>
      </c>
      <c r="P607" t="inlineStr">
        <is>
          <t>1.2.1.0.00</t>
        </is>
      </c>
      <c r="Q607" t="inlineStr">
        <is>
          <t>INGRESOS CORRIENTES DE LIBRE DESTINACION</t>
        </is>
      </c>
      <c r="R607" t="n">
        <v>17317840</v>
      </c>
      <c r="S607" t="n">
        <v>2078140</v>
      </c>
      <c r="T607" t="n">
        <v>0</v>
      </c>
      <c r="U607" t="n">
        <v>0</v>
      </c>
      <c r="V607" t="n">
        <v>0</v>
      </c>
      <c r="W607" t="n">
        <v>0</v>
      </c>
      <c r="X607" t="n">
        <v>0</v>
      </c>
      <c r="Y607" t="n">
        <v>19395980</v>
      </c>
      <c r="Z607" t="n">
        <v>6467000</v>
      </c>
      <c r="AA607" t="n">
        <v>6467000</v>
      </c>
      <c r="AB607" t="n">
        <v>6467000</v>
      </c>
      <c r="AC607" t="n">
        <v>3677100</v>
      </c>
      <c r="AD607" t="n">
        <v>12928980</v>
      </c>
      <c r="AE607" t="n">
        <v>33.34</v>
      </c>
    </row>
    <row r="608">
      <c r="A608" t="inlineStr">
        <is>
          <t>5 - PERSONERÍA</t>
        </is>
      </c>
      <c r="B608" t="inlineStr">
        <is>
          <t>00 - SIN SECTOR</t>
        </is>
      </c>
      <c r="C608" t="inlineStr">
        <is>
          <t>00</t>
        </is>
      </c>
      <c r="D608" t="inlineStr">
        <is>
          <t>0000</t>
        </is>
      </c>
      <c r="E608" t="inlineStr">
        <is>
          <t>0000000</t>
        </is>
      </c>
      <c r="F608" t="inlineStr">
        <is>
          <t>SIN PRODUCTO</t>
        </is>
      </c>
      <c r="G608" t="inlineStr">
        <is>
          <t>00</t>
        </is>
      </c>
      <c r="H608" t="inlineStr">
        <is>
          <t>SIN CODIGO BPIN</t>
        </is>
      </c>
      <c r="I608" t="inlineStr">
        <is>
          <t>00</t>
        </is>
      </c>
      <c r="J608" t="inlineStr">
        <is>
          <t>SIN PRODUCTO DANE</t>
        </is>
      </c>
      <c r="K608" t="inlineStr">
        <is>
          <t>00</t>
        </is>
      </c>
      <c r="L608" t="inlineStr">
        <is>
          <t>SIN ATRIBUTO</t>
        </is>
      </c>
      <c r="N608" t="inlineStr">
        <is>
          <t>2.1.1.01.02.003</t>
        </is>
      </c>
      <c r="O608" t="inlineStr">
        <is>
          <t>Aportes de cesantias</t>
        </is>
      </c>
      <c r="P608" t="inlineStr">
        <is>
          <t>1.2.1.0.00</t>
        </is>
      </c>
      <c r="Q608" t="inlineStr">
        <is>
          <t>INGRESOS CORRIENTES DE LIBRE DESTINACION</t>
        </is>
      </c>
      <c r="R608" t="n">
        <v>23851382</v>
      </c>
      <c r="S608" t="n">
        <v>2862165</v>
      </c>
      <c r="T608" t="n">
        <v>0</v>
      </c>
      <c r="U608" t="n">
        <v>0</v>
      </c>
      <c r="V608" t="n">
        <v>0</v>
      </c>
      <c r="W608" t="n">
        <v>0</v>
      </c>
      <c r="X608" t="n">
        <v>0</v>
      </c>
      <c r="Y608" t="n">
        <v>26713547</v>
      </c>
      <c r="Z608" t="n">
        <v>0</v>
      </c>
      <c r="AA608" t="n">
        <v>0</v>
      </c>
      <c r="AB608" t="n">
        <v>0</v>
      </c>
      <c r="AC608" t="n">
        <v>0</v>
      </c>
      <c r="AD608" t="n">
        <v>26713547</v>
      </c>
      <c r="AE608" t="n">
        <v>0</v>
      </c>
    </row>
    <row r="609">
      <c r="A609" t="inlineStr">
        <is>
          <t>5 - PERSONERÍA</t>
        </is>
      </c>
      <c r="B609" t="inlineStr">
        <is>
          <t>00 - SIN SECTOR</t>
        </is>
      </c>
      <c r="C609" t="inlineStr">
        <is>
          <t>00</t>
        </is>
      </c>
      <c r="D609" t="inlineStr">
        <is>
          <t>0000</t>
        </is>
      </c>
      <c r="E609" t="inlineStr">
        <is>
          <t>0000000</t>
        </is>
      </c>
      <c r="F609" t="inlineStr">
        <is>
          <t>SIN PRODUCTO</t>
        </is>
      </c>
      <c r="G609" t="inlineStr">
        <is>
          <t>00</t>
        </is>
      </c>
      <c r="H609" t="inlineStr">
        <is>
          <t>SIN CODIGO BPIN</t>
        </is>
      </c>
      <c r="I609" t="inlineStr">
        <is>
          <t>00</t>
        </is>
      </c>
      <c r="J609" t="inlineStr">
        <is>
          <t>SIN PRODUCTO DANE</t>
        </is>
      </c>
      <c r="K609" t="inlineStr">
        <is>
          <t>00</t>
        </is>
      </c>
      <c r="L609" t="inlineStr">
        <is>
          <t>SIN ATRIBUTO</t>
        </is>
      </c>
      <c r="N609" t="inlineStr">
        <is>
          <t>2.1.1.01.02.004</t>
        </is>
      </c>
      <c r="O609" t="inlineStr">
        <is>
          <t>Aportes a cajas de compensacion familiar</t>
        </is>
      </c>
      <c r="P609" t="inlineStr">
        <is>
          <t>1.2.1.0.00</t>
        </is>
      </c>
      <c r="Q609" t="inlineStr">
        <is>
          <t>INGRESOS CORRIENTES DE LIBRE DESTINACION</t>
        </is>
      </c>
      <c r="R609" t="n">
        <v>9292184</v>
      </c>
      <c r="S609" t="n">
        <v>1115062</v>
      </c>
      <c r="T609" t="n">
        <v>0</v>
      </c>
      <c r="U609" t="n">
        <v>0</v>
      </c>
      <c r="V609" t="n">
        <v>0</v>
      </c>
      <c r="W609" t="n">
        <v>0</v>
      </c>
      <c r="X609" t="n">
        <v>0</v>
      </c>
      <c r="Y609" t="n">
        <v>10407246</v>
      </c>
      <c r="Z609" t="n">
        <v>3084000</v>
      </c>
      <c r="AA609" t="n">
        <v>3084000</v>
      </c>
      <c r="AB609" t="n">
        <v>3084000</v>
      </c>
      <c r="AC609" t="n">
        <v>1754400</v>
      </c>
      <c r="AD609" t="n">
        <v>7323246</v>
      </c>
      <c r="AE609" t="n">
        <v>29.63</v>
      </c>
    </row>
    <row r="610">
      <c r="A610" t="inlineStr">
        <is>
          <t>5 - PERSONERÍA</t>
        </is>
      </c>
      <c r="B610" t="inlineStr">
        <is>
          <t>00 - SIN SECTOR</t>
        </is>
      </c>
      <c r="C610" t="inlineStr">
        <is>
          <t>00</t>
        </is>
      </c>
      <c r="D610" t="inlineStr">
        <is>
          <t>0000</t>
        </is>
      </c>
      <c r="E610" t="inlineStr">
        <is>
          <t>0000000</t>
        </is>
      </c>
      <c r="F610" t="inlineStr">
        <is>
          <t>SIN PRODUCTO</t>
        </is>
      </c>
      <c r="G610" t="inlineStr">
        <is>
          <t>00</t>
        </is>
      </c>
      <c r="H610" t="inlineStr">
        <is>
          <t>SIN CODIGO BPIN</t>
        </is>
      </c>
      <c r="I610" t="inlineStr">
        <is>
          <t>00</t>
        </is>
      </c>
      <c r="J610" t="inlineStr">
        <is>
          <t>SIN PRODUCTO DANE</t>
        </is>
      </c>
      <c r="K610" t="inlineStr">
        <is>
          <t>00</t>
        </is>
      </c>
      <c r="L610" t="inlineStr">
        <is>
          <t>SIN ATRIBUTO</t>
        </is>
      </c>
      <c r="N610" t="inlineStr">
        <is>
          <t>2.1.1.01.02.005</t>
        </is>
      </c>
      <c r="O610" t="inlineStr">
        <is>
          <t>Aportes generales al sistema de riesgos laborales</t>
        </is>
      </c>
      <c r="P610" t="inlineStr">
        <is>
          <t>1.2.1.0.00</t>
        </is>
      </c>
      <c r="Q610" t="inlineStr">
        <is>
          <t>INGRESOS CORRIENTES DE LIBRE DESTINACION</t>
        </is>
      </c>
      <c r="R610" t="n">
        <v>1058301</v>
      </c>
      <c r="S610" t="n">
        <v>126996</v>
      </c>
      <c r="T610" t="n">
        <v>0</v>
      </c>
      <c r="U610" t="n">
        <v>0</v>
      </c>
      <c r="V610" t="n">
        <v>0</v>
      </c>
      <c r="W610" t="n">
        <v>0</v>
      </c>
      <c r="X610" t="n">
        <v>0</v>
      </c>
      <c r="Y610" t="n">
        <v>1185297</v>
      </c>
      <c r="Z610" t="n">
        <v>398300</v>
      </c>
      <c r="AA610" t="n">
        <v>398300</v>
      </c>
      <c r="AB610" t="n">
        <v>398300</v>
      </c>
      <c r="AC610" t="n">
        <v>226500</v>
      </c>
      <c r="AD610" t="n">
        <v>786997</v>
      </c>
      <c r="AE610" t="n">
        <v>33.6</v>
      </c>
    </row>
    <row r="611">
      <c r="A611" t="inlineStr">
        <is>
          <t>5 - PERSONERÍA</t>
        </is>
      </c>
      <c r="B611" t="inlineStr">
        <is>
          <t>00 - SIN SECTOR</t>
        </is>
      </c>
      <c r="C611" t="inlineStr">
        <is>
          <t>00</t>
        </is>
      </c>
      <c r="D611" t="inlineStr">
        <is>
          <t>0000</t>
        </is>
      </c>
      <c r="E611" t="inlineStr">
        <is>
          <t>0000000</t>
        </is>
      </c>
      <c r="F611" t="inlineStr">
        <is>
          <t>SIN PRODUCTO</t>
        </is>
      </c>
      <c r="G611" t="inlineStr">
        <is>
          <t>00</t>
        </is>
      </c>
      <c r="H611" t="inlineStr">
        <is>
          <t>SIN CODIGO BPIN</t>
        </is>
      </c>
      <c r="I611" t="inlineStr">
        <is>
          <t>00</t>
        </is>
      </c>
      <c r="J611" t="inlineStr">
        <is>
          <t>SIN PRODUCTO DANE</t>
        </is>
      </c>
      <c r="K611" t="inlineStr">
        <is>
          <t>00</t>
        </is>
      </c>
      <c r="L611" t="inlineStr">
        <is>
          <t>SIN ATRIBUTO</t>
        </is>
      </c>
      <c r="N611" t="inlineStr">
        <is>
          <t>2.1.1.01.02.006</t>
        </is>
      </c>
      <c r="O611" t="inlineStr">
        <is>
          <t>Aportes al icbf</t>
        </is>
      </c>
      <c r="P611" t="inlineStr">
        <is>
          <t>1.2.1.0.00</t>
        </is>
      </c>
      <c r="Q611" t="inlineStr">
        <is>
          <t>INGRESOS CORRIENTES DE LIBRE DESTINACION</t>
        </is>
      </c>
      <c r="R611" t="n">
        <v>6969733</v>
      </c>
      <c r="S611" t="n">
        <v>836367</v>
      </c>
      <c r="T611" t="n">
        <v>0</v>
      </c>
      <c r="U611" t="n">
        <v>0</v>
      </c>
      <c r="V611" t="n">
        <v>0</v>
      </c>
      <c r="W611" t="n">
        <v>0</v>
      </c>
      <c r="X611" t="n">
        <v>0</v>
      </c>
      <c r="Y611" t="n">
        <v>7806100</v>
      </c>
      <c r="Z611" t="n">
        <v>2313500</v>
      </c>
      <c r="AA611" t="n">
        <v>2313500</v>
      </c>
      <c r="AB611" t="n">
        <v>2313500</v>
      </c>
      <c r="AC611" t="n">
        <v>1316100</v>
      </c>
      <c r="AD611" t="n">
        <v>5492600</v>
      </c>
      <c r="AE611" t="n">
        <v>29.64</v>
      </c>
    </row>
    <row r="612">
      <c r="A612" t="inlineStr">
        <is>
          <t>5 - PERSONERÍA</t>
        </is>
      </c>
      <c r="B612" t="inlineStr">
        <is>
          <t>00 - SIN SECTOR</t>
        </is>
      </c>
      <c r="C612" t="inlineStr">
        <is>
          <t>00</t>
        </is>
      </c>
      <c r="D612" t="inlineStr">
        <is>
          <t>0000</t>
        </is>
      </c>
      <c r="E612" t="inlineStr">
        <is>
          <t>0000000</t>
        </is>
      </c>
      <c r="F612" t="inlineStr">
        <is>
          <t>SIN PRODUCTO</t>
        </is>
      </c>
      <c r="G612" t="inlineStr">
        <is>
          <t>00</t>
        </is>
      </c>
      <c r="H612" t="inlineStr">
        <is>
          <t>SIN CODIGO BPIN</t>
        </is>
      </c>
      <c r="I612" t="inlineStr">
        <is>
          <t>00</t>
        </is>
      </c>
      <c r="J612" t="inlineStr">
        <is>
          <t>SIN PRODUCTO DANE</t>
        </is>
      </c>
      <c r="K612" t="inlineStr">
        <is>
          <t>00</t>
        </is>
      </c>
      <c r="L612" t="inlineStr">
        <is>
          <t>SIN ATRIBUTO</t>
        </is>
      </c>
      <c r="N612" t="inlineStr">
        <is>
          <t>2.1.1.01.02.007</t>
        </is>
      </c>
      <c r="O612" t="inlineStr">
        <is>
          <t>Aportes al sena</t>
        </is>
      </c>
      <c r="P612" t="inlineStr">
        <is>
          <t>1.2.1.0.00</t>
        </is>
      </c>
      <c r="Q612" t="inlineStr">
        <is>
          <t>INGRESOS CORRIENTES DE LIBRE DESTINACION</t>
        </is>
      </c>
      <c r="R612" t="n">
        <v>1163354</v>
      </c>
      <c r="S612" t="n">
        <v>139604</v>
      </c>
      <c r="T612" t="n">
        <v>0</v>
      </c>
      <c r="U612" t="n">
        <v>0</v>
      </c>
      <c r="V612" t="n">
        <v>0</v>
      </c>
      <c r="W612" t="n">
        <v>0</v>
      </c>
      <c r="X612" t="n">
        <v>0</v>
      </c>
      <c r="Y612" t="n">
        <v>1302958</v>
      </c>
      <c r="Z612" t="n">
        <v>386500</v>
      </c>
      <c r="AA612" t="n">
        <v>386500</v>
      </c>
      <c r="AB612" t="n">
        <v>386500</v>
      </c>
      <c r="AC612" t="n">
        <v>219900</v>
      </c>
      <c r="AD612" t="n">
        <v>916458</v>
      </c>
      <c r="AE612" t="n">
        <v>29.66</v>
      </c>
    </row>
    <row r="613">
      <c r="A613" t="inlineStr">
        <is>
          <t>5 - PERSONERÍA</t>
        </is>
      </c>
      <c r="B613" t="inlineStr">
        <is>
          <t>00 - SIN SECTOR</t>
        </is>
      </c>
      <c r="C613" t="inlineStr">
        <is>
          <t>00</t>
        </is>
      </c>
      <c r="D613" t="inlineStr">
        <is>
          <t>0000</t>
        </is>
      </c>
      <c r="E613" t="inlineStr">
        <is>
          <t>0000000</t>
        </is>
      </c>
      <c r="F613" t="inlineStr">
        <is>
          <t>SIN PRODUCTO</t>
        </is>
      </c>
      <c r="G613" t="inlineStr">
        <is>
          <t>00</t>
        </is>
      </c>
      <c r="H613" t="inlineStr">
        <is>
          <t>SIN CODIGO BPIN</t>
        </is>
      </c>
      <c r="I613" t="inlineStr">
        <is>
          <t>00</t>
        </is>
      </c>
      <c r="J613" t="inlineStr">
        <is>
          <t>SIN PRODUCTO DANE</t>
        </is>
      </c>
      <c r="K613" t="inlineStr">
        <is>
          <t>00</t>
        </is>
      </c>
      <c r="L613" t="inlineStr">
        <is>
          <t>SIN ATRIBUTO</t>
        </is>
      </c>
      <c r="N613" t="inlineStr">
        <is>
          <t>2.1.1.01.02.008</t>
        </is>
      </c>
      <c r="O613" t="inlineStr">
        <is>
          <t>Aportes a la esap</t>
        </is>
      </c>
      <c r="P613" t="inlineStr">
        <is>
          <t>1.2.1.0.00</t>
        </is>
      </c>
      <c r="Q613" t="inlineStr">
        <is>
          <t>INGRESOS CORRIENTES DE LIBRE DESTINACION</t>
        </is>
      </c>
      <c r="R613" t="n">
        <v>1163354</v>
      </c>
      <c r="S613" t="n">
        <v>139604</v>
      </c>
      <c r="T613" t="n">
        <v>0</v>
      </c>
      <c r="U613" t="n">
        <v>0</v>
      </c>
      <c r="V613" t="n">
        <v>0</v>
      </c>
      <c r="W613" t="n">
        <v>0</v>
      </c>
      <c r="X613" t="n">
        <v>0</v>
      </c>
      <c r="Y613" t="n">
        <v>1302958</v>
      </c>
      <c r="Z613" t="n">
        <v>386500</v>
      </c>
      <c r="AA613" t="n">
        <v>386500</v>
      </c>
      <c r="AB613" t="n">
        <v>386500</v>
      </c>
      <c r="AC613" t="n">
        <v>219900</v>
      </c>
      <c r="AD613" t="n">
        <v>916458</v>
      </c>
      <c r="AE613" t="n">
        <v>29.66</v>
      </c>
    </row>
    <row r="614">
      <c r="A614" t="inlineStr">
        <is>
          <t>5 - PERSONERÍA</t>
        </is>
      </c>
      <c r="B614" t="inlineStr">
        <is>
          <t>00 - SIN SECTOR</t>
        </is>
      </c>
      <c r="C614" t="inlineStr">
        <is>
          <t>00</t>
        </is>
      </c>
      <c r="D614" t="inlineStr">
        <is>
          <t>0000</t>
        </is>
      </c>
      <c r="E614" t="inlineStr">
        <is>
          <t>0000000</t>
        </is>
      </c>
      <c r="F614" t="inlineStr">
        <is>
          <t>SIN PRODUCTO</t>
        </is>
      </c>
      <c r="G614" t="inlineStr">
        <is>
          <t>00</t>
        </is>
      </c>
      <c r="H614" t="inlineStr">
        <is>
          <t>SIN CODIGO BPIN</t>
        </is>
      </c>
      <c r="I614" t="inlineStr">
        <is>
          <t>00</t>
        </is>
      </c>
      <c r="J614" t="inlineStr">
        <is>
          <t>SIN PRODUCTO DANE</t>
        </is>
      </c>
      <c r="K614" t="inlineStr">
        <is>
          <t>00</t>
        </is>
      </c>
      <c r="L614" t="inlineStr">
        <is>
          <t>SIN ATRIBUTO</t>
        </is>
      </c>
      <c r="N614" t="inlineStr">
        <is>
          <t>2.1.1.01.02.009</t>
        </is>
      </c>
      <c r="O614" t="inlineStr">
        <is>
          <t>Aportes a escuelas industriales e institutos tecnicos</t>
        </is>
      </c>
      <c r="P614" t="inlineStr">
        <is>
          <t>1.2.1.0.00</t>
        </is>
      </c>
      <c r="Q614" t="inlineStr">
        <is>
          <t>INGRESOS CORRIENTES DE LIBRE DESTINACION</t>
        </is>
      </c>
      <c r="R614" t="n">
        <v>2324831</v>
      </c>
      <c r="S614" t="n">
        <v>278979</v>
      </c>
      <c r="T614" t="n">
        <v>0</v>
      </c>
      <c r="U614" t="n">
        <v>0</v>
      </c>
      <c r="V614" t="n">
        <v>0</v>
      </c>
      <c r="W614" t="n">
        <v>0</v>
      </c>
      <c r="X614" t="n">
        <v>0</v>
      </c>
      <c r="Y614" t="n">
        <v>2603810</v>
      </c>
      <c r="Z614" t="n">
        <v>771900</v>
      </c>
      <c r="AA614" t="n">
        <v>771900</v>
      </c>
      <c r="AB614" t="n">
        <v>771900</v>
      </c>
      <c r="AC614" t="n">
        <v>439200</v>
      </c>
      <c r="AD614" t="n">
        <v>1831910</v>
      </c>
      <c r="AE614" t="n">
        <v>29.65</v>
      </c>
    </row>
    <row r="615">
      <c r="A615" t="inlineStr">
        <is>
          <t>5 - PERSONERÍA</t>
        </is>
      </c>
      <c r="B615" t="inlineStr">
        <is>
          <t>00 - SIN SECTOR</t>
        </is>
      </c>
      <c r="C615" t="inlineStr">
        <is>
          <t>00</t>
        </is>
      </c>
      <c r="D615" t="inlineStr">
        <is>
          <t>0000</t>
        </is>
      </c>
      <c r="E615" t="inlineStr">
        <is>
          <t>0000000</t>
        </is>
      </c>
      <c r="F615" t="inlineStr">
        <is>
          <t>SIN PRODUCTO</t>
        </is>
      </c>
      <c r="G615" t="inlineStr">
        <is>
          <t>00</t>
        </is>
      </c>
      <c r="H615" t="inlineStr">
        <is>
          <t>SIN CODIGO BPIN</t>
        </is>
      </c>
      <c r="I615" t="inlineStr">
        <is>
          <t>00</t>
        </is>
      </c>
      <c r="J615" t="inlineStr">
        <is>
          <t>SIN PRODUCTO DANE</t>
        </is>
      </c>
      <c r="K615" t="inlineStr">
        <is>
          <t>00</t>
        </is>
      </c>
      <c r="L615" t="inlineStr">
        <is>
          <t>SIN ATRIBUTO</t>
        </is>
      </c>
      <c r="N615" t="inlineStr">
        <is>
          <t>2.1.1.01.03</t>
        </is>
      </c>
      <c r="O615" t="inlineStr">
        <is>
          <t>Remuneraciones no constitutivas de factor salarial</t>
        </is>
      </c>
      <c r="P615" t="inlineStr">
        <is>
          <t>00</t>
        </is>
      </c>
      <c r="Q615" t="inlineStr">
        <is>
          <t>RECURSO PROPIOS</t>
        </is>
      </c>
      <c r="R615" t="n">
        <v>13876381</v>
      </c>
      <c r="S615" t="n">
        <v>1526401</v>
      </c>
      <c r="T615" t="n">
        <v>0</v>
      </c>
      <c r="U615" t="n">
        <v>0</v>
      </c>
      <c r="V615" t="n">
        <v>0</v>
      </c>
      <c r="W615" t="n">
        <v>0</v>
      </c>
      <c r="X615" t="n">
        <v>0</v>
      </c>
      <c r="Y615" t="n">
        <v>15402782</v>
      </c>
      <c r="Z615" t="n">
        <v>0</v>
      </c>
      <c r="AA615" t="n">
        <v>0</v>
      </c>
      <c r="AB615" t="n">
        <v>0</v>
      </c>
      <c r="AC615" t="n">
        <v>0</v>
      </c>
      <c r="AD615" t="n">
        <v>15402782</v>
      </c>
      <c r="AE615" t="n">
        <v>0</v>
      </c>
    </row>
    <row r="616">
      <c r="A616" t="inlineStr">
        <is>
          <t>5 - PERSONERÍA</t>
        </is>
      </c>
      <c r="B616" t="inlineStr">
        <is>
          <t>00 - SIN SECTOR</t>
        </is>
      </c>
      <c r="C616" t="inlineStr">
        <is>
          <t>00</t>
        </is>
      </c>
      <c r="D616" t="inlineStr">
        <is>
          <t>0000</t>
        </is>
      </c>
      <c r="E616" t="inlineStr">
        <is>
          <t>0000000</t>
        </is>
      </c>
      <c r="F616" t="inlineStr">
        <is>
          <t>SIN PRODUCTO</t>
        </is>
      </c>
      <c r="G616" t="inlineStr">
        <is>
          <t>00</t>
        </is>
      </c>
      <c r="H616" t="inlineStr">
        <is>
          <t>SIN CODIGO BPIN</t>
        </is>
      </c>
      <c r="I616" t="inlineStr">
        <is>
          <t>00</t>
        </is>
      </c>
      <c r="J616" t="inlineStr">
        <is>
          <t>SIN PRODUCTO DANE</t>
        </is>
      </c>
      <c r="K616" t="inlineStr">
        <is>
          <t>00</t>
        </is>
      </c>
      <c r="L616" t="inlineStr">
        <is>
          <t>SIN ATRIBUTO</t>
        </is>
      </c>
      <c r="N616" t="inlineStr">
        <is>
          <t>2.1.1.01.03.001</t>
        </is>
      </c>
      <c r="O616" t="inlineStr">
        <is>
          <t>Prestaciones sociales</t>
        </is>
      </c>
      <c r="P616" t="inlineStr">
        <is>
          <t>00</t>
        </is>
      </c>
      <c r="Q616" t="inlineStr">
        <is>
          <t>RECURSO PROPIOS</t>
        </is>
      </c>
      <c r="R616" t="n">
        <v>13876381</v>
      </c>
      <c r="S616" t="n">
        <v>1526401</v>
      </c>
      <c r="T616" t="n">
        <v>0</v>
      </c>
      <c r="U616" t="n">
        <v>0</v>
      </c>
      <c r="V616" t="n">
        <v>0</v>
      </c>
      <c r="W616" t="n">
        <v>0</v>
      </c>
      <c r="X616" t="n">
        <v>0</v>
      </c>
      <c r="Y616" t="n">
        <v>15402782</v>
      </c>
      <c r="Z616" t="n">
        <v>0</v>
      </c>
      <c r="AA616" t="n">
        <v>0</v>
      </c>
      <c r="AB616" t="n">
        <v>0</v>
      </c>
      <c r="AC616" t="n">
        <v>0</v>
      </c>
      <c r="AD616" t="n">
        <v>15402782</v>
      </c>
      <c r="AE616" t="n">
        <v>0</v>
      </c>
    </row>
    <row r="617">
      <c r="A617" t="inlineStr">
        <is>
          <t>5 - PERSONERÍA</t>
        </is>
      </c>
      <c r="B617" t="inlineStr">
        <is>
          <t>00 - SIN SECTOR</t>
        </is>
      </c>
      <c r="C617" t="inlineStr">
        <is>
          <t>00</t>
        </is>
      </c>
      <c r="D617" t="inlineStr">
        <is>
          <t>0000</t>
        </is>
      </c>
      <c r="E617" t="inlineStr">
        <is>
          <t>0000000</t>
        </is>
      </c>
      <c r="F617" t="inlineStr">
        <is>
          <t>SIN PRODUCTO</t>
        </is>
      </c>
      <c r="G617" t="inlineStr">
        <is>
          <t>00</t>
        </is>
      </c>
      <c r="H617" t="inlineStr">
        <is>
          <t>SIN CODIGO BPIN</t>
        </is>
      </c>
      <c r="I617" t="inlineStr">
        <is>
          <t>00</t>
        </is>
      </c>
      <c r="J617" t="inlineStr">
        <is>
          <t>SIN PRODUCTO DANE</t>
        </is>
      </c>
      <c r="K617" t="inlineStr">
        <is>
          <t>00</t>
        </is>
      </c>
      <c r="L617" t="inlineStr">
        <is>
          <t>SIN ATRIBUTO</t>
        </is>
      </c>
      <c r="N617" t="inlineStr">
        <is>
          <t>2.1.1.01.03.001.01</t>
        </is>
      </c>
      <c r="O617" t="inlineStr">
        <is>
          <t>Vacaciones</t>
        </is>
      </c>
      <c r="P617" t="inlineStr">
        <is>
          <t>1.2.1.0.00</t>
        </is>
      </c>
      <c r="Q617" t="inlineStr">
        <is>
          <t>INGRESOS CORRIENTES DE LIBRE DESTINACION</t>
        </is>
      </c>
      <c r="R617" t="n">
        <v>3571093</v>
      </c>
      <c r="S617" t="n">
        <v>392820</v>
      </c>
      <c r="T617" t="n">
        <v>0</v>
      </c>
      <c r="U617" t="n">
        <v>0</v>
      </c>
      <c r="V617" t="n">
        <v>0</v>
      </c>
      <c r="W617" t="n">
        <v>0</v>
      </c>
      <c r="X617" t="n">
        <v>0</v>
      </c>
      <c r="Y617" t="n">
        <v>3963913</v>
      </c>
      <c r="Z617" t="n">
        <v>0</v>
      </c>
      <c r="AA617" t="n">
        <v>0</v>
      </c>
      <c r="AB617" t="n">
        <v>0</v>
      </c>
      <c r="AC617" t="n">
        <v>0</v>
      </c>
      <c r="AD617" t="n">
        <v>3963913</v>
      </c>
      <c r="AE617" t="n">
        <v>0</v>
      </c>
    </row>
    <row r="618">
      <c r="A618" t="inlineStr">
        <is>
          <t>5 - PERSONERÍA</t>
        </is>
      </c>
      <c r="B618" t="inlineStr">
        <is>
          <t>00 - SIN SECTOR</t>
        </is>
      </c>
      <c r="C618" t="inlineStr">
        <is>
          <t>00</t>
        </is>
      </c>
      <c r="D618" t="inlineStr">
        <is>
          <t>0000</t>
        </is>
      </c>
      <c r="E618" t="inlineStr">
        <is>
          <t>0000000</t>
        </is>
      </c>
      <c r="F618" t="inlineStr">
        <is>
          <t>SIN PRODUCTO</t>
        </is>
      </c>
      <c r="G618" t="inlineStr">
        <is>
          <t>00</t>
        </is>
      </c>
      <c r="H618" t="inlineStr">
        <is>
          <t>SIN CODIGO BPIN</t>
        </is>
      </c>
      <c r="I618" t="inlineStr">
        <is>
          <t>00</t>
        </is>
      </c>
      <c r="J618" t="inlineStr">
        <is>
          <t>SIN PRODUCTO DANE</t>
        </is>
      </c>
      <c r="K618" t="inlineStr">
        <is>
          <t>00</t>
        </is>
      </c>
      <c r="L618" t="inlineStr">
        <is>
          <t>SIN ATRIBUTO</t>
        </is>
      </c>
      <c r="N618" t="inlineStr">
        <is>
          <t>2.1.1.01.03.001.02</t>
        </is>
      </c>
      <c r="O618" t="inlineStr">
        <is>
          <t>Indemnizacion por vacaciones</t>
        </is>
      </c>
      <c r="P618" t="inlineStr">
        <is>
          <t>1.2.1.0.00</t>
        </is>
      </c>
      <c r="Q618" t="inlineStr">
        <is>
          <t>INGRESOS CORRIENTES DE LIBRE DESTINACION</t>
        </is>
      </c>
      <c r="R618" t="n">
        <v>9249229</v>
      </c>
      <c r="S618" t="n">
        <v>1017415</v>
      </c>
      <c r="T618" t="n">
        <v>0</v>
      </c>
      <c r="U618" t="n">
        <v>0</v>
      </c>
      <c r="V618" t="n">
        <v>0</v>
      </c>
      <c r="W618" t="n">
        <v>0</v>
      </c>
      <c r="X618" t="n">
        <v>0</v>
      </c>
      <c r="Y618" t="n">
        <v>10266644</v>
      </c>
      <c r="Z618" t="n">
        <v>0</v>
      </c>
      <c r="AA618" t="n">
        <v>0</v>
      </c>
      <c r="AB618" t="n">
        <v>0</v>
      </c>
      <c r="AC618" t="n">
        <v>0</v>
      </c>
      <c r="AD618" t="n">
        <v>10266644</v>
      </c>
      <c r="AE618" t="n">
        <v>0</v>
      </c>
    </row>
    <row r="619">
      <c r="A619" t="inlineStr">
        <is>
          <t>5 - PERSONERÍA</t>
        </is>
      </c>
      <c r="B619" t="inlineStr">
        <is>
          <t>00 - SIN SECTOR</t>
        </is>
      </c>
      <c r="C619" t="inlineStr">
        <is>
          <t>00</t>
        </is>
      </c>
      <c r="D619" t="inlineStr">
        <is>
          <t>0000</t>
        </is>
      </c>
      <c r="E619" t="inlineStr">
        <is>
          <t>0000000</t>
        </is>
      </c>
      <c r="F619" t="inlineStr">
        <is>
          <t>SIN PRODUCTO</t>
        </is>
      </c>
      <c r="G619" t="inlineStr">
        <is>
          <t>00</t>
        </is>
      </c>
      <c r="H619" t="inlineStr">
        <is>
          <t>SIN CODIGO BPIN</t>
        </is>
      </c>
      <c r="I619" t="inlineStr">
        <is>
          <t>00</t>
        </is>
      </c>
      <c r="J619" t="inlineStr">
        <is>
          <t>SIN PRODUCTO DANE</t>
        </is>
      </c>
      <c r="K619" t="inlineStr">
        <is>
          <t>00</t>
        </is>
      </c>
      <c r="L619" t="inlineStr">
        <is>
          <t>SIN ATRIBUTO</t>
        </is>
      </c>
      <c r="N619" t="inlineStr">
        <is>
          <t>2.1.1.01.03.001.03</t>
        </is>
      </c>
      <c r="O619" t="inlineStr">
        <is>
          <t>Bonificacion especial de recreacion</t>
        </is>
      </c>
      <c r="P619" t="inlineStr">
        <is>
          <t>1.2.1.0.00</t>
        </is>
      </c>
      <c r="Q619" t="inlineStr">
        <is>
          <t>INGRESOS CORRIENTES DE LIBRE DESTINACION</t>
        </is>
      </c>
      <c r="R619" t="n">
        <v>1056059</v>
      </c>
      <c r="S619" t="n">
        <v>116166</v>
      </c>
      <c r="T619" t="n">
        <v>0</v>
      </c>
      <c r="U619" t="n">
        <v>0</v>
      </c>
      <c r="V619" t="n">
        <v>0</v>
      </c>
      <c r="W619" t="n">
        <v>0</v>
      </c>
      <c r="X619" t="n">
        <v>0</v>
      </c>
      <c r="Y619" t="n">
        <v>1172225</v>
      </c>
      <c r="Z619" t="n">
        <v>0</v>
      </c>
      <c r="AA619" t="n">
        <v>0</v>
      </c>
      <c r="AB619" t="n">
        <v>0</v>
      </c>
      <c r="AC619" t="n">
        <v>0</v>
      </c>
      <c r="AD619" t="n">
        <v>1172225</v>
      </c>
      <c r="AE619" t="n">
        <v>0</v>
      </c>
    </row>
    <row r="620">
      <c r="A620" t="inlineStr">
        <is>
          <t>5 - PERSONERÍA</t>
        </is>
      </c>
      <c r="B620" t="inlineStr">
        <is>
          <t>00 - SIN SECTOR</t>
        </is>
      </c>
      <c r="C620" t="inlineStr">
        <is>
          <t>00</t>
        </is>
      </c>
      <c r="D620" t="inlineStr">
        <is>
          <t>0000</t>
        </is>
      </c>
      <c r="E620" t="inlineStr">
        <is>
          <t>0000000</t>
        </is>
      </c>
      <c r="F620" t="inlineStr">
        <is>
          <t>SIN PRODUCTO</t>
        </is>
      </c>
      <c r="G620" t="inlineStr">
        <is>
          <t>00</t>
        </is>
      </c>
      <c r="H620" t="inlineStr">
        <is>
          <t>SIN CODIGO BPIN</t>
        </is>
      </c>
      <c r="I620" t="inlineStr">
        <is>
          <t>00</t>
        </is>
      </c>
      <c r="J620" t="inlineStr">
        <is>
          <t>SIN PRODUCTO DANE</t>
        </is>
      </c>
      <c r="K620" t="inlineStr">
        <is>
          <t>00</t>
        </is>
      </c>
      <c r="L620" t="inlineStr">
        <is>
          <t>SIN ATRIBUTO</t>
        </is>
      </c>
      <c r="N620" t="inlineStr">
        <is>
          <t>2.1.2</t>
        </is>
      </c>
      <c r="O620" t="inlineStr">
        <is>
          <t>Adquisicion de bienes y servicios</t>
        </is>
      </c>
      <c r="P620" t="inlineStr">
        <is>
          <t>00</t>
        </is>
      </c>
      <c r="Q620" t="inlineStr">
        <is>
          <t>RECURSO PROPIOS</t>
        </is>
      </c>
      <c r="R620" t="n">
        <v>102307767</v>
      </c>
      <c r="S620" t="n">
        <v>8538259</v>
      </c>
      <c r="T620" t="n">
        <v>0</v>
      </c>
      <c r="U620" t="n">
        <v>21800000</v>
      </c>
      <c r="V620" t="n">
        <v>3900000</v>
      </c>
      <c r="W620" t="n">
        <v>0</v>
      </c>
      <c r="X620" t="n">
        <v>0</v>
      </c>
      <c r="Y620" t="n">
        <v>128746026</v>
      </c>
      <c r="Z620" t="n">
        <v>113100000</v>
      </c>
      <c r="AA620" t="n">
        <v>113100000</v>
      </c>
      <c r="AB620" t="n">
        <v>46300000</v>
      </c>
      <c r="AC620" t="n">
        <v>46300000</v>
      </c>
      <c r="AD620" t="n">
        <v>15646026</v>
      </c>
      <c r="AE620" t="n">
        <v>87.84999999999999</v>
      </c>
    </row>
    <row r="621">
      <c r="A621" t="inlineStr">
        <is>
          <t>5 - PERSONERÍA</t>
        </is>
      </c>
      <c r="B621" t="inlineStr">
        <is>
          <t>00 - SIN SECTOR</t>
        </is>
      </c>
      <c r="C621" t="inlineStr">
        <is>
          <t>00</t>
        </is>
      </c>
      <c r="D621" t="inlineStr">
        <is>
          <t>0000</t>
        </is>
      </c>
      <c r="E621" t="inlineStr">
        <is>
          <t>0000000</t>
        </is>
      </c>
      <c r="F621" t="inlineStr">
        <is>
          <t>SIN PRODUCTO</t>
        </is>
      </c>
      <c r="G621" t="inlineStr">
        <is>
          <t>00</t>
        </is>
      </c>
      <c r="H621" t="inlineStr">
        <is>
          <t>SIN CODIGO BPIN</t>
        </is>
      </c>
      <c r="I621" t="inlineStr">
        <is>
          <t>00</t>
        </is>
      </c>
      <c r="J621" t="inlineStr">
        <is>
          <t>SIN PRODUCTO DANE</t>
        </is>
      </c>
      <c r="K621" t="inlineStr">
        <is>
          <t>00</t>
        </is>
      </c>
      <c r="L621" t="inlineStr">
        <is>
          <t>SIN ATRIBUTO</t>
        </is>
      </c>
      <c r="N621" t="inlineStr">
        <is>
          <t>2.1.2.02</t>
        </is>
      </c>
      <c r="O621" t="inlineStr">
        <is>
          <t>Adquisiciones diferentes de activos</t>
        </is>
      </c>
      <c r="P621" t="inlineStr">
        <is>
          <t>00</t>
        </is>
      </c>
      <c r="Q621" t="inlineStr">
        <is>
          <t>RECURSO PROPIOS</t>
        </is>
      </c>
      <c r="R621" t="n">
        <v>102307767</v>
      </c>
      <c r="S621" t="n">
        <v>8538259</v>
      </c>
      <c r="T621" t="n">
        <v>0</v>
      </c>
      <c r="U621" t="n">
        <v>21800000</v>
      </c>
      <c r="V621" t="n">
        <v>3900000</v>
      </c>
      <c r="W621" t="n">
        <v>0</v>
      </c>
      <c r="X621" t="n">
        <v>0</v>
      </c>
      <c r="Y621" t="n">
        <v>128746026</v>
      </c>
      <c r="Z621" t="n">
        <v>113100000</v>
      </c>
      <c r="AA621" t="n">
        <v>113100000</v>
      </c>
      <c r="AB621" t="n">
        <v>46300000</v>
      </c>
      <c r="AC621" t="n">
        <v>46300000</v>
      </c>
      <c r="AD621" t="n">
        <v>15646026</v>
      </c>
      <c r="AE621" t="n">
        <v>87.84999999999999</v>
      </c>
    </row>
    <row r="622">
      <c r="A622" t="inlineStr">
        <is>
          <t>5 - PERSONERÍA</t>
        </is>
      </c>
      <c r="B622" t="inlineStr">
        <is>
          <t>00 - SIN SECTOR</t>
        </is>
      </c>
      <c r="C622" t="inlineStr">
        <is>
          <t>00</t>
        </is>
      </c>
      <c r="D622" t="inlineStr">
        <is>
          <t>0000</t>
        </is>
      </c>
      <c r="E622" t="inlineStr">
        <is>
          <t>0000000</t>
        </is>
      </c>
      <c r="F622" t="inlineStr">
        <is>
          <t>SIN PRODUCTO</t>
        </is>
      </c>
      <c r="G622" t="inlineStr">
        <is>
          <t>00</t>
        </is>
      </c>
      <c r="H622" t="inlineStr">
        <is>
          <t>SIN CODIGO BPIN</t>
        </is>
      </c>
      <c r="I622" t="inlineStr">
        <is>
          <t>00</t>
        </is>
      </c>
      <c r="J622" t="inlineStr">
        <is>
          <t>SIN PRODUCTO DANE</t>
        </is>
      </c>
      <c r="K622" t="inlineStr">
        <is>
          <t>00</t>
        </is>
      </c>
      <c r="L622" t="inlineStr">
        <is>
          <t>SIN ATRIBUTO</t>
        </is>
      </c>
      <c r="N622" t="inlineStr">
        <is>
          <t>2.1.2.02.01</t>
        </is>
      </c>
      <c r="O622" t="inlineStr">
        <is>
          <t>Materiales y suministros</t>
        </is>
      </c>
      <c r="P622" t="inlineStr">
        <is>
          <t>00</t>
        </is>
      </c>
      <c r="Q622" t="inlineStr">
        <is>
          <t>RECURSO PROPIOS</t>
        </is>
      </c>
      <c r="R622" t="n">
        <v>5147767</v>
      </c>
      <c r="S622" t="n">
        <v>566259</v>
      </c>
      <c r="T622" t="n">
        <v>0</v>
      </c>
      <c r="U622" t="n">
        <v>2700000</v>
      </c>
      <c r="V622" t="n">
        <v>0</v>
      </c>
      <c r="W622" t="n">
        <v>0</v>
      </c>
      <c r="X622" t="n">
        <v>0</v>
      </c>
      <c r="Y622" t="n">
        <v>8414026</v>
      </c>
      <c r="Z622" t="n">
        <v>2700000</v>
      </c>
      <c r="AA622" t="n">
        <v>2700000</v>
      </c>
      <c r="AB622" t="n">
        <v>600000</v>
      </c>
      <c r="AC622" t="n">
        <v>600000</v>
      </c>
      <c r="AD622" t="n">
        <v>5714026</v>
      </c>
      <c r="AE622" t="n">
        <v>32.09</v>
      </c>
    </row>
    <row r="623">
      <c r="A623" t="inlineStr">
        <is>
          <t>5 - PERSONERÍA</t>
        </is>
      </c>
      <c r="B623" t="inlineStr">
        <is>
          <t>00 - SIN SECTOR</t>
        </is>
      </c>
      <c r="C623" t="inlineStr">
        <is>
          <t>00</t>
        </is>
      </c>
      <c r="D623" t="inlineStr">
        <is>
          <t>0000</t>
        </is>
      </c>
      <c r="E623" t="inlineStr">
        <is>
          <t>0000000</t>
        </is>
      </c>
      <c r="F623" t="inlineStr">
        <is>
          <t>SIN PRODUCTO</t>
        </is>
      </c>
      <c r="G623" t="inlineStr">
        <is>
          <t>00</t>
        </is>
      </c>
      <c r="H623" t="inlineStr">
        <is>
          <t>SIN CODIGO BPIN</t>
        </is>
      </c>
      <c r="I623" t="inlineStr">
        <is>
          <t>00</t>
        </is>
      </c>
      <c r="J623" t="inlineStr">
        <is>
          <t>SIN PRODUCTO DANE</t>
        </is>
      </c>
      <c r="K623" t="inlineStr">
        <is>
          <t>00</t>
        </is>
      </c>
      <c r="L623" t="inlineStr">
        <is>
          <t>SIN ATRIBUTO</t>
        </is>
      </c>
      <c r="N623" t="inlineStr">
        <is>
          <t>2.1.2.02.01.003</t>
        </is>
      </c>
      <c r="O623" t="inlineStr">
        <is>
          <t>Otros bienes transportables excepto productos metalicos, maquinaria y equipo</t>
        </is>
      </c>
      <c r="P623" t="inlineStr">
        <is>
          <t>00</t>
        </is>
      </c>
      <c r="Q623" t="inlineStr">
        <is>
          <t>RECURSO PROPIOS</t>
        </is>
      </c>
      <c r="R623" t="n">
        <v>5147767</v>
      </c>
      <c r="S623" t="n">
        <v>566259</v>
      </c>
      <c r="T623" t="n">
        <v>0</v>
      </c>
      <c r="U623" t="n">
        <v>2700000</v>
      </c>
      <c r="V623" t="n">
        <v>0</v>
      </c>
      <c r="W623" t="n">
        <v>0</v>
      </c>
      <c r="X623" t="n">
        <v>0</v>
      </c>
      <c r="Y623" t="n">
        <v>8414026</v>
      </c>
      <c r="Z623" t="n">
        <v>2700000</v>
      </c>
      <c r="AA623" t="n">
        <v>2700000</v>
      </c>
      <c r="AB623" t="n">
        <v>600000</v>
      </c>
      <c r="AC623" t="n">
        <v>600000</v>
      </c>
      <c r="AD623" t="n">
        <v>5714026</v>
      </c>
      <c r="AE623" t="n">
        <v>32.09</v>
      </c>
    </row>
    <row r="624">
      <c r="A624" t="inlineStr">
        <is>
          <t>5 - PERSONERÍA</t>
        </is>
      </c>
      <c r="B624" t="inlineStr">
        <is>
          <t>00 - SIN SECTOR</t>
        </is>
      </c>
      <c r="C624" t="inlineStr">
        <is>
          <t>00</t>
        </is>
      </c>
      <c r="D624" t="inlineStr">
        <is>
          <t>0000</t>
        </is>
      </c>
      <c r="E624" t="inlineStr">
        <is>
          <t>0000000</t>
        </is>
      </c>
      <c r="F624" t="inlineStr">
        <is>
          <t>SIN PRODUCTO</t>
        </is>
      </c>
      <c r="G624" t="inlineStr">
        <is>
          <t>00</t>
        </is>
      </c>
      <c r="H624" t="inlineStr">
        <is>
          <t>SIN CODIGO BPIN</t>
        </is>
      </c>
      <c r="I624" t="inlineStr">
        <is>
          <t>3212802</t>
        </is>
      </c>
      <c r="J624" t="inlineStr">
        <is>
          <t>Papel offset</t>
        </is>
      </c>
      <c r="K624" t="inlineStr">
        <is>
          <t>00</t>
        </is>
      </c>
      <c r="L624" t="inlineStr">
        <is>
          <t>SIN ATRIBUTO</t>
        </is>
      </c>
      <c r="N624" t="inlineStr">
        <is>
          <t>2.1.2.02.01.003.01</t>
        </is>
      </c>
      <c r="O624" t="inlineStr">
        <is>
          <t>Materiales y Suministros</t>
        </is>
      </c>
      <c r="P624" t="inlineStr">
        <is>
          <t>1.2.1.0.00</t>
        </is>
      </c>
      <c r="Q624" t="inlineStr">
        <is>
          <t>INGRESOS CORRIENTES DE LIBRE DESTINACION</t>
        </is>
      </c>
      <c r="R624" t="n">
        <v>5147767</v>
      </c>
      <c r="S624" t="n">
        <v>566259</v>
      </c>
      <c r="T624" t="n">
        <v>0</v>
      </c>
      <c r="U624" t="n">
        <v>0</v>
      </c>
      <c r="V624" t="n">
        <v>0</v>
      </c>
      <c r="W624" t="n">
        <v>0</v>
      </c>
      <c r="X624" t="n">
        <v>0</v>
      </c>
      <c r="Y624" t="n">
        <v>5714026</v>
      </c>
      <c r="Z624" t="n">
        <v>0</v>
      </c>
      <c r="AA624" t="n">
        <v>0</v>
      </c>
      <c r="AB624" t="n">
        <v>0</v>
      </c>
      <c r="AC624" t="n">
        <v>0</v>
      </c>
      <c r="AD624" t="n">
        <v>5714026</v>
      </c>
      <c r="AE624" t="n">
        <v>0</v>
      </c>
    </row>
    <row r="625">
      <c r="A625" t="inlineStr">
        <is>
          <t>5 - PERSONERÍA</t>
        </is>
      </c>
      <c r="B625" t="inlineStr">
        <is>
          <t>00 - SIN SECTOR</t>
        </is>
      </c>
      <c r="C625" t="inlineStr">
        <is>
          <t>00</t>
        </is>
      </c>
      <c r="D625" t="inlineStr">
        <is>
          <t>0000</t>
        </is>
      </c>
      <c r="E625" t="inlineStr">
        <is>
          <t>000000</t>
        </is>
      </c>
      <c r="F625" t="inlineStr">
        <is>
          <t>SIN PRODUCTO</t>
        </is>
      </c>
      <c r="G625" t="inlineStr">
        <is>
          <t>00</t>
        </is>
      </c>
      <c r="H625" t="inlineStr">
        <is>
          <t>SIN CODIGO BPIN</t>
        </is>
      </c>
      <c r="I625" t="inlineStr">
        <is>
          <t>3899998</t>
        </is>
      </c>
      <c r="J625" t="inlineStr">
        <is>
          <t>Artículos n.c.p. para escritorio y oficina</t>
        </is>
      </c>
      <c r="K625" t="inlineStr">
        <is>
          <t>00</t>
        </is>
      </c>
      <c r="L625" t="inlineStr">
        <is>
          <t>SIN ATRIBUTO</t>
        </is>
      </c>
      <c r="N625" t="inlineStr">
        <is>
          <t>2.1.2.02.01.003.02</t>
        </is>
      </c>
      <c r="O625" t="inlineStr">
        <is>
          <t>Insumos de papeleria y archivo</t>
        </is>
      </c>
      <c r="P625" t="inlineStr">
        <is>
          <t>1.2.1.0.00</t>
        </is>
      </c>
      <c r="Q625" t="inlineStr">
        <is>
          <t>INGRESOS CORRIENTES DE LIBRE DESTINACION</t>
        </is>
      </c>
      <c r="R625" t="n">
        <v>0</v>
      </c>
      <c r="S625" t="n">
        <v>0</v>
      </c>
      <c r="T625" t="n">
        <v>0</v>
      </c>
      <c r="U625" t="n">
        <v>2700000</v>
      </c>
      <c r="V625" t="n">
        <v>0</v>
      </c>
      <c r="W625" t="n">
        <v>0</v>
      </c>
      <c r="X625" t="n">
        <v>0</v>
      </c>
      <c r="Y625" t="n">
        <v>2700000</v>
      </c>
      <c r="Z625" t="n">
        <v>2700000</v>
      </c>
      <c r="AA625" t="n">
        <v>2700000</v>
      </c>
      <c r="AB625" t="n">
        <v>600000</v>
      </c>
      <c r="AC625" t="n">
        <v>600000</v>
      </c>
      <c r="AD625" t="n">
        <v>0</v>
      </c>
      <c r="AE625" t="n">
        <v>100</v>
      </c>
    </row>
    <row r="626">
      <c r="A626" t="inlineStr">
        <is>
          <t>5 - PERSONERÍA</t>
        </is>
      </c>
      <c r="B626" t="inlineStr">
        <is>
          <t>00 - SIN SECTOR</t>
        </is>
      </c>
      <c r="C626" t="inlineStr">
        <is>
          <t>00</t>
        </is>
      </c>
      <c r="D626" t="inlineStr">
        <is>
          <t>0000</t>
        </is>
      </c>
      <c r="E626" t="inlineStr">
        <is>
          <t>0000000</t>
        </is>
      </c>
      <c r="F626" t="inlineStr">
        <is>
          <t>SIN PRODUCTO</t>
        </is>
      </c>
      <c r="G626" t="inlineStr">
        <is>
          <t>00</t>
        </is>
      </c>
      <c r="H626" t="inlineStr">
        <is>
          <t>SIN CODIGO BPIN</t>
        </is>
      </c>
      <c r="I626" t="inlineStr">
        <is>
          <t>00</t>
        </is>
      </c>
      <c r="J626" t="inlineStr">
        <is>
          <t>SIN PRODUCTO DANE</t>
        </is>
      </c>
      <c r="K626" t="inlineStr">
        <is>
          <t>00</t>
        </is>
      </c>
      <c r="L626" t="inlineStr">
        <is>
          <t>SIN ATRIBUTO</t>
        </is>
      </c>
      <c r="N626" t="inlineStr">
        <is>
          <t>2.1.2.02.02</t>
        </is>
      </c>
      <c r="O626" t="inlineStr">
        <is>
          <t>Adquisicion de servicios</t>
        </is>
      </c>
      <c r="P626" t="inlineStr">
        <is>
          <t>00</t>
        </is>
      </c>
      <c r="Q626" t="inlineStr">
        <is>
          <t>RECURSO PROPIOS</t>
        </is>
      </c>
      <c r="R626" t="n">
        <v>97160000</v>
      </c>
      <c r="S626" t="n">
        <v>7972000</v>
      </c>
      <c r="T626" t="n">
        <v>0</v>
      </c>
      <c r="U626" t="n">
        <v>19100000</v>
      </c>
      <c r="V626" t="n">
        <v>3900000</v>
      </c>
      <c r="W626" t="n">
        <v>0</v>
      </c>
      <c r="X626" t="n">
        <v>0</v>
      </c>
      <c r="Y626" t="n">
        <v>120332000</v>
      </c>
      <c r="Z626" t="n">
        <v>110400000</v>
      </c>
      <c r="AA626" t="n">
        <v>110400000</v>
      </c>
      <c r="AB626" t="n">
        <v>45700000</v>
      </c>
      <c r="AC626" t="n">
        <v>45700000</v>
      </c>
      <c r="AD626" t="n">
        <v>9932000</v>
      </c>
      <c r="AE626" t="n">
        <v>91.75</v>
      </c>
    </row>
    <row r="627">
      <c r="A627" t="inlineStr">
        <is>
          <t>5 - PERSONERÍA</t>
        </is>
      </c>
      <c r="B627" t="inlineStr">
        <is>
          <t>00 - SIN SECTOR</t>
        </is>
      </c>
      <c r="C627" t="inlineStr">
        <is>
          <t>00</t>
        </is>
      </c>
      <c r="D627" t="inlineStr">
        <is>
          <t>0000</t>
        </is>
      </c>
      <c r="E627" t="inlineStr">
        <is>
          <t>0000000</t>
        </is>
      </c>
      <c r="F627" t="inlineStr">
        <is>
          <t>SIN PRODUCTO</t>
        </is>
      </c>
      <c r="G627" t="inlineStr">
        <is>
          <t>00</t>
        </is>
      </c>
      <c r="H627" t="inlineStr">
        <is>
          <t>SIN CODIGO BPIN</t>
        </is>
      </c>
      <c r="I627" t="inlineStr">
        <is>
          <t>00</t>
        </is>
      </c>
      <c r="J627" t="inlineStr">
        <is>
          <t>SIN PRODUCTO DANE</t>
        </is>
      </c>
      <c r="K627" t="inlineStr">
        <is>
          <t>00</t>
        </is>
      </c>
      <c r="L627" t="inlineStr">
        <is>
          <t>SIN ATRIBUTO</t>
        </is>
      </c>
      <c r="N627" t="inlineStr">
        <is>
          <t>2.1.2.02.02.006</t>
        </is>
      </c>
      <c r="O627" t="inlineStr">
        <is>
          <t>Comercio y distribucion; alojamiento; servicios de suministro de comidas y bebidas; servicios de transporte; y servicios de distribucion de electricidad, gas y agua</t>
        </is>
      </c>
      <c r="P627" t="inlineStr">
        <is>
          <t>00</t>
        </is>
      </c>
      <c r="Q627" t="inlineStr">
        <is>
          <t>RECURSO PROPIOS</t>
        </is>
      </c>
      <c r="R627" t="n">
        <v>3960000</v>
      </c>
      <c r="S627" t="n">
        <v>840000</v>
      </c>
      <c r="T627" t="n">
        <v>0</v>
      </c>
      <c r="U627" t="n">
        <v>0</v>
      </c>
      <c r="V627" t="n">
        <v>3900000</v>
      </c>
      <c r="W627" t="n">
        <v>0</v>
      </c>
      <c r="X627" t="n">
        <v>0</v>
      </c>
      <c r="Y627" t="n">
        <v>900000</v>
      </c>
      <c r="Z627" t="n">
        <v>900000</v>
      </c>
      <c r="AA627" t="n">
        <v>900000</v>
      </c>
      <c r="AB627" t="n">
        <v>200000</v>
      </c>
      <c r="AC627" t="n">
        <v>200000</v>
      </c>
      <c r="AD627" t="n">
        <v>0</v>
      </c>
      <c r="AE627" t="n">
        <v>100</v>
      </c>
    </row>
    <row r="628">
      <c r="A628" t="inlineStr">
        <is>
          <t>5 - PERSONERÍA</t>
        </is>
      </c>
      <c r="B628" t="inlineStr">
        <is>
          <t>00 - SIN SECTOR</t>
        </is>
      </c>
      <c r="C628" t="inlineStr">
        <is>
          <t>00</t>
        </is>
      </c>
      <c r="D628" t="inlineStr">
        <is>
          <t>0000</t>
        </is>
      </c>
      <c r="E628" t="inlineStr">
        <is>
          <t>0000000</t>
        </is>
      </c>
      <c r="F628" t="inlineStr">
        <is>
          <t>SIN PRODUCTO</t>
        </is>
      </c>
      <c r="G628" t="inlineStr">
        <is>
          <t>00</t>
        </is>
      </c>
      <c r="H628" t="inlineStr">
        <is>
          <t>SIN CODIGO BPIN</t>
        </is>
      </c>
      <c r="I628" t="inlineStr">
        <is>
          <t>64220</t>
        </is>
      </c>
      <c r="J628" t="inlineStr">
        <is>
          <t>Servicios de transporte terrestre de pasajeros, diferente del transporte local y turístico de pasajeros</t>
        </is>
      </c>
      <c r="K628" t="inlineStr">
        <is>
          <t>00</t>
        </is>
      </c>
      <c r="L628" t="inlineStr">
        <is>
          <t>SIN ATRIBUTO</t>
        </is>
      </c>
      <c r="N628" t="inlineStr">
        <is>
          <t>2.1.2.02.02.006.01</t>
        </is>
      </c>
      <c r="O628" t="inlineStr">
        <is>
          <t>Servicios de transporte</t>
        </is>
      </c>
      <c r="P628" t="inlineStr">
        <is>
          <t>1.2.1.0.00</t>
        </is>
      </c>
      <c r="Q628" t="inlineStr">
        <is>
          <t>INGRESOS CORRIENTES DE LIBRE DESTINACION</t>
        </is>
      </c>
      <c r="R628" t="n">
        <v>3960000</v>
      </c>
      <c r="S628" t="n">
        <v>840000</v>
      </c>
      <c r="T628" t="n">
        <v>0</v>
      </c>
      <c r="U628" t="n">
        <v>0</v>
      </c>
      <c r="V628" t="n">
        <v>3900000</v>
      </c>
      <c r="W628" t="n">
        <v>0</v>
      </c>
      <c r="X628" t="n">
        <v>0</v>
      </c>
      <c r="Y628" t="n">
        <v>900000</v>
      </c>
      <c r="Z628" t="n">
        <v>900000</v>
      </c>
      <c r="AA628" t="n">
        <v>900000</v>
      </c>
      <c r="AB628" t="n">
        <v>200000</v>
      </c>
      <c r="AC628" t="n">
        <v>200000</v>
      </c>
      <c r="AD628" t="n">
        <v>0</v>
      </c>
      <c r="AE628" t="n">
        <v>100</v>
      </c>
    </row>
    <row r="629">
      <c r="A629" t="inlineStr">
        <is>
          <t>5 - PERSONERÍA</t>
        </is>
      </c>
      <c r="B629" t="inlineStr">
        <is>
          <t>00 - SIN SECTOR</t>
        </is>
      </c>
      <c r="C629" t="inlineStr">
        <is>
          <t>00</t>
        </is>
      </c>
      <c r="D629" t="inlineStr">
        <is>
          <t>0000</t>
        </is>
      </c>
      <c r="E629" t="inlineStr">
        <is>
          <t>0000000</t>
        </is>
      </c>
      <c r="F629" t="inlineStr">
        <is>
          <t>SIN PRODUCTO</t>
        </is>
      </c>
      <c r="G629" t="inlineStr">
        <is>
          <t>00</t>
        </is>
      </c>
      <c r="H629" t="inlineStr">
        <is>
          <t>SIN CODIGO BPIN</t>
        </is>
      </c>
      <c r="I629" t="inlineStr">
        <is>
          <t>00</t>
        </is>
      </c>
      <c r="J629" t="inlineStr">
        <is>
          <t>SIN PRODUCTO DANE</t>
        </is>
      </c>
      <c r="K629" t="inlineStr">
        <is>
          <t>00</t>
        </is>
      </c>
      <c r="L629" t="inlineStr">
        <is>
          <t>SIN ATRIBUTO</t>
        </is>
      </c>
      <c r="N629" t="inlineStr">
        <is>
          <t>2.1.2.02.02.007</t>
        </is>
      </c>
      <c r="O629" t="inlineStr">
        <is>
          <t>Servicios financieros y servicios conexos; servicios inmobiliarios; y servicios de arrendamiento y leasing</t>
        </is>
      </c>
      <c r="P629" t="inlineStr">
        <is>
          <t>00</t>
        </is>
      </c>
      <c r="Q629" t="inlineStr">
        <is>
          <t>RECURSO PROPIOS</t>
        </is>
      </c>
      <c r="R629" t="n">
        <v>1200000</v>
      </c>
      <c r="S629" t="n">
        <v>132000</v>
      </c>
      <c r="T629" t="n">
        <v>0</v>
      </c>
      <c r="U629" t="n">
        <v>0</v>
      </c>
      <c r="V629" t="n">
        <v>0</v>
      </c>
      <c r="W629" t="n">
        <v>0</v>
      </c>
      <c r="X629" t="n">
        <v>0</v>
      </c>
      <c r="Y629" t="n">
        <v>1332000</v>
      </c>
      <c r="Z629" t="n">
        <v>0</v>
      </c>
      <c r="AA629" t="n">
        <v>0</v>
      </c>
      <c r="AB629" t="n">
        <v>0</v>
      </c>
      <c r="AC629" t="n">
        <v>0</v>
      </c>
      <c r="AD629" t="n">
        <v>1332000</v>
      </c>
      <c r="AE629" t="n">
        <v>0</v>
      </c>
    </row>
    <row r="630">
      <c r="A630" t="inlineStr">
        <is>
          <t>5 - PERSONERÍA</t>
        </is>
      </c>
      <c r="B630" t="inlineStr">
        <is>
          <t>00 - SIN SECTOR</t>
        </is>
      </c>
      <c r="C630" t="inlineStr">
        <is>
          <t>00</t>
        </is>
      </c>
      <c r="D630" t="inlineStr">
        <is>
          <t>0000</t>
        </is>
      </c>
      <c r="E630" t="inlineStr">
        <is>
          <t>0000000</t>
        </is>
      </c>
      <c r="F630" t="inlineStr">
        <is>
          <t>SIN PRODUCTO</t>
        </is>
      </c>
      <c r="G630" t="inlineStr">
        <is>
          <t>00</t>
        </is>
      </c>
      <c r="H630" t="inlineStr">
        <is>
          <t>SIN CODIGO BPIN</t>
        </is>
      </c>
      <c r="I630" t="inlineStr">
        <is>
          <t>71359</t>
        </is>
      </c>
      <c r="J630" t="inlineStr">
        <is>
          <t>Otros servicios de seguros distintos de los seguros de vida n.c.p.</t>
        </is>
      </c>
      <c r="K630" t="inlineStr">
        <is>
          <t>00</t>
        </is>
      </c>
      <c r="L630" t="inlineStr">
        <is>
          <t>SIN ATRIBUTO</t>
        </is>
      </c>
      <c r="N630" t="inlineStr">
        <is>
          <t>2.1.2.02.02.007.01</t>
        </is>
      </c>
      <c r="O630" t="inlineStr">
        <is>
          <t>Seguros</t>
        </is>
      </c>
      <c r="P630" t="inlineStr">
        <is>
          <t>1.2.1.0.00</t>
        </is>
      </c>
      <c r="Q630" t="inlineStr">
        <is>
          <t>INGRESOS CORRIENTES DE LIBRE DESTINACION</t>
        </is>
      </c>
      <c r="R630" t="n">
        <v>1200000</v>
      </c>
      <c r="S630" t="n">
        <v>132000</v>
      </c>
      <c r="T630" t="n">
        <v>0</v>
      </c>
      <c r="U630" t="n">
        <v>0</v>
      </c>
      <c r="V630" t="n">
        <v>0</v>
      </c>
      <c r="W630" t="n">
        <v>0</v>
      </c>
      <c r="X630" t="n">
        <v>0</v>
      </c>
      <c r="Y630" t="n">
        <v>1332000</v>
      </c>
      <c r="Z630" t="n">
        <v>0</v>
      </c>
      <c r="AA630" t="n">
        <v>0</v>
      </c>
      <c r="AB630" t="n">
        <v>0</v>
      </c>
      <c r="AC630" t="n">
        <v>0</v>
      </c>
      <c r="AD630" t="n">
        <v>1332000</v>
      </c>
      <c r="AE630" t="n">
        <v>0</v>
      </c>
    </row>
    <row r="631">
      <c r="A631" t="inlineStr">
        <is>
          <t>5 - PERSONERÍA</t>
        </is>
      </c>
      <c r="B631" t="inlineStr">
        <is>
          <t>00 - SIN SECTOR</t>
        </is>
      </c>
      <c r="C631" t="inlineStr">
        <is>
          <t>00</t>
        </is>
      </c>
      <c r="D631" t="inlineStr">
        <is>
          <t>0000</t>
        </is>
      </c>
      <c r="E631" t="inlineStr">
        <is>
          <t>0000000</t>
        </is>
      </c>
      <c r="F631" t="inlineStr">
        <is>
          <t>SIN PRODUCTO</t>
        </is>
      </c>
      <c r="G631" t="inlineStr">
        <is>
          <t>00</t>
        </is>
      </c>
      <c r="H631" t="inlineStr">
        <is>
          <t>SIN CODIGO BPIN</t>
        </is>
      </c>
      <c r="I631" t="inlineStr">
        <is>
          <t>00</t>
        </is>
      </c>
      <c r="J631" t="inlineStr">
        <is>
          <t>SIN PRODUCTO DANE</t>
        </is>
      </c>
      <c r="K631" t="inlineStr">
        <is>
          <t>00</t>
        </is>
      </c>
      <c r="L631" t="inlineStr">
        <is>
          <t>SIN ATRIBUTO</t>
        </is>
      </c>
      <c r="N631" t="inlineStr">
        <is>
          <t>2.1.2.02.02.008</t>
        </is>
      </c>
      <c r="O631" t="inlineStr">
        <is>
          <t xml:space="preserve">Servicios prestados a las empresas y servicios de produccion </t>
        </is>
      </c>
      <c r="P631" t="inlineStr">
        <is>
          <t>00</t>
        </is>
      </c>
      <c r="Q631" t="inlineStr">
        <is>
          <t>RECURSO PROPIOS</t>
        </is>
      </c>
      <c r="R631" t="n">
        <v>1600000</v>
      </c>
      <c r="S631" t="n">
        <v>400000</v>
      </c>
      <c r="T631" t="n">
        <v>0</v>
      </c>
      <c r="U631" t="n">
        <v>0</v>
      </c>
      <c r="V631" t="n">
        <v>0</v>
      </c>
      <c r="W631" t="n">
        <v>0</v>
      </c>
      <c r="X631" t="n">
        <v>0</v>
      </c>
      <c r="Y631" t="n">
        <v>2000000</v>
      </c>
      <c r="Z631" t="n">
        <v>0</v>
      </c>
      <c r="AA631" t="n">
        <v>0</v>
      </c>
      <c r="AB631" t="n">
        <v>0</v>
      </c>
      <c r="AC631" t="n">
        <v>0</v>
      </c>
      <c r="AD631" t="n">
        <v>2000000</v>
      </c>
      <c r="AE631" t="n">
        <v>0</v>
      </c>
    </row>
    <row r="632">
      <c r="A632" t="inlineStr">
        <is>
          <t>5 - PERSONERÍA</t>
        </is>
      </c>
      <c r="B632" t="inlineStr">
        <is>
          <t>00 - SIN SECTOR</t>
        </is>
      </c>
      <c r="C632" t="inlineStr">
        <is>
          <t>00</t>
        </is>
      </c>
      <c r="D632" t="inlineStr">
        <is>
          <t>0000</t>
        </is>
      </c>
      <c r="E632" t="inlineStr">
        <is>
          <t>0000000</t>
        </is>
      </c>
      <c r="F632" t="inlineStr">
        <is>
          <t>SIN PRODUCTO</t>
        </is>
      </c>
      <c r="G632" t="inlineStr">
        <is>
          <t>00</t>
        </is>
      </c>
      <c r="H632" t="inlineStr">
        <is>
          <t>SIN CODIGO BPIN</t>
        </is>
      </c>
      <c r="I632" t="inlineStr">
        <is>
          <t>8712001</t>
        </is>
      </c>
      <c r="J632" t="inlineStr">
        <is>
          <t>Servicio de mantenimiento y reparación de equipo de oficina y contabilidad, (excepto computadores y equipos periféricos)</t>
        </is>
      </c>
      <c r="K632" t="inlineStr">
        <is>
          <t>00</t>
        </is>
      </c>
      <c r="L632" t="inlineStr">
        <is>
          <t>SIN ATRIBUTO</t>
        </is>
      </c>
      <c r="N632" t="inlineStr">
        <is>
          <t>2.1.2.02.02.008.01</t>
        </is>
      </c>
      <c r="O632" t="inlineStr">
        <is>
          <t>Mantenimiento y reparaión de equipos de oficina</t>
        </is>
      </c>
      <c r="P632" t="inlineStr">
        <is>
          <t>1.2.1.0.00</t>
        </is>
      </c>
      <c r="Q632" t="inlineStr">
        <is>
          <t>INGRESOS CORRIENTES DE LIBRE DESTINACION</t>
        </is>
      </c>
      <c r="R632" t="n">
        <v>1600000</v>
      </c>
      <c r="S632" t="n">
        <v>400000</v>
      </c>
      <c r="T632" t="n">
        <v>0</v>
      </c>
      <c r="U632" t="n">
        <v>0</v>
      </c>
      <c r="V632" t="n">
        <v>0</v>
      </c>
      <c r="W632" t="n">
        <v>0</v>
      </c>
      <c r="X632" t="n">
        <v>0</v>
      </c>
      <c r="Y632" t="n">
        <v>2000000</v>
      </c>
      <c r="Z632" t="n">
        <v>0</v>
      </c>
      <c r="AA632" t="n">
        <v>0</v>
      </c>
      <c r="AB632" t="n">
        <v>0</v>
      </c>
      <c r="AC632" t="n">
        <v>0</v>
      </c>
      <c r="AD632" t="n">
        <v>2000000</v>
      </c>
      <c r="AE632" t="n">
        <v>0</v>
      </c>
    </row>
    <row r="633">
      <c r="A633" t="inlineStr">
        <is>
          <t>5 - PERSONERÍA</t>
        </is>
      </c>
      <c r="B633" t="inlineStr">
        <is>
          <t>00 - SIN SECTOR</t>
        </is>
      </c>
      <c r="C633" t="inlineStr">
        <is>
          <t>00</t>
        </is>
      </c>
      <c r="D633" t="inlineStr">
        <is>
          <t>0000</t>
        </is>
      </c>
      <c r="E633" t="inlineStr">
        <is>
          <t>0000000</t>
        </is>
      </c>
      <c r="F633" t="inlineStr">
        <is>
          <t>SIN PRODUCTO</t>
        </is>
      </c>
      <c r="G633" t="inlineStr">
        <is>
          <t>00</t>
        </is>
      </c>
      <c r="H633" t="inlineStr">
        <is>
          <t>SIN CODIGO BPIN</t>
        </is>
      </c>
      <c r="I633" t="inlineStr">
        <is>
          <t>00</t>
        </is>
      </c>
      <c r="J633" t="inlineStr">
        <is>
          <t>SIN PRODUCTO DANE</t>
        </is>
      </c>
      <c r="K633" t="inlineStr">
        <is>
          <t>00</t>
        </is>
      </c>
      <c r="L633" t="inlineStr">
        <is>
          <t>SIN ATRIBUTO</t>
        </is>
      </c>
      <c r="N633" t="inlineStr">
        <is>
          <t>2.1.2.02.02.009</t>
        </is>
      </c>
      <c r="O633" t="inlineStr">
        <is>
          <t>Servicios para la comunidad, sociales y personales</t>
        </is>
      </c>
      <c r="P633" t="inlineStr">
        <is>
          <t>00</t>
        </is>
      </c>
      <c r="Q633" t="inlineStr">
        <is>
          <t>RECURSO PROPIOS</t>
        </is>
      </c>
      <c r="R633" t="n">
        <v>90400000</v>
      </c>
      <c r="S633" t="n">
        <v>6600000</v>
      </c>
      <c r="T633" t="n">
        <v>0</v>
      </c>
      <c r="U633" t="n">
        <v>19100000</v>
      </c>
      <c r="V633" t="n">
        <v>0</v>
      </c>
      <c r="W633" t="n">
        <v>0</v>
      </c>
      <c r="X633" t="n">
        <v>0</v>
      </c>
      <c r="Y633" t="n">
        <v>116100000</v>
      </c>
      <c r="Z633" t="n">
        <v>109500000</v>
      </c>
      <c r="AA633" t="n">
        <v>109500000</v>
      </c>
      <c r="AB633" t="n">
        <v>45500000</v>
      </c>
      <c r="AC633" t="n">
        <v>45500000</v>
      </c>
      <c r="AD633" t="n">
        <v>6600000</v>
      </c>
      <c r="AE633" t="n">
        <v>94.31999999999999</v>
      </c>
    </row>
    <row r="634">
      <c r="A634" t="inlineStr">
        <is>
          <t>5 - PERSONERÍA</t>
        </is>
      </c>
      <c r="B634" t="inlineStr">
        <is>
          <t>00 - SIN SECTOR</t>
        </is>
      </c>
      <c r="C634" t="inlineStr">
        <is>
          <t>00</t>
        </is>
      </c>
      <c r="D634" t="inlineStr">
        <is>
          <t>0000</t>
        </is>
      </c>
      <c r="E634" t="inlineStr">
        <is>
          <t>0000000</t>
        </is>
      </c>
      <c r="F634" t="inlineStr">
        <is>
          <t>SIN PRODUCTO</t>
        </is>
      </c>
      <c r="G634" t="inlineStr">
        <is>
          <t>00</t>
        </is>
      </c>
      <c r="H634" t="inlineStr">
        <is>
          <t>SIN CODIGO BPIN</t>
        </is>
      </c>
      <c r="I634" t="inlineStr">
        <is>
          <t>91112</t>
        </is>
      </c>
      <c r="J634" t="inlineStr">
        <is>
          <t>Servicios ejecutivos de la administración pública</t>
        </is>
      </c>
      <c r="K634" t="inlineStr">
        <is>
          <t>00</t>
        </is>
      </c>
      <c r="L634" t="inlineStr">
        <is>
          <t>SIN ATRIBUTO</t>
        </is>
      </c>
      <c r="N634" t="inlineStr">
        <is>
          <t>2.1.2.02.02.009.01</t>
        </is>
      </c>
      <c r="O634" t="inlineStr">
        <is>
          <t>Servicios administrativos del gobierno</t>
        </is>
      </c>
      <c r="P634" t="inlineStr">
        <is>
          <t>1.2.1.0.00</t>
        </is>
      </c>
      <c r="Q634" t="inlineStr">
        <is>
          <t>INGRESOS CORRIENTES DE LIBRE DESTINACION</t>
        </is>
      </c>
      <c r="R634" t="n">
        <v>90400000</v>
      </c>
      <c r="S634" t="n">
        <v>6600000</v>
      </c>
      <c r="T634" t="n">
        <v>0</v>
      </c>
      <c r="U634" t="n">
        <v>19100000</v>
      </c>
      <c r="V634" t="n">
        <v>0</v>
      </c>
      <c r="W634" t="n">
        <v>0</v>
      </c>
      <c r="X634" t="n">
        <v>0</v>
      </c>
      <c r="Y634" t="n">
        <v>116100000</v>
      </c>
      <c r="Z634" t="n">
        <v>109500000</v>
      </c>
      <c r="AA634" t="n">
        <v>109500000</v>
      </c>
      <c r="AB634" t="n">
        <v>45500000</v>
      </c>
      <c r="AC634" t="n">
        <v>45500000</v>
      </c>
      <c r="AD634" t="n">
        <v>6600000</v>
      </c>
      <c r="AE634" t="n">
        <v>94.31999999999999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1"/>
  <sheetViews>
    <sheetView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40" customWidth="1" min="3" max="3"/>
    <col width="40" customWidth="1" min="4" max="4"/>
    <col width="13" customWidth="1" min="5" max="5"/>
    <col width="40" customWidth="1" min="6" max="6"/>
    <col width="40" customWidth="1" min="7" max="7"/>
    <col width="26" customWidth="1" min="8" max="8"/>
    <col width="40" customWidth="1" min="9" max="9"/>
    <col width="13" customWidth="1" min="10" max="10"/>
    <col width="40" customWidth="1" min="11" max="11"/>
    <col width="18" customWidth="1" min="12" max="12"/>
    <col width="20" customWidth="1" min="13" max="13"/>
  </cols>
  <sheetData>
    <row r="1" ht="30" customHeight="1">
      <c r="A1" s="1" t="inlineStr">
        <is>
          <t>FUENTE DE RECURSO</t>
        </is>
      </c>
      <c r="B1" s="1" t="inlineStr">
        <is>
          <t>NOMBRE DE FUENTE DE RECURSO</t>
        </is>
      </c>
      <c r="C1" s="2" t="inlineStr">
        <is>
          <t>PRESUPUESTO DEFINITIVO DE INGRESOS</t>
        </is>
      </c>
      <c r="D1" s="2" t="inlineStr">
        <is>
          <t>PRESUPUESTO DEFINITIVO DE GASTOS</t>
        </is>
      </c>
      <c r="E1" s="2" t="inlineStr">
        <is>
          <t>DIFERENCIA</t>
        </is>
      </c>
      <c r="F1" s="3" t="inlineStr">
        <is>
          <t>Recaudo</t>
        </is>
      </c>
      <c r="G1" s="3" t="inlineStr">
        <is>
          <t>Registros</t>
        </is>
      </c>
      <c r="H1" s="3" t="inlineStr">
        <is>
          <t>Saldos no Comprometidos</t>
        </is>
      </c>
      <c r="I1" s="4" t="inlineStr">
        <is>
          <t>Constitución</t>
        </is>
      </c>
      <c r="J1" s="4" t="inlineStr">
        <is>
          <t>Reservas</t>
        </is>
      </c>
      <c r="K1" s="5" t="inlineStr">
        <is>
          <t>Pago</t>
        </is>
      </c>
      <c r="L1" s="5" t="inlineStr">
        <is>
          <t>Cuentas x Pagar</t>
        </is>
      </c>
      <c r="M1" s="6" t="inlineStr">
        <is>
          <t>Recurso en Bancos</t>
        </is>
      </c>
    </row>
    <row r="2">
      <c r="A2" s="7" t="inlineStr">
        <is>
          <t>1.2.1.0.00</t>
        </is>
      </c>
      <c r="B2" s="7" t="inlineStr">
        <is>
          <t>INGRESOS CORRIENTES DE LIBRE DESTINACION</t>
        </is>
      </c>
      <c r="C2" s="8">
        <f>SUMIF(INGRESOS!$R:$R,A2,INGRESOS!$L:$L)</f>
        <v/>
      </c>
      <c r="D2" s="8">
        <f>SUMIF(EGRESOS!$P:$P,A2,EGRESOS!$Y:$Y)</f>
        <v/>
      </c>
      <c r="E2" s="8">
        <f>C2-D2</f>
        <v/>
      </c>
      <c r="F2" s="8">
        <f>SUMIF(INGRESOS!$R:$R,A2,INGRESOS!$N:$N)</f>
        <v/>
      </c>
      <c r="G2" s="8">
        <f>SUMIF(EGRESOS!$P:$P,A2,EGRESOS!$AA:$AA)</f>
        <v/>
      </c>
      <c r="H2" s="8">
        <f>F2-G2</f>
        <v/>
      </c>
      <c r="I2" s="8">
        <f>SUMIF(EGRESOS!$P:$P,A2,EGRESOS!$AB:$AB)</f>
        <v/>
      </c>
      <c r="J2" s="8">
        <f>G2-I2</f>
        <v/>
      </c>
      <c r="K2" s="8">
        <f>SUMIF(EGRESOS!$P:$P,A2,EGRESOS!$AC:$AC)</f>
        <v/>
      </c>
      <c r="L2" s="8">
        <f>I2-K2</f>
        <v/>
      </c>
      <c r="M2" s="8">
        <f>H2+J2+L2</f>
        <v/>
      </c>
    </row>
    <row r="3">
      <c r="A3" s="7" t="inlineStr">
        <is>
          <t>1.3.1.1.11.01</t>
        </is>
      </c>
      <c r="B3" s="7" t="inlineStr">
        <is>
          <t>REINTEGROS LICENCIAS DE MATERNIDAD</t>
        </is>
      </c>
      <c r="C3" s="8">
        <f>SUMIF(INGRESOS!$R:$R,A3,INGRESOS!$L:$L)</f>
        <v/>
      </c>
      <c r="D3" s="8">
        <f>SUMIF(EGRESOS!$P:$P,A3,EGRESOS!$Y:$Y)</f>
        <v/>
      </c>
      <c r="E3" s="8">
        <f>C3-D3</f>
        <v/>
      </c>
      <c r="F3" s="8">
        <f>SUMIF(INGRESOS!$R:$R,A3,INGRESOS!$N:$N)</f>
        <v/>
      </c>
      <c r="G3" s="8">
        <f>SUMIF(EGRESOS!$P:$P,A3,EGRESOS!$AA:$AA)</f>
        <v/>
      </c>
      <c r="H3" s="8">
        <f>F3-G3</f>
        <v/>
      </c>
      <c r="I3" s="8">
        <f>SUMIF(EGRESOS!$P:$P,A3,EGRESOS!$AB:$AB)</f>
        <v/>
      </c>
      <c r="J3" s="8">
        <f>G3-I3</f>
        <v/>
      </c>
      <c r="K3" s="8">
        <f>SUMIF(EGRESOS!$P:$P,A3,EGRESOS!$AC:$AC)</f>
        <v/>
      </c>
      <c r="L3" s="8">
        <f>I3-K3</f>
        <v/>
      </c>
      <c r="M3" s="8">
        <f>H3+J3+L3</f>
        <v/>
      </c>
    </row>
    <row r="4">
      <c r="A4" s="7" t="inlineStr">
        <is>
          <t>1.3.1.1.11</t>
        </is>
      </c>
      <c r="B4" s="7" t="inlineStr">
        <is>
          <t>REINTEGROS Y OTROS RECURSOS NO APROPIADOS</t>
        </is>
      </c>
      <c r="C4" s="8">
        <f>SUMIF(INGRESOS!$R:$R,A4,INGRESOS!$L:$L)</f>
        <v/>
      </c>
      <c r="D4" s="8">
        <f>SUMIF(EGRESOS!$P:$P,A4,EGRESOS!$Y:$Y)</f>
        <v/>
      </c>
      <c r="E4" s="8">
        <f>C4-D4</f>
        <v/>
      </c>
      <c r="F4" s="8">
        <f>SUMIF(INGRESOS!$R:$R,A4,INGRESOS!$N:$N)</f>
        <v/>
      </c>
      <c r="G4" s="8">
        <f>SUMIF(EGRESOS!$P:$P,A4,EGRESOS!$AA:$AA)</f>
        <v/>
      </c>
      <c r="H4" s="8">
        <f>F4-G4</f>
        <v/>
      </c>
      <c r="I4" s="8">
        <f>SUMIF(EGRESOS!$P:$P,A4,EGRESOS!$AB:$AB)</f>
        <v/>
      </c>
      <c r="J4" s="8">
        <f>G4-I4</f>
        <v/>
      </c>
      <c r="K4" s="8">
        <f>SUMIF(EGRESOS!$P:$P,A4,EGRESOS!$AC:$AC)</f>
        <v/>
      </c>
      <c r="L4" s="8">
        <f>I4-K4</f>
        <v/>
      </c>
      <c r="M4" s="8">
        <f>H4+J4+L4</f>
        <v/>
      </c>
    </row>
    <row r="5">
      <c r="A5" s="7" t="inlineStr">
        <is>
          <t>1.2.3.2.24</t>
        </is>
      </c>
      <c r="B5" s="7" t="inlineStr">
        <is>
          <t>MULTAS CODIGO NACIONAL DE POLICIA Y CONVIVENCIA</t>
        </is>
      </c>
      <c r="C5" s="8">
        <f>SUMIF(INGRESOS!$R:$R,A5,INGRESOS!$L:$L)</f>
        <v/>
      </c>
      <c r="D5" s="8">
        <f>SUMIF(EGRESOS!$P:$P,A5,EGRESOS!$Y:$Y)</f>
        <v/>
      </c>
      <c r="E5" s="8">
        <f>C5-D5</f>
        <v/>
      </c>
      <c r="F5" s="8">
        <f>SUMIF(INGRESOS!$R:$R,A5,INGRESOS!$N:$N)</f>
        <v/>
      </c>
      <c r="G5" s="8">
        <f>SUMIF(EGRESOS!$P:$P,A5,EGRESOS!$AA:$AA)</f>
        <v/>
      </c>
      <c r="H5" s="8">
        <f>F5-G5</f>
        <v/>
      </c>
      <c r="I5" s="8">
        <f>SUMIF(EGRESOS!$P:$P,A5,EGRESOS!$AB:$AB)</f>
        <v/>
      </c>
      <c r="J5" s="8">
        <f>G5-I5</f>
        <v/>
      </c>
      <c r="K5" s="8">
        <f>SUMIF(EGRESOS!$P:$P,A5,EGRESOS!$AC:$AC)</f>
        <v/>
      </c>
      <c r="L5" s="8">
        <f>I5-K5</f>
        <v/>
      </c>
      <c r="M5" s="8">
        <f>H5+J5+L5</f>
        <v/>
      </c>
    </row>
    <row r="6">
      <c r="A6" s="7" t="inlineStr">
        <is>
          <t>1.2.3.1.01</t>
        </is>
      </c>
      <c r="B6" s="7" t="inlineStr">
        <is>
          <t>SOBRETASA - PARTICIPACION AMBIENTAL - CORPORACIONES AUTONOMAS REGIONALES</t>
        </is>
      </c>
      <c r="C6" s="8">
        <f>SUMIF(INGRESOS!$R:$R,A6,INGRESOS!$L:$L)</f>
        <v/>
      </c>
      <c r="D6" s="8">
        <f>SUMIF(EGRESOS!$P:$P,A6,EGRESOS!$Y:$Y)</f>
        <v/>
      </c>
      <c r="E6" s="8">
        <f>C6-D6</f>
        <v/>
      </c>
      <c r="F6" s="8">
        <f>SUMIF(INGRESOS!$R:$R,A6,INGRESOS!$N:$N)</f>
        <v/>
      </c>
      <c r="G6" s="8">
        <f>SUMIF(EGRESOS!$P:$P,A6,EGRESOS!$AA:$AA)</f>
        <v/>
      </c>
      <c r="H6" s="8">
        <f>F6-G6</f>
        <v/>
      </c>
      <c r="I6" s="8">
        <f>SUMIF(EGRESOS!$P:$P,A6,EGRESOS!$AB:$AB)</f>
        <v/>
      </c>
      <c r="J6" s="8">
        <f>G6-I6</f>
        <v/>
      </c>
      <c r="K6" s="8">
        <f>SUMIF(EGRESOS!$P:$P,A6,EGRESOS!$AC:$AC)</f>
        <v/>
      </c>
      <c r="L6" s="8">
        <f>I6-K6</f>
        <v/>
      </c>
      <c r="M6" s="8">
        <f>H6+J6+L6</f>
        <v/>
      </c>
    </row>
    <row r="7">
      <c r="A7" s="7" t="inlineStr">
        <is>
          <t>1.2.3.1.02</t>
        </is>
      </c>
      <c r="B7" s="7" t="inlineStr">
        <is>
          <t>SOBRETASA AMBIENTAL AREAS METROPOLITANAS</t>
        </is>
      </c>
      <c r="C7" s="8">
        <f>SUMIF(INGRESOS!$R:$R,A7,INGRESOS!$L:$L)</f>
        <v/>
      </c>
      <c r="D7" s="8">
        <f>SUMIF(EGRESOS!$P:$P,A7,EGRESOS!$Y:$Y)</f>
        <v/>
      </c>
      <c r="E7" s="8">
        <f>C7-D7</f>
        <v/>
      </c>
      <c r="F7" s="8">
        <f>SUMIF(INGRESOS!$R:$R,A7,INGRESOS!$N:$N)</f>
        <v/>
      </c>
      <c r="G7" s="8">
        <f>SUMIF(EGRESOS!$P:$P,A7,EGRESOS!$AA:$AA)</f>
        <v/>
      </c>
      <c r="H7" s="8">
        <f>F7-G7</f>
        <v/>
      </c>
      <c r="I7" s="8">
        <f>SUMIF(EGRESOS!$P:$P,A7,EGRESOS!$AB:$AB)</f>
        <v/>
      </c>
      <c r="J7" s="8">
        <f>G7-I7</f>
        <v/>
      </c>
      <c r="K7" s="8">
        <f>SUMIF(EGRESOS!$P:$P,A7,EGRESOS!$AC:$AC)</f>
        <v/>
      </c>
      <c r="L7" s="8">
        <f>I7-K7</f>
        <v/>
      </c>
      <c r="M7" s="8">
        <f>H7+J7+L7</f>
        <v/>
      </c>
    </row>
    <row r="8">
      <c r="A8" s="7" t="inlineStr">
        <is>
          <t>1.3.3.4.19</t>
        </is>
      </c>
      <c r="B8" s="7" t="inlineStr">
        <is>
          <t>R.B. OTRAS MULTAS,SANCIONES E INTERESES DE MORA</t>
        </is>
      </c>
      <c r="C8" s="8">
        <f>SUMIF(INGRESOS!$R:$R,A8,INGRESOS!$L:$L)</f>
        <v/>
      </c>
      <c r="D8" s="8">
        <f>SUMIF(EGRESOS!$P:$P,A8,EGRESOS!$Y:$Y)</f>
        <v/>
      </c>
      <c r="E8" s="8">
        <f>C8-D8</f>
        <v/>
      </c>
      <c r="F8" s="8">
        <f>SUMIF(INGRESOS!$R:$R,A8,INGRESOS!$N:$N)</f>
        <v/>
      </c>
      <c r="G8" s="8">
        <f>SUMIF(EGRESOS!$P:$P,A8,EGRESOS!$AA:$AA)</f>
        <v/>
      </c>
      <c r="H8" s="8">
        <f>F8-G8</f>
        <v/>
      </c>
      <c r="I8" s="8">
        <f>SUMIF(EGRESOS!$P:$P,A8,EGRESOS!$AB:$AB)</f>
        <v/>
      </c>
      <c r="J8" s="8">
        <f>G8-I8</f>
        <v/>
      </c>
      <c r="K8" s="8">
        <f>SUMIF(EGRESOS!$P:$P,A8,EGRESOS!$AC:$AC)</f>
        <v/>
      </c>
      <c r="L8" s="8">
        <f>I8-K8</f>
        <v/>
      </c>
      <c r="M8" s="8">
        <f>H8+J8+L8</f>
        <v/>
      </c>
    </row>
    <row r="9">
      <c r="A9" s="7" t="inlineStr">
        <is>
          <t>1.3.3.11.10.04</t>
        </is>
      </c>
      <c r="B9" s="7" t="inlineStr">
        <is>
          <t>R.B. RETIROS FONPET 2024 C.S.F.</t>
        </is>
      </c>
      <c r="C9" s="8">
        <f>SUMIF(INGRESOS!$R:$R,A9,INGRESOS!$L:$L)</f>
        <v/>
      </c>
      <c r="D9" s="8">
        <f>SUMIF(EGRESOS!$P:$P,A9,EGRESOS!$Y:$Y)</f>
        <v/>
      </c>
      <c r="E9" s="8">
        <f>C9-D9</f>
        <v/>
      </c>
      <c r="F9" s="8">
        <f>SUMIF(INGRESOS!$R:$R,A9,INGRESOS!$N:$N)</f>
        <v/>
      </c>
      <c r="G9" s="8">
        <f>SUMIF(EGRESOS!$P:$P,A9,EGRESOS!$AA:$AA)</f>
        <v/>
      </c>
      <c r="H9" s="8">
        <f>F9-G9</f>
        <v/>
      </c>
      <c r="I9" s="8">
        <f>SUMIF(EGRESOS!$P:$P,A9,EGRESOS!$AB:$AB)</f>
        <v/>
      </c>
      <c r="J9" s="8">
        <f>G9-I9</f>
        <v/>
      </c>
      <c r="K9" s="8">
        <f>SUMIF(EGRESOS!$P:$P,A9,EGRESOS!$AC:$AC)</f>
        <v/>
      </c>
      <c r="L9" s="8">
        <f>I9-K9</f>
        <v/>
      </c>
      <c r="M9" s="8">
        <f>H9+J9+L9</f>
        <v/>
      </c>
    </row>
    <row r="10">
      <c r="A10" s="7" t="inlineStr">
        <is>
          <t>1.3.2.3.11.21</t>
        </is>
      </c>
      <c r="B10" s="7" t="inlineStr">
        <is>
          <t>OTROS RENDIMIENTOS FINANCIEROS - DESAHORRO FONPET MESADAS PENSIONALES 2023</t>
        </is>
      </c>
      <c r="C10" s="8">
        <f>SUMIF(INGRESOS!$R:$R,A10,INGRESOS!$L:$L)</f>
        <v/>
      </c>
      <c r="D10" s="8">
        <f>SUMIF(EGRESOS!$P:$P,A10,EGRESOS!$Y:$Y)</f>
        <v/>
      </c>
      <c r="E10" s="8">
        <f>C10-D10</f>
        <v/>
      </c>
      <c r="F10" s="8">
        <f>SUMIF(INGRESOS!$R:$R,A10,INGRESOS!$N:$N)</f>
        <v/>
      </c>
      <c r="G10" s="8">
        <f>SUMIF(EGRESOS!$P:$P,A10,EGRESOS!$AA:$AA)</f>
        <v/>
      </c>
      <c r="H10" s="8">
        <f>F10-G10</f>
        <v/>
      </c>
      <c r="I10" s="8">
        <f>SUMIF(EGRESOS!$P:$P,A10,EGRESOS!$AB:$AB)</f>
        <v/>
      </c>
      <c r="J10" s="8">
        <f>G10-I10</f>
        <v/>
      </c>
      <c r="K10" s="8">
        <f>SUMIF(EGRESOS!$P:$P,A10,EGRESOS!$AC:$AC)</f>
        <v/>
      </c>
      <c r="L10" s="8">
        <f>I10-K10</f>
        <v/>
      </c>
      <c r="M10" s="8">
        <f>H10+J10+L10</f>
        <v/>
      </c>
    </row>
    <row r="11">
      <c r="A11" s="7" t="inlineStr">
        <is>
          <t>1.3.3.11.10.02</t>
        </is>
      </c>
      <c r="B11" s="7" t="inlineStr">
        <is>
          <t>R.B. RETIROS FONPET S.S.F. SALDOS 2024 CUOTAS PARTES</t>
        </is>
      </c>
      <c r="C11" s="8">
        <f>SUMIF(INGRESOS!$R:$R,A11,INGRESOS!$L:$L)</f>
        <v/>
      </c>
      <c r="D11" s="8">
        <f>SUMIF(EGRESOS!$P:$P,A11,EGRESOS!$Y:$Y)</f>
        <v/>
      </c>
      <c r="E11" s="8">
        <f>C11-D11</f>
        <v/>
      </c>
      <c r="F11" s="8">
        <f>SUMIF(INGRESOS!$R:$R,A11,INGRESOS!$N:$N)</f>
        <v/>
      </c>
      <c r="G11" s="8">
        <f>SUMIF(EGRESOS!$P:$P,A11,EGRESOS!$AA:$AA)</f>
        <v/>
      </c>
      <c r="H11" s="8">
        <f>F11-G11</f>
        <v/>
      </c>
      <c r="I11" s="8">
        <f>SUMIF(EGRESOS!$P:$P,A11,EGRESOS!$AB:$AB)</f>
        <v/>
      </c>
      <c r="J11" s="8">
        <f>G11-I11</f>
        <v/>
      </c>
      <c r="K11" s="8">
        <f>SUMIF(EGRESOS!$P:$P,A11,EGRESOS!$AC:$AC)</f>
        <v/>
      </c>
      <c r="L11" s="8">
        <f>I11-K11</f>
        <v/>
      </c>
      <c r="M11" s="8">
        <f>H11+J11+L11</f>
        <v/>
      </c>
    </row>
    <row r="12">
      <c r="A12" s="7" t="inlineStr">
        <is>
          <t>1.3.1.1.10</t>
        </is>
      </c>
      <c r="B12" s="7" t="inlineStr">
        <is>
          <t>RETIROS FONPET</t>
        </is>
      </c>
      <c r="C12" s="8">
        <f>SUMIF(INGRESOS!$R:$R,A12,INGRESOS!$L:$L)</f>
        <v/>
      </c>
      <c r="D12" s="8">
        <f>SUMIF(EGRESOS!$P:$P,A12,EGRESOS!$Y:$Y)</f>
        <v/>
      </c>
      <c r="E12" s="8">
        <f>C12-D12</f>
        <v/>
      </c>
      <c r="F12" s="8">
        <f>SUMIF(INGRESOS!$R:$R,A12,INGRESOS!$N:$N)</f>
        <v/>
      </c>
      <c r="G12" s="8">
        <f>SUMIF(EGRESOS!$P:$P,A12,EGRESOS!$AA:$AA)</f>
        <v/>
      </c>
      <c r="H12" s="8">
        <f>F12-G12</f>
        <v/>
      </c>
      <c r="I12" s="8">
        <f>SUMIF(EGRESOS!$P:$P,A12,EGRESOS!$AB:$AB)</f>
        <v/>
      </c>
      <c r="J12" s="8">
        <f>G12-I12</f>
        <v/>
      </c>
      <c r="K12" s="8">
        <f>SUMIF(EGRESOS!$P:$P,A12,EGRESOS!$AC:$AC)</f>
        <v/>
      </c>
      <c r="L12" s="8">
        <f>I12-K12</f>
        <v/>
      </c>
      <c r="M12" s="8">
        <f>H12+J12+L12</f>
        <v/>
      </c>
    </row>
    <row r="13">
      <c r="A13" s="7" t="inlineStr">
        <is>
          <t>1.3.2.3.11.39</t>
        </is>
      </c>
      <c r="B13" s="7" t="inlineStr">
        <is>
          <t>OTROS RENDIMIENTOS FINANCIEROS NOMINA MESADAS PENSIONALES</t>
        </is>
      </c>
      <c r="C13" s="8">
        <f>SUMIF(INGRESOS!$R:$R,A13,INGRESOS!$L:$L)</f>
        <v/>
      </c>
      <c r="D13" s="8">
        <f>SUMIF(EGRESOS!$P:$P,A13,EGRESOS!$Y:$Y)</f>
        <v/>
      </c>
      <c r="E13" s="8">
        <f>C13-D13</f>
        <v/>
      </c>
      <c r="F13" s="8">
        <f>SUMIF(INGRESOS!$R:$R,A13,INGRESOS!$N:$N)</f>
        <v/>
      </c>
      <c r="G13" s="8">
        <f>SUMIF(EGRESOS!$P:$P,A13,EGRESOS!$AA:$AA)</f>
        <v/>
      </c>
      <c r="H13" s="8">
        <f>F13-G13</f>
        <v/>
      </c>
      <c r="I13" s="8">
        <f>SUMIF(EGRESOS!$P:$P,A13,EGRESOS!$AB:$AB)</f>
        <v/>
      </c>
      <c r="J13" s="8">
        <f>G13-I13</f>
        <v/>
      </c>
      <c r="K13" s="8">
        <f>SUMIF(EGRESOS!$P:$P,A13,EGRESOS!$AC:$AC)</f>
        <v/>
      </c>
      <c r="L13" s="8">
        <f>I13-K13</f>
        <v/>
      </c>
      <c r="M13" s="8">
        <f>H13+J13+L13</f>
        <v/>
      </c>
    </row>
    <row r="14">
      <c r="A14" s="7" t="inlineStr">
        <is>
          <t>1.3.3.6.02</t>
        </is>
      </c>
      <c r="B14" s="7" t="inlineStr">
        <is>
          <t>R.B. SGP EDUCACIÓN - CANCELACION DE PRESTACIONES SOCIALES DEL MAGISTERIO</t>
        </is>
      </c>
      <c r="C14" s="8">
        <f>SUMIF(INGRESOS!$R:$R,A14,INGRESOS!$L:$L)</f>
        <v/>
      </c>
      <c r="D14" s="8">
        <f>SUMIF(EGRESOS!$P:$P,A14,EGRESOS!$Y:$Y)</f>
        <v/>
      </c>
      <c r="E14" s="8">
        <f>C14-D14</f>
        <v/>
      </c>
      <c r="F14" s="8">
        <f>SUMIF(INGRESOS!$R:$R,A14,INGRESOS!$N:$N)</f>
        <v/>
      </c>
      <c r="G14" s="8">
        <f>SUMIF(EGRESOS!$P:$P,A14,EGRESOS!$AA:$AA)</f>
        <v/>
      </c>
      <c r="H14" s="8">
        <f>F14-G14</f>
        <v/>
      </c>
      <c r="I14" s="8">
        <f>SUMIF(EGRESOS!$P:$P,A14,EGRESOS!$AB:$AB)</f>
        <v/>
      </c>
      <c r="J14" s="8">
        <f>G14-I14</f>
        <v/>
      </c>
      <c r="K14" s="8">
        <f>SUMIF(EGRESOS!$P:$P,A14,EGRESOS!$AC:$AC)</f>
        <v/>
      </c>
      <c r="L14" s="8">
        <f>I14-K14</f>
        <v/>
      </c>
      <c r="M14" s="8">
        <f>H14+J14+L14</f>
        <v/>
      </c>
    </row>
    <row r="15">
      <c r="A15" s="7" t="inlineStr">
        <is>
          <t>1.2.3.1.14</t>
        </is>
      </c>
      <c r="B15" s="7" t="inlineStr">
        <is>
          <t>SOBRETASA BOMBERIL</t>
        </is>
      </c>
      <c r="C15" s="8">
        <f>SUMIF(INGRESOS!$R:$R,A15,INGRESOS!$L:$L)</f>
        <v/>
      </c>
      <c r="D15" s="8">
        <f>SUMIF(EGRESOS!$P:$P,A15,EGRESOS!$Y:$Y)</f>
        <v/>
      </c>
      <c r="E15" s="8">
        <f>C15-D15</f>
        <v/>
      </c>
      <c r="F15" s="8">
        <f>SUMIF(INGRESOS!$R:$R,A15,INGRESOS!$N:$N)</f>
        <v/>
      </c>
      <c r="G15" s="8">
        <f>SUMIF(EGRESOS!$P:$P,A15,EGRESOS!$AA:$AA)</f>
        <v/>
      </c>
      <c r="H15" s="8">
        <f>F15-G15</f>
        <v/>
      </c>
      <c r="I15" s="8">
        <f>SUMIF(EGRESOS!$P:$P,A15,EGRESOS!$AB:$AB)</f>
        <v/>
      </c>
      <c r="J15" s="8">
        <f>G15-I15</f>
        <v/>
      </c>
      <c r="K15" s="8">
        <f>SUMIF(EGRESOS!$P:$P,A15,EGRESOS!$AC:$AC)</f>
        <v/>
      </c>
      <c r="L15" s="8">
        <f>I15-K15</f>
        <v/>
      </c>
      <c r="M15" s="8">
        <f>H15+J15+L15</f>
        <v/>
      </c>
    </row>
    <row r="16">
      <c r="A16" s="7" t="inlineStr">
        <is>
          <t>1.3.3.3.15</t>
        </is>
      </c>
      <c r="B16" s="7" t="inlineStr">
        <is>
          <t>R.B. SOBRETASA BOMBERIL</t>
        </is>
      </c>
      <c r="C16" s="8">
        <f>SUMIF(INGRESOS!$R:$R,A16,INGRESOS!$L:$L)</f>
        <v/>
      </c>
      <c r="D16" s="8">
        <f>SUMIF(EGRESOS!$P:$P,A16,EGRESOS!$Y:$Y)</f>
        <v/>
      </c>
      <c r="E16" s="8">
        <f>C16-D16</f>
        <v/>
      </c>
      <c r="F16" s="8">
        <f>SUMIF(INGRESOS!$R:$R,A16,INGRESOS!$N:$N)</f>
        <v/>
      </c>
      <c r="G16" s="8">
        <f>SUMIF(EGRESOS!$P:$P,A16,EGRESOS!$AA:$AA)</f>
        <v/>
      </c>
      <c r="H16" s="8">
        <f>F16-G16</f>
        <v/>
      </c>
      <c r="I16" s="8">
        <f>SUMIF(EGRESOS!$P:$P,A16,EGRESOS!$AB:$AB)</f>
        <v/>
      </c>
      <c r="J16" s="8">
        <f>G16-I16</f>
        <v/>
      </c>
      <c r="K16" s="8">
        <f>SUMIF(EGRESOS!$P:$P,A16,EGRESOS!$AC:$AC)</f>
        <v/>
      </c>
      <c r="L16" s="8">
        <f>I16-K16</f>
        <v/>
      </c>
      <c r="M16" s="8">
        <f>H16+J16+L16</f>
        <v/>
      </c>
    </row>
    <row r="17">
      <c r="A17" s="7" t="inlineStr">
        <is>
          <t>1.2.3.1.19.02</t>
        </is>
      </c>
      <c r="B17" s="7" t="inlineStr">
        <is>
          <t>ESTAMPILLA PRO CULTURA</t>
        </is>
      </c>
      <c r="C17" s="8">
        <f>SUMIF(INGRESOS!$R:$R,A17,INGRESOS!$L:$L)</f>
        <v/>
      </c>
      <c r="D17" s="8">
        <f>SUMIF(EGRESOS!$P:$P,A17,EGRESOS!$Y:$Y)</f>
        <v/>
      </c>
      <c r="E17" s="8">
        <f>C17-D17</f>
        <v/>
      </c>
      <c r="F17" s="8">
        <f>SUMIF(INGRESOS!$R:$R,A17,INGRESOS!$N:$N)</f>
        <v/>
      </c>
      <c r="G17" s="8">
        <f>SUMIF(EGRESOS!$P:$P,A17,EGRESOS!$AA:$AA)</f>
        <v/>
      </c>
      <c r="H17" s="8">
        <f>F17-G17</f>
        <v/>
      </c>
      <c r="I17" s="8">
        <f>SUMIF(EGRESOS!$P:$P,A17,EGRESOS!$AB:$AB)</f>
        <v/>
      </c>
      <c r="J17" s="8">
        <f>G17-I17</f>
        <v/>
      </c>
      <c r="K17" s="8">
        <f>SUMIF(EGRESOS!$P:$P,A17,EGRESOS!$AC:$AC)</f>
        <v/>
      </c>
      <c r="L17" s="8">
        <f>I17-K17</f>
        <v/>
      </c>
      <c r="M17" s="8">
        <f>H17+J17+L17</f>
        <v/>
      </c>
    </row>
    <row r="18">
      <c r="A18" s="7" t="inlineStr">
        <is>
          <t>1.3.3.3.20.04</t>
        </is>
      </c>
      <c r="B18" s="7" t="inlineStr">
        <is>
          <t>R.B. ESTAMPILLA PRO CULTURA 10% GESTOR CULTURAL</t>
        </is>
      </c>
      <c r="C18" s="8">
        <f>SUMIF(INGRESOS!$R:$R,A18,INGRESOS!$L:$L)</f>
        <v/>
      </c>
      <c r="D18" s="8">
        <f>SUMIF(EGRESOS!$P:$P,A18,EGRESOS!$Y:$Y)</f>
        <v/>
      </c>
      <c r="E18" s="8">
        <f>C18-D18</f>
        <v/>
      </c>
      <c r="F18" s="8">
        <f>SUMIF(INGRESOS!$R:$R,A18,INGRESOS!$N:$N)</f>
        <v/>
      </c>
      <c r="G18" s="8">
        <f>SUMIF(EGRESOS!$P:$P,A18,EGRESOS!$AA:$AA)</f>
        <v/>
      </c>
      <c r="H18" s="8">
        <f>F18-G18</f>
        <v/>
      </c>
      <c r="I18" s="8">
        <f>SUMIF(EGRESOS!$P:$P,A18,EGRESOS!$AB:$AB)</f>
        <v/>
      </c>
      <c r="J18" s="8">
        <f>G18-I18</f>
        <v/>
      </c>
      <c r="K18" s="8">
        <f>SUMIF(EGRESOS!$P:$P,A18,EGRESOS!$AC:$AC)</f>
        <v/>
      </c>
      <c r="L18" s="8">
        <f>I18-K18</f>
        <v/>
      </c>
      <c r="M18" s="8">
        <f>H18+J18+L18</f>
        <v/>
      </c>
    </row>
    <row r="19">
      <c r="A19" s="7" t="inlineStr">
        <is>
          <t>1.3.2.3.11.01</t>
        </is>
      </c>
      <c r="B19" s="7" t="inlineStr">
        <is>
          <t>OTROS RENDIMIENTOS FINANCIEROS SEG.SOCIAL GESTOR CULTURAL ESTAMP.PROCULTURA</t>
        </is>
      </c>
      <c r="C19" s="8">
        <f>SUMIF(INGRESOS!$R:$R,A19,INGRESOS!$L:$L)</f>
        <v/>
      </c>
      <c r="D19" s="8">
        <f>SUMIF(EGRESOS!$P:$P,A19,EGRESOS!$Y:$Y)</f>
        <v/>
      </c>
      <c r="E19" s="8">
        <f>C19-D19</f>
        <v/>
      </c>
      <c r="F19" s="8">
        <f>SUMIF(INGRESOS!$R:$R,A19,INGRESOS!$N:$N)</f>
        <v/>
      </c>
      <c r="G19" s="8">
        <f>SUMIF(EGRESOS!$P:$P,A19,EGRESOS!$AA:$AA)</f>
        <v/>
      </c>
      <c r="H19" s="8">
        <f>F19-G19</f>
        <v/>
      </c>
      <c r="I19" s="8">
        <f>SUMIF(EGRESOS!$P:$P,A19,EGRESOS!$AB:$AB)</f>
        <v/>
      </c>
      <c r="J19" s="8">
        <f>G19-I19</f>
        <v/>
      </c>
      <c r="K19" s="8">
        <f>SUMIF(EGRESOS!$P:$P,A19,EGRESOS!$AC:$AC)</f>
        <v/>
      </c>
      <c r="L19" s="8">
        <f>I19-K19</f>
        <v/>
      </c>
      <c r="M19" s="8">
        <f>H19+J19+L19</f>
        <v/>
      </c>
    </row>
    <row r="20">
      <c r="A20" s="7" t="inlineStr">
        <is>
          <t>1.3.3.11.08</t>
        </is>
      </c>
      <c r="B20" s="7" t="inlineStr">
        <is>
          <t>R.B. OTRAS TRANSFERENCIAS DE CAPITAL</t>
        </is>
      </c>
      <c r="C20" s="8">
        <f>SUMIF(INGRESOS!$R:$R,A20,INGRESOS!$L:$L)</f>
        <v/>
      </c>
      <c r="D20" s="8">
        <f>SUMIF(EGRESOS!$P:$P,A20,EGRESOS!$Y:$Y)</f>
        <v/>
      </c>
      <c r="E20" s="8">
        <f>C20-D20</f>
        <v/>
      </c>
      <c r="F20" s="8">
        <f>SUMIF(INGRESOS!$R:$R,A20,INGRESOS!$N:$N)</f>
        <v/>
      </c>
      <c r="G20" s="8">
        <f>SUMIF(EGRESOS!$P:$P,A20,EGRESOS!$AA:$AA)</f>
        <v/>
      </c>
      <c r="H20" s="8">
        <f>F20-G20</f>
        <v/>
      </c>
      <c r="I20" s="8">
        <f>SUMIF(EGRESOS!$P:$P,A20,EGRESOS!$AB:$AB)</f>
        <v/>
      </c>
      <c r="J20" s="8">
        <f>G20-I20</f>
        <v/>
      </c>
      <c r="K20" s="8">
        <f>SUMIF(EGRESOS!$P:$P,A20,EGRESOS!$AC:$AC)</f>
        <v/>
      </c>
      <c r="L20" s="8">
        <f>I20-K20</f>
        <v/>
      </c>
      <c r="M20" s="8">
        <f>H20+J20+L20</f>
        <v/>
      </c>
    </row>
    <row r="21">
      <c r="A21" s="7" t="inlineStr">
        <is>
          <t>1.2.4.3.03</t>
        </is>
      </c>
      <c r="B21" s="7" t="inlineStr">
        <is>
          <t>SGP-PROPOSITO GENERAL-PROPOSITO GENERAL LIBRE INVERSION</t>
        </is>
      </c>
      <c r="C21" s="8">
        <f>SUMIF(INGRESOS!$R:$R,A21,INGRESOS!$L:$L)</f>
        <v/>
      </c>
      <c r="D21" s="8">
        <f>SUMIF(EGRESOS!$P:$P,A21,EGRESOS!$Y:$Y)</f>
        <v/>
      </c>
      <c r="E21" s="8">
        <f>C21-D21</f>
        <v/>
      </c>
      <c r="F21" s="8">
        <f>SUMIF(INGRESOS!$R:$R,A21,INGRESOS!$N:$N)</f>
        <v/>
      </c>
      <c r="G21" s="8">
        <f>SUMIF(EGRESOS!$P:$P,A21,EGRESOS!$AA:$AA)</f>
        <v/>
      </c>
      <c r="H21" s="8">
        <f>F21-G21</f>
        <v/>
      </c>
      <c r="I21" s="8">
        <f>SUMIF(EGRESOS!$P:$P,A21,EGRESOS!$AB:$AB)</f>
        <v/>
      </c>
      <c r="J21" s="8">
        <f>G21-I21</f>
        <v/>
      </c>
      <c r="K21" s="8">
        <f>SUMIF(EGRESOS!$P:$P,A21,EGRESOS!$AC:$AC)</f>
        <v/>
      </c>
      <c r="L21" s="8">
        <f>I21-K21</f>
        <v/>
      </c>
      <c r="M21" s="8">
        <f>H21+J21+L21</f>
        <v/>
      </c>
    </row>
    <row r="22">
      <c r="A22" s="7" t="inlineStr">
        <is>
          <t>1.2.4.3.04</t>
        </is>
      </c>
      <c r="B22" s="7" t="inlineStr">
        <is>
          <t>SGP-PROPOSITO GENERAL-LIBRE DESTINACION MUNICIPIOS CATEGORIAS 4, 5 Y 6</t>
        </is>
      </c>
      <c r="C22" s="8">
        <f>SUMIF(INGRESOS!$R:$R,A22,INGRESOS!$L:$L)</f>
        <v/>
      </c>
      <c r="D22" s="8">
        <f>SUMIF(EGRESOS!$P:$P,A22,EGRESOS!$Y:$Y)</f>
        <v/>
      </c>
      <c r="E22" s="8">
        <f>C22-D22</f>
        <v/>
      </c>
      <c r="F22" s="8">
        <f>SUMIF(INGRESOS!$R:$R,A22,INGRESOS!$N:$N)</f>
        <v/>
      </c>
      <c r="G22" s="8">
        <f>SUMIF(EGRESOS!$P:$P,A22,EGRESOS!$AA:$AA)</f>
        <v/>
      </c>
      <c r="H22" s="8">
        <f>F22-G22</f>
        <v/>
      </c>
      <c r="I22" s="8">
        <f>SUMIF(EGRESOS!$P:$P,A22,EGRESOS!$AB:$AB)</f>
        <v/>
      </c>
      <c r="J22" s="8">
        <f>G22-I22</f>
        <v/>
      </c>
      <c r="K22" s="8">
        <f>SUMIF(EGRESOS!$P:$P,A22,EGRESOS!$AC:$AC)</f>
        <v/>
      </c>
      <c r="L22" s="8">
        <f>I22-K22</f>
        <v/>
      </c>
      <c r="M22" s="8">
        <f>H22+J22+L22</f>
        <v/>
      </c>
    </row>
    <row r="23">
      <c r="A23" s="7" t="inlineStr">
        <is>
          <t>1.2.3.2.09.01</t>
        </is>
      </c>
      <c r="B23" s="7" t="inlineStr">
        <is>
          <t>CONTRIBUCIÓN POR VALORIZACIÓN</t>
        </is>
      </c>
      <c r="C23" s="8">
        <f>SUMIF(INGRESOS!$R:$R,A23,INGRESOS!$L:$L)</f>
        <v/>
      </c>
      <c r="D23" s="8">
        <f>SUMIF(EGRESOS!$P:$P,A23,EGRESOS!$Y:$Y)</f>
        <v/>
      </c>
      <c r="E23" s="8">
        <f>C23-D23</f>
        <v/>
      </c>
      <c r="F23" s="8">
        <f>SUMIF(INGRESOS!$R:$R,A23,INGRESOS!$N:$N)</f>
        <v/>
      </c>
      <c r="G23" s="8">
        <f>SUMIF(EGRESOS!$P:$P,A23,EGRESOS!$AA:$AA)</f>
        <v/>
      </c>
      <c r="H23" s="8">
        <f>F23-G23</f>
        <v/>
      </c>
      <c r="I23" s="8">
        <f>SUMIF(EGRESOS!$P:$P,A23,EGRESOS!$AB:$AB)</f>
        <v/>
      </c>
      <c r="J23" s="8">
        <f>G23-I23</f>
        <v/>
      </c>
      <c r="K23" s="8">
        <f>SUMIF(EGRESOS!$P:$P,A23,EGRESOS!$AC:$AC)</f>
        <v/>
      </c>
      <c r="L23" s="8">
        <f>I23-K23</f>
        <v/>
      </c>
      <c r="M23" s="8">
        <f>H23+J23+L23</f>
        <v/>
      </c>
    </row>
    <row r="24">
      <c r="A24" s="7" t="inlineStr">
        <is>
          <t>1.2.3.1.19.01</t>
        </is>
      </c>
      <c r="B24" s="7" t="inlineStr">
        <is>
          <t>ESTAMPILLA PARA EL BIENESTAR DEL ADULTO MAYOR</t>
        </is>
      </c>
      <c r="C24" s="8">
        <f>SUMIF(INGRESOS!$R:$R,A24,INGRESOS!$L:$L)</f>
        <v/>
      </c>
      <c r="D24" s="8">
        <f>SUMIF(EGRESOS!$P:$P,A24,EGRESOS!$Y:$Y)</f>
        <v/>
      </c>
      <c r="E24" s="8">
        <f>C24-D24</f>
        <v/>
      </c>
      <c r="F24" s="8">
        <f>SUMIF(INGRESOS!$R:$R,A24,INGRESOS!$N:$N)</f>
        <v/>
      </c>
      <c r="G24" s="8">
        <f>SUMIF(EGRESOS!$P:$P,A24,EGRESOS!$AA:$AA)</f>
        <v/>
      </c>
      <c r="H24" s="8">
        <f>F24-G24</f>
        <v/>
      </c>
      <c r="I24" s="8">
        <f>SUMIF(EGRESOS!$P:$P,A24,EGRESOS!$AB:$AB)</f>
        <v/>
      </c>
      <c r="J24" s="8">
        <f>G24-I24</f>
        <v/>
      </c>
      <c r="K24" s="8">
        <f>SUMIF(EGRESOS!$P:$P,A24,EGRESOS!$AC:$AC)</f>
        <v/>
      </c>
      <c r="L24" s="8">
        <f>I24-K24</f>
        <v/>
      </c>
      <c r="M24" s="8">
        <f>H24+J24+L24</f>
        <v/>
      </c>
    </row>
    <row r="25">
      <c r="A25" s="7" t="inlineStr">
        <is>
          <t>1.2.3.1.19.03</t>
        </is>
      </c>
      <c r="B25" s="7" t="inlineStr">
        <is>
          <t>ESTAMPILLA PARA LA JUSTICIA FAMILIAR</t>
        </is>
      </c>
      <c r="C25" s="8">
        <f>SUMIF(INGRESOS!$R:$R,A25,INGRESOS!$L:$L)</f>
        <v/>
      </c>
      <c r="D25" s="8">
        <f>SUMIF(EGRESOS!$P:$P,A25,EGRESOS!$Y:$Y)</f>
        <v/>
      </c>
      <c r="E25" s="8">
        <f>C25-D25</f>
        <v/>
      </c>
      <c r="F25" s="8">
        <f>SUMIF(INGRESOS!$R:$R,A25,INGRESOS!$N:$N)</f>
        <v/>
      </c>
      <c r="G25" s="8">
        <f>SUMIF(EGRESOS!$P:$P,A25,EGRESOS!$AA:$AA)</f>
        <v/>
      </c>
      <c r="H25" s="8">
        <f>F25-G25</f>
        <v/>
      </c>
      <c r="I25" s="8">
        <f>SUMIF(EGRESOS!$P:$P,A25,EGRESOS!$AB:$AB)</f>
        <v/>
      </c>
      <c r="J25" s="8">
        <f>G25-I25</f>
        <v/>
      </c>
      <c r="K25" s="8">
        <f>SUMIF(EGRESOS!$P:$P,A25,EGRESOS!$AC:$AC)</f>
        <v/>
      </c>
      <c r="L25" s="8">
        <f>I25-K25</f>
        <v/>
      </c>
      <c r="M25" s="8">
        <f>H25+J25+L25</f>
        <v/>
      </c>
    </row>
    <row r="26">
      <c r="A26" s="7" t="inlineStr">
        <is>
          <t>1.3.2.3.11.04</t>
        </is>
      </c>
      <c r="B26" s="7" t="inlineStr">
        <is>
          <t>OTROS RENDIMIENTOS FINANCIEROS 20% FONPET ESTAMP. ADULTO MAYOR</t>
        </is>
      </c>
      <c r="C26" s="8">
        <f>SUMIF(INGRESOS!$R:$R,A26,INGRESOS!$L:$L)</f>
        <v/>
      </c>
      <c r="D26" s="8">
        <f>SUMIF(EGRESOS!$P:$P,A26,EGRESOS!$Y:$Y)</f>
        <v/>
      </c>
      <c r="E26" s="8">
        <f>C26-D26</f>
        <v/>
      </c>
      <c r="F26" s="8">
        <f>SUMIF(INGRESOS!$R:$R,A26,INGRESOS!$N:$N)</f>
        <v/>
      </c>
      <c r="G26" s="8">
        <f>SUMIF(EGRESOS!$P:$P,A26,EGRESOS!$AA:$AA)</f>
        <v/>
      </c>
      <c r="H26" s="8">
        <f>F26-G26</f>
        <v/>
      </c>
      <c r="I26" s="8">
        <f>SUMIF(EGRESOS!$P:$P,A26,EGRESOS!$AB:$AB)</f>
        <v/>
      </c>
      <c r="J26" s="8">
        <f>G26-I26</f>
        <v/>
      </c>
      <c r="K26" s="8">
        <f>SUMIF(EGRESOS!$P:$P,A26,EGRESOS!$AC:$AC)</f>
        <v/>
      </c>
      <c r="L26" s="8">
        <f>I26-K26</f>
        <v/>
      </c>
      <c r="M26" s="8">
        <f>H26+J26+L26</f>
        <v/>
      </c>
    </row>
    <row r="27">
      <c r="A27" s="7" t="inlineStr">
        <is>
          <t>1.3.2.3.11.03</t>
        </is>
      </c>
      <c r="B27" s="7" t="inlineStr">
        <is>
          <t>OTROS RENDIMIENTOS FINANCIEROS 20% FONPET ESTAMP. PRO CULTURA</t>
        </is>
      </c>
      <c r="C27" s="8">
        <f>SUMIF(INGRESOS!$R:$R,A27,INGRESOS!$L:$L)</f>
        <v/>
      </c>
      <c r="D27" s="8">
        <f>SUMIF(EGRESOS!$P:$P,A27,EGRESOS!$Y:$Y)</f>
        <v/>
      </c>
      <c r="E27" s="8">
        <f>C27-D27</f>
        <v/>
      </c>
      <c r="F27" s="8">
        <f>SUMIF(INGRESOS!$R:$R,A27,INGRESOS!$N:$N)</f>
        <v/>
      </c>
      <c r="G27" s="8">
        <f>SUMIF(EGRESOS!$P:$P,A27,EGRESOS!$AA:$AA)</f>
        <v/>
      </c>
      <c r="H27" s="8">
        <f>F27-G27</f>
        <v/>
      </c>
      <c r="I27" s="8">
        <f>SUMIF(EGRESOS!$P:$P,A27,EGRESOS!$AB:$AB)</f>
        <v/>
      </c>
      <c r="J27" s="8">
        <f>G27-I27</f>
        <v/>
      </c>
      <c r="K27" s="8">
        <f>SUMIF(EGRESOS!$P:$P,A27,EGRESOS!$AC:$AC)</f>
        <v/>
      </c>
      <c r="L27" s="8">
        <f>I27-K27</f>
        <v/>
      </c>
      <c r="M27" s="8">
        <f>H27+J27+L27</f>
        <v/>
      </c>
    </row>
    <row r="28">
      <c r="A28" s="7" t="inlineStr">
        <is>
          <t>1.3.3.11.10.01</t>
        </is>
      </c>
      <c r="B28" s="7" t="inlineStr">
        <is>
          <t>R.B. RETIROS FONPET PAGO DE BONOS Y CUOTAS PARTES BONOS PENSIONALES  A Y B</t>
        </is>
      </c>
      <c r="C28" s="8">
        <f>SUMIF(INGRESOS!$R:$R,A28,INGRESOS!$L:$L)</f>
        <v/>
      </c>
      <c r="D28" s="8">
        <f>SUMIF(EGRESOS!$P:$P,A28,EGRESOS!$Y:$Y)</f>
        <v/>
      </c>
      <c r="E28" s="8">
        <f>C28-D28</f>
        <v/>
      </c>
      <c r="F28" s="8">
        <f>SUMIF(INGRESOS!$R:$R,A28,INGRESOS!$N:$N)</f>
        <v/>
      </c>
      <c r="G28" s="8">
        <f>SUMIF(EGRESOS!$P:$P,A28,EGRESOS!$AA:$AA)</f>
        <v/>
      </c>
      <c r="H28" s="8">
        <f>F28-G28</f>
        <v/>
      </c>
      <c r="I28" s="8">
        <f>SUMIF(EGRESOS!$P:$P,A28,EGRESOS!$AB:$AB)</f>
        <v/>
      </c>
      <c r="J28" s="8">
        <f>G28-I28</f>
        <v/>
      </c>
      <c r="K28" s="8">
        <f>SUMIF(EGRESOS!$P:$P,A28,EGRESOS!$AC:$AC)</f>
        <v/>
      </c>
      <c r="L28" s="8">
        <f>I28-K28</f>
        <v/>
      </c>
      <c r="M28" s="8">
        <f>H28+J28+L28</f>
        <v/>
      </c>
    </row>
    <row r="29">
      <c r="A29" s="7" t="inlineStr">
        <is>
          <t>1.3.3.3.20.11</t>
        </is>
      </c>
      <c r="B29" s="7" t="inlineStr">
        <is>
          <t>R.B. ESTAMPILLA JUSTICIA FAMILIAR</t>
        </is>
      </c>
      <c r="C29" s="8">
        <f>SUMIF(INGRESOS!$R:$R,A29,INGRESOS!$L:$L)</f>
        <v/>
      </c>
      <c r="D29" s="8">
        <f>SUMIF(EGRESOS!$P:$P,A29,EGRESOS!$Y:$Y)</f>
        <v/>
      </c>
      <c r="E29" s="8">
        <f>C29-D29</f>
        <v/>
      </c>
      <c r="F29" s="8">
        <f>SUMIF(INGRESOS!$R:$R,A29,INGRESOS!$N:$N)</f>
        <v/>
      </c>
      <c r="G29" s="8">
        <f>SUMIF(EGRESOS!$P:$P,A29,EGRESOS!$AA:$AA)</f>
        <v/>
      </c>
      <c r="H29" s="8">
        <f>F29-G29</f>
        <v/>
      </c>
      <c r="I29" s="8">
        <f>SUMIF(EGRESOS!$P:$P,A29,EGRESOS!$AB:$AB)</f>
        <v/>
      </c>
      <c r="J29" s="8">
        <f>G29-I29</f>
        <v/>
      </c>
      <c r="K29" s="8">
        <f>SUMIF(EGRESOS!$P:$P,A29,EGRESOS!$AC:$AC)</f>
        <v/>
      </c>
      <c r="L29" s="8">
        <f>I29-K29</f>
        <v/>
      </c>
      <c r="M29" s="8">
        <f>H29+J29+L29</f>
        <v/>
      </c>
    </row>
    <row r="30">
      <c r="A30" s="7" t="inlineStr">
        <is>
          <t>1.3.2.3.11.36</t>
        </is>
      </c>
      <c r="B30" s="7" t="inlineStr">
        <is>
          <t>OTROS REDIMIENTOS FINANCIEROS  ESTAMPILLA PARA LA JUSTICIA FAMILIAR</t>
        </is>
      </c>
      <c r="C30" s="8">
        <f>SUMIF(INGRESOS!$R:$R,A30,INGRESOS!$L:$L)</f>
        <v/>
      </c>
      <c r="D30" s="8">
        <f>SUMIF(EGRESOS!$P:$P,A30,EGRESOS!$Y:$Y)</f>
        <v/>
      </c>
      <c r="E30" s="8">
        <f>C30-D30</f>
        <v/>
      </c>
      <c r="F30" s="8">
        <f>SUMIF(INGRESOS!$R:$R,A30,INGRESOS!$N:$N)</f>
        <v/>
      </c>
      <c r="G30" s="8">
        <f>SUMIF(EGRESOS!$P:$P,A30,EGRESOS!$AA:$AA)</f>
        <v/>
      </c>
      <c r="H30" s="8">
        <f>F30-G30</f>
        <v/>
      </c>
      <c r="I30" s="8">
        <f>SUMIF(EGRESOS!$P:$P,A30,EGRESOS!$AB:$AB)</f>
        <v/>
      </c>
      <c r="J30" s="8">
        <f>G30-I30</f>
        <v/>
      </c>
      <c r="K30" s="8">
        <f>SUMIF(EGRESOS!$P:$P,A30,EGRESOS!$AC:$AC)</f>
        <v/>
      </c>
      <c r="L30" s="8">
        <f>I30-K30</f>
        <v/>
      </c>
      <c r="M30" s="8">
        <f>H30+J30+L30</f>
        <v/>
      </c>
    </row>
    <row r="31">
      <c r="A31" s="7" t="inlineStr">
        <is>
          <t>1.3.2.3.11.02</t>
        </is>
      </c>
      <c r="B31" s="7" t="inlineStr">
        <is>
          <t>OTROS RENDIMIENTOS FINANCIEROS 10% BIBLIOTECAS PUBLICAS ESTAMP. PRO CULTURA</t>
        </is>
      </c>
      <c r="C31" s="8">
        <f>SUMIF(INGRESOS!$R:$R,A31,INGRESOS!$L:$L)</f>
        <v/>
      </c>
      <c r="D31" s="8">
        <f>SUMIF(EGRESOS!$P:$P,A31,EGRESOS!$Y:$Y)</f>
        <v/>
      </c>
      <c r="E31" s="8">
        <f>C31-D31</f>
        <v/>
      </c>
      <c r="F31" s="8">
        <f>SUMIF(INGRESOS!$R:$R,A31,INGRESOS!$N:$N)</f>
        <v/>
      </c>
      <c r="G31" s="8">
        <f>SUMIF(EGRESOS!$P:$P,A31,EGRESOS!$AA:$AA)</f>
        <v/>
      </c>
      <c r="H31" s="8">
        <f>F31-G31</f>
        <v/>
      </c>
      <c r="I31" s="8">
        <f>SUMIF(EGRESOS!$P:$P,A31,EGRESOS!$AB:$AB)</f>
        <v/>
      </c>
      <c r="J31" s="8">
        <f>G31-I31</f>
        <v/>
      </c>
      <c r="K31" s="8">
        <f>SUMIF(EGRESOS!$P:$P,A31,EGRESOS!$AC:$AC)</f>
        <v/>
      </c>
      <c r="L31" s="8">
        <f>I31-K31</f>
        <v/>
      </c>
      <c r="M31" s="8">
        <f>H31+J31+L31</f>
        <v/>
      </c>
    </row>
    <row r="32">
      <c r="A32" s="7" t="inlineStr">
        <is>
          <t>1.3.3.3.20.05</t>
        </is>
      </c>
      <c r="B32" s="7" t="inlineStr">
        <is>
          <t>R.B. ESTAMPILLA PRO CULTURA 10% BIBLIOTECAS PUBLICAS</t>
        </is>
      </c>
      <c r="C32" s="8">
        <f>SUMIF(INGRESOS!$R:$R,A32,INGRESOS!$L:$L)</f>
        <v/>
      </c>
      <c r="D32" s="8">
        <f>SUMIF(EGRESOS!$P:$P,A32,EGRESOS!$Y:$Y)</f>
        <v/>
      </c>
      <c r="E32" s="8">
        <f>C32-D32</f>
        <v/>
      </c>
      <c r="F32" s="8">
        <f>SUMIF(INGRESOS!$R:$R,A32,INGRESOS!$N:$N)</f>
        <v/>
      </c>
      <c r="G32" s="8">
        <f>SUMIF(EGRESOS!$P:$P,A32,EGRESOS!$AA:$AA)</f>
        <v/>
      </c>
      <c r="H32" s="8">
        <f>F32-G32</f>
        <v/>
      </c>
      <c r="I32" s="8">
        <f>SUMIF(EGRESOS!$P:$P,A32,EGRESOS!$AB:$AB)</f>
        <v/>
      </c>
      <c r="J32" s="8">
        <f>G32-I32</f>
        <v/>
      </c>
      <c r="K32" s="8">
        <f>SUMIF(EGRESOS!$P:$P,A32,EGRESOS!$AC:$AC)</f>
        <v/>
      </c>
      <c r="L32" s="8">
        <f>I32-K32</f>
        <v/>
      </c>
      <c r="M32" s="8">
        <f>H32+J32+L32</f>
        <v/>
      </c>
    </row>
    <row r="33">
      <c r="A33" s="7" t="inlineStr">
        <is>
          <t>1.3.2.3.11.34</t>
        </is>
      </c>
      <c r="B33" s="7" t="inlineStr">
        <is>
          <t>OTROS RENDIMIENTOS FINANCIEROS - 1% ICLD AREAS ESTRATEGICAS</t>
        </is>
      </c>
      <c r="C33" s="8">
        <f>SUMIF(INGRESOS!$R:$R,A33,INGRESOS!$L:$L)</f>
        <v/>
      </c>
      <c r="D33" s="8">
        <f>SUMIF(EGRESOS!$P:$P,A33,EGRESOS!$Y:$Y)</f>
        <v/>
      </c>
      <c r="E33" s="8">
        <f>C33-D33</f>
        <v/>
      </c>
      <c r="F33" s="8">
        <f>SUMIF(INGRESOS!$R:$R,A33,INGRESOS!$N:$N)</f>
        <v/>
      </c>
      <c r="G33" s="8">
        <f>SUMIF(EGRESOS!$P:$P,A33,EGRESOS!$AA:$AA)</f>
        <v/>
      </c>
      <c r="H33" s="8">
        <f>F33-G33</f>
        <v/>
      </c>
      <c r="I33" s="8">
        <f>SUMIF(EGRESOS!$P:$P,A33,EGRESOS!$AB:$AB)</f>
        <v/>
      </c>
      <c r="J33" s="8">
        <f>G33-I33</f>
        <v/>
      </c>
      <c r="K33" s="8">
        <f>SUMIF(EGRESOS!$P:$P,A33,EGRESOS!$AC:$AC)</f>
        <v/>
      </c>
      <c r="L33" s="8">
        <f>I33-K33</f>
        <v/>
      </c>
      <c r="M33" s="8">
        <f>H33+J33+L33</f>
        <v/>
      </c>
    </row>
    <row r="34">
      <c r="A34" s="7" t="inlineStr">
        <is>
          <t>1.2.2.0.00.06</t>
        </is>
      </c>
      <c r="B34" s="7" t="inlineStr">
        <is>
          <t>10% SOBRETASA GASOLINA  CALIDAD EDUCATIVA</t>
        </is>
      </c>
      <c r="C34" s="8">
        <f>SUMIF(INGRESOS!$R:$R,A34,INGRESOS!$L:$L)</f>
        <v/>
      </c>
      <c r="D34" s="8">
        <f>SUMIF(EGRESOS!$P:$P,A34,EGRESOS!$Y:$Y)</f>
        <v/>
      </c>
      <c r="E34" s="8">
        <f>C34-D34</f>
        <v/>
      </c>
      <c r="F34" s="8">
        <f>SUMIF(INGRESOS!$R:$R,A34,INGRESOS!$N:$N)</f>
        <v/>
      </c>
      <c r="G34" s="8">
        <f>SUMIF(EGRESOS!$P:$P,A34,EGRESOS!$AA:$AA)</f>
        <v/>
      </c>
      <c r="H34" s="8">
        <f>F34-G34</f>
        <v/>
      </c>
      <c r="I34" s="8">
        <f>SUMIF(EGRESOS!$P:$P,A34,EGRESOS!$AB:$AB)</f>
        <v/>
      </c>
      <c r="J34" s="8">
        <f>G34-I34</f>
        <v/>
      </c>
      <c r="K34" s="8">
        <f>SUMIF(EGRESOS!$P:$P,A34,EGRESOS!$AC:$AC)</f>
        <v/>
      </c>
      <c r="L34" s="8">
        <f>I34-K34</f>
        <v/>
      </c>
      <c r="M34" s="8">
        <f>H34+J34+L34</f>
        <v/>
      </c>
    </row>
    <row r="35">
      <c r="A35" s="7" t="inlineStr">
        <is>
          <t>1.3.2.2.09.01</t>
        </is>
      </c>
      <c r="B35" s="7" t="inlineStr">
        <is>
          <t>R.F. SGP - ALIMENTACIÓN ESCOLAR 2019  20% MENAJE</t>
        </is>
      </c>
      <c r="C35" s="8">
        <f>SUMIF(INGRESOS!$R:$R,A35,INGRESOS!$L:$L)</f>
        <v/>
      </c>
      <c r="D35" s="8">
        <f>SUMIF(EGRESOS!$P:$P,A35,EGRESOS!$Y:$Y)</f>
        <v/>
      </c>
      <c r="E35" s="8">
        <f>C35-D35</f>
        <v/>
      </c>
      <c r="F35" s="8">
        <f>SUMIF(INGRESOS!$R:$R,A35,INGRESOS!$N:$N)</f>
        <v/>
      </c>
      <c r="G35" s="8">
        <f>SUMIF(EGRESOS!$P:$P,A35,EGRESOS!$AA:$AA)</f>
        <v/>
      </c>
      <c r="H35" s="8">
        <f>F35-G35</f>
        <v/>
      </c>
      <c r="I35" s="8">
        <f>SUMIF(EGRESOS!$P:$P,A35,EGRESOS!$AB:$AB)</f>
        <v/>
      </c>
      <c r="J35" s="8">
        <f>G35-I35</f>
        <v/>
      </c>
      <c r="K35" s="8">
        <f>SUMIF(EGRESOS!$P:$P,A35,EGRESOS!$AC:$AC)</f>
        <v/>
      </c>
      <c r="L35" s="8">
        <f>I35-K35</f>
        <v/>
      </c>
      <c r="M35" s="8">
        <f>H35+J35+L35</f>
        <v/>
      </c>
    </row>
    <row r="36">
      <c r="A36" s="7" t="inlineStr">
        <is>
          <t>1.2.4.4.01</t>
        </is>
      </c>
      <c r="B36" s="7" t="inlineStr">
        <is>
          <t>SGP-ASIGNACION ESPECIAL-PROGRAMAS DE ALIMENTACION ESCOLAR</t>
        </is>
      </c>
      <c r="C36" s="8">
        <f>SUMIF(INGRESOS!$R:$R,A36,INGRESOS!$L:$L)</f>
        <v/>
      </c>
      <c r="D36" s="8">
        <f>SUMIF(EGRESOS!$P:$P,A36,EGRESOS!$Y:$Y)</f>
        <v/>
      </c>
      <c r="E36" s="8">
        <f>C36-D36</f>
        <v/>
      </c>
      <c r="F36" s="8">
        <f>SUMIF(INGRESOS!$R:$R,A36,INGRESOS!$N:$N)</f>
        <v/>
      </c>
      <c r="G36" s="8">
        <f>SUMIF(EGRESOS!$P:$P,A36,EGRESOS!$AA:$AA)</f>
        <v/>
      </c>
      <c r="H36" s="8">
        <f>F36-G36</f>
        <v/>
      </c>
      <c r="I36" s="8">
        <f>SUMIF(EGRESOS!$P:$P,A36,EGRESOS!$AB:$AB)</f>
        <v/>
      </c>
      <c r="J36" s="8">
        <f>G36-I36</f>
        <v/>
      </c>
      <c r="K36" s="8">
        <f>SUMIF(EGRESOS!$P:$P,A36,EGRESOS!$AC:$AC)</f>
        <v/>
      </c>
      <c r="L36" s="8">
        <f>I36-K36</f>
        <v/>
      </c>
      <c r="M36" s="8">
        <f>H36+J36+L36</f>
        <v/>
      </c>
    </row>
    <row r="37">
      <c r="A37" s="7" t="inlineStr">
        <is>
          <t>1.3.2.2.09</t>
        </is>
      </c>
      <c r="B37" s="7" t="inlineStr">
        <is>
          <t>R.F. SGP - ASIGNACION ESPECIAL-PROGRAMAS DE ALIMENTACION ESCOLAR</t>
        </is>
      </c>
      <c r="C37" s="8">
        <f>SUMIF(INGRESOS!$R:$R,A37,INGRESOS!$L:$L)</f>
        <v/>
      </c>
      <c r="D37" s="8">
        <f>SUMIF(EGRESOS!$P:$P,A37,EGRESOS!$Y:$Y)</f>
        <v/>
      </c>
      <c r="E37" s="8">
        <f>C37-D37</f>
        <v/>
      </c>
      <c r="F37" s="8">
        <f>SUMIF(INGRESOS!$R:$R,A37,INGRESOS!$N:$N)</f>
        <v/>
      </c>
      <c r="G37" s="8">
        <f>SUMIF(EGRESOS!$P:$P,A37,EGRESOS!$AA:$AA)</f>
        <v/>
      </c>
      <c r="H37" s="8">
        <f>F37-G37</f>
        <v/>
      </c>
      <c r="I37" s="8">
        <f>SUMIF(EGRESOS!$P:$P,A37,EGRESOS!$AB:$AB)</f>
        <v/>
      </c>
      <c r="J37" s="8">
        <f>G37-I37</f>
        <v/>
      </c>
      <c r="K37" s="8">
        <f>SUMIF(EGRESOS!$P:$P,A37,EGRESOS!$AC:$AC)</f>
        <v/>
      </c>
      <c r="L37" s="8">
        <f>I37-K37</f>
        <v/>
      </c>
      <c r="M37" s="8">
        <f>H37+J37+L37</f>
        <v/>
      </c>
    </row>
    <row r="38">
      <c r="A38" s="7" t="inlineStr">
        <is>
          <t>1.2.3.1.05</t>
        </is>
      </c>
      <c r="B38" s="7" t="inlineStr">
        <is>
          <t>IMPUESTO - SOBRETASA POR EL ALUMBRADO PUBLICO</t>
        </is>
      </c>
      <c r="C38" s="8">
        <f>SUMIF(INGRESOS!$R:$R,A38,INGRESOS!$L:$L)</f>
        <v/>
      </c>
      <c r="D38" s="8">
        <f>SUMIF(EGRESOS!$P:$P,A38,EGRESOS!$Y:$Y)</f>
        <v/>
      </c>
      <c r="E38" s="8">
        <f>C38-D38</f>
        <v/>
      </c>
      <c r="F38" s="8">
        <f>SUMIF(INGRESOS!$R:$R,A38,INGRESOS!$N:$N)</f>
        <v/>
      </c>
      <c r="G38" s="8">
        <f>SUMIF(EGRESOS!$P:$P,A38,EGRESOS!$AA:$AA)</f>
        <v/>
      </c>
      <c r="H38" s="8">
        <f>F38-G38</f>
        <v/>
      </c>
      <c r="I38" s="8">
        <f>SUMIF(EGRESOS!$P:$P,A38,EGRESOS!$AB:$AB)</f>
        <v/>
      </c>
      <c r="J38" s="8">
        <f>G38-I38</f>
        <v/>
      </c>
      <c r="K38" s="8">
        <f>SUMIF(EGRESOS!$P:$P,A38,EGRESOS!$AC:$AC)</f>
        <v/>
      </c>
      <c r="L38" s="8">
        <f>I38-K38</f>
        <v/>
      </c>
      <c r="M38" s="8">
        <f>H38+J38+L38</f>
        <v/>
      </c>
    </row>
    <row r="39">
      <c r="A39" s="7" t="inlineStr">
        <is>
          <t>1.2.4.1.03</t>
        </is>
      </c>
      <c r="B39" s="7" t="inlineStr">
        <is>
          <t>SGP-EDUCACION-CALIDAD  POR MATRICULA OFICIAL</t>
        </is>
      </c>
      <c r="C39" s="8">
        <f>SUMIF(INGRESOS!$R:$R,A39,INGRESOS!$L:$L)</f>
        <v/>
      </c>
      <c r="D39" s="8">
        <f>SUMIF(EGRESOS!$P:$P,A39,EGRESOS!$Y:$Y)</f>
        <v/>
      </c>
      <c r="E39" s="8">
        <f>C39-D39</f>
        <v/>
      </c>
      <c r="F39" s="8">
        <f>SUMIF(INGRESOS!$R:$R,A39,INGRESOS!$N:$N)</f>
        <v/>
      </c>
      <c r="G39" s="8">
        <f>SUMIF(EGRESOS!$P:$P,A39,EGRESOS!$AA:$AA)</f>
        <v/>
      </c>
      <c r="H39" s="8">
        <f>F39-G39</f>
        <v/>
      </c>
      <c r="I39" s="8">
        <f>SUMIF(EGRESOS!$P:$P,A39,EGRESOS!$AB:$AB)</f>
        <v/>
      </c>
      <c r="J39" s="8">
        <f>G39-I39</f>
        <v/>
      </c>
      <c r="K39" s="8">
        <f>SUMIF(EGRESOS!$P:$P,A39,EGRESOS!$AC:$AC)</f>
        <v/>
      </c>
      <c r="L39" s="8">
        <f>I39-K39</f>
        <v/>
      </c>
      <c r="M39" s="8">
        <f>H39+J39+L39</f>
        <v/>
      </c>
    </row>
    <row r="40">
      <c r="A40" s="7" t="inlineStr">
        <is>
          <t>1.3.3.2.00.11</t>
        </is>
      </c>
      <c r="B40" s="7" t="inlineStr">
        <is>
          <t>R.B. 2024 SOBRETASA A LA GASOLINA</t>
        </is>
      </c>
      <c r="C40" s="8">
        <f>SUMIF(INGRESOS!$R:$R,A40,INGRESOS!$L:$L)</f>
        <v/>
      </c>
      <c r="D40" s="8">
        <f>SUMIF(EGRESOS!$P:$P,A40,EGRESOS!$Y:$Y)</f>
        <v/>
      </c>
      <c r="E40" s="8">
        <f>C40-D40</f>
        <v/>
      </c>
      <c r="F40" s="8">
        <f>SUMIF(INGRESOS!$R:$R,A40,INGRESOS!$N:$N)</f>
        <v/>
      </c>
      <c r="G40" s="8">
        <f>SUMIF(EGRESOS!$P:$P,A40,EGRESOS!$AA:$AA)</f>
        <v/>
      </c>
      <c r="H40" s="8">
        <f>F40-G40</f>
        <v/>
      </c>
      <c r="I40" s="8">
        <f>SUMIF(EGRESOS!$P:$P,A40,EGRESOS!$AB:$AB)</f>
        <v/>
      </c>
      <c r="J40" s="8">
        <f>G40-I40</f>
        <v/>
      </c>
      <c r="K40" s="8">
        <f>SUMIF(EGRESOS!$P:$P,A40,EGRESOS!$AC:$AC)</f>
        <v/>
      </c>
      <c r="L40" s="8">
        <f>I40-K40</f>
        <v/>
      </c>
      <c r="M40" s="8">
        <f>H40+J40+L40</f>
        <v/>
      </c>
    </row>
    <row r="41">
      <c r="A41" s="7" t="inlineStr">
        <is>
          <t>1.3.2.3.11.09</t>
        </is>
      </c>
      <c r="B41" s="7" t="inlineStr">
        <is>
          <t>OTROS RENDIMIENTOS FINANCIEROS DESAHORRO FONPET</t>
        </is>
      </c>
      <c r="C41" s="8">
        <f>SUMIF(INGRESOS!$R:$R,A41,INGRESOS!$L:$L)</f>
        <v/>
      </c>
      <c r="D41" s="8">
        <f>SUMIF(EGRESOS!$P:$P,A41,EGRESOS!$Y:$Y)</f>
        <v/>
      </c>
      <c r="E41" s="8">
        <f>C41-D41</f>
        <v/>
      </c>
      <c r="F41" s="8">
        <f>SUMIF(INGRESOS!$R:$R,A41,INGRESOS!$N:$N)</f>
        <v/>
      </c>
      <c r="G41" s="8">
        <f>SUMIF(EGRESOS!$P:$P,A41,EGRESOS!$AA:$AA)</f>
        <v/>
      </c>
      <c r="H41" s="8">
        <f>F41-G41</f>
        <v/>
      </c>
      <c r="I41" s="8">
        <f>SUMIF(EGRESOS!$P:$P,A41,EGRESOS!$AB:$AB)</f>
        <v/>
      </c>
      <c r="J41" s="8">
        <f>G41-I41</f>
        <v/>
      </c>
      <c r="K41" s="8">
        <f>SUMIF(EGRESOS!$P:$P,A41,EGRESOS!$AC:$AC)</f>
        <v/>
      </c>
      <c r="L41" s="8">
        <f>I41-K41</f>
        <v/>
      </c>
      <c r="M41" s="8">
        <f>H41+J41+L41</f>
        <v/>
      </c>
    </row>
    <row r="42">
      <c r="A42" s="7" t="inlineStr">
        <is>
          <t>1.3.3.2.00.10</t>
        </is>
      </c>
      <c r="B42" s="7" t="inlineStr">
        <is>
          <t>R.B. 2025 SOBRETASA A LA GASOLINA</t>
        </is>
      </c>
      <c r="C42" s="8">
        <f>SUMIF(INGRESOS!$R:$R,A42,INGRESOS!$L:$L)</f>
        <v/>
      </c>
      <c r="D42" s="8">
        <f>SUMIF(EGRESOS!$P:$P,A42,EGRESOS!$Y:$Y)</f>
        <v/>
      </c>
      <c r="E42" s="8">
        <f>C42-D42</f>
        <v/>
      </c>
      <c r="F42" s="8">
        <f>SUMIF(INGRESOS!$R:$R,A42,INGRESOS!$N:$N)</f>
        <v/>
      </c>
      <c r="G42" s="8">
        <f>SUMIF(EGRESOS!$P:$P,A42,EGRESOS!$AA:$AA)</f>
        <v/>
      </c>
      <c r="H42" s="8">
        <f>F42-G42</f>
        <v/>
      </c>
      <c r="I42" s="8">
        <f>SUMIF(EGRESOS!$P:$P,A42,EGRESOS!$AB:$AB)</f>
        <v/>
      </c>
      <c r="J42" s="8">
        <f>G42-I42</f>
        <v/>
      </c>
      <c r="K42" s="8">
        <f>SUMIF(EGRESOS!$P:$P,A42,EGRESOS!$AC:$AC)</f>
        <v/>
      </c>
      <c r="L42" s="8">
        <f>I42-K42</f>
        <v/>
      </c>
      <c r="M42" s="8">
        <f>H42+J42+L42</f>
        <v/>
      </c>
    </row>
    <row r="43">
      <c r="A43" s="7" t="inlineStr">
        <is>
          <t>1.2.3.2.21</t>
        </is>
      </c>
      <c r="B43" s="7" t="inlineStr">
        <is>
          <t>DERECHOS DE TRANSITO</t>
        </is>
      </c>
      <c r="C43" s="8">
        <f>SUMIF(INGRESOS!$R:$R,A43,INGRESOS!$L:$L)</f>
        <v/>
      </c>
      <c r="D43" s="8">
        <f>SUMIF(EGRESOS!$P:$P,A43,EGRESOS!$Y:$Y)</f>
        <v/>
      </c>
      <c r="E43" s="8">
        <f>C43-D43</f>
        <v/>
      </c>
      <c r="F43" s="8">
        <f>SUMIF(INGRESOS!$R:$R,A43,INGRESOS!$N:$N)</f>
        <v/>
      </c>
      <c r="G43" s="8">
        <f>SUMIF(EGRESOS!$P:$P,A43,EGRESOS!$AA:$AA)</f>
        <v/>
      </c>
      <c r="H43" s="8">
        <f>F43-G43</f>
        <v/>
      </c>
      <c r="I43" s="8">
        <f>SUMIF(EGRESOS!$P:$P,A43,EGRESOS!$AB:$AB)</f>
        <v/>
      </c>
      <c r="J43" s="8">
        <f>G43-I43</f>
        <v/>
      </c>
      <c r="K43" s="8">
        <f>SUMIF(EGRESOS!$P:$P,A43,EGRESOS!$AC:$AC)</f>
        <v/>
      </c>
      <c r="L43" s="8">
        <f>I43-K43</f>
        <v/>
      </c>
      <c r="M43" s="8">
        <f>H43+J43+L43</f>
        <v/>
      </c>
    </row>
    <row r="44">
      <c r="A44" s="7" t="inlineStr">
        <is>
          <t>1.2.3.1.03</t>
        </is>
      </c>
      <c r="B44" s="7" t="inlineStr">
        <is>
          <t>IMPUESTO SOBRE VEHICULOS AUTOMOTORES CON DESTINACION ESPECIFICA LEGAL</t>
        </is>
      </c>
      <c r="C44" s="8">
        <f>SUMIF(INGRESOS!$R:$R,A44,INGRESOS!$L:$L)</f>
        <v/>
      </c>
      <c r="D44" s="8">
        <f>SUMIF(EGRESOS!$P:$P,A44,EGRESOS!$Y:$Y)</f>
        <v/>
      </c>
      <c r="E44" s="8">
        <f>C44-D44</f>
        <v/>
      </c>
      <c r="F44" s="8">
        <f>SUMIF(INGRESOS!$R:$R,A44,INGRESOS!$N:$N)</f>
        <v/>
      </c>
      <c r="G44" s="8">
        <f>SUMIF(EGRESOS!$P:$P,A44,EGRESOS!$AA:$AA)</f>
        <v/>
      </c>
      <c r="H44" s="8">
        <f>F44-G44</f>
        <v/>
      </c>
      <c r="I44" s="8">
        <f>SUMIF(EGRESOS!$P:$P,A44,EGRESOS!$AB:$AB)</f>
        <v/>
      </c>
      <c r="J44" s="8">
        <f>G44-I44</f>
        <v/>
      </c>
      <c r="K44" s="8">
        <f>SUMIF(EGRESOS!$P:$P,A44,EGRESOS!$AC:$AC)</f>
        <v/>
      </c>
      <c r="L44" s="8">
        <f>I44-K44</f>
        <v/>
      </c>
      <c r="M44" s="8">
        <f>H44+J44+L44</f>
        <v/>
      </c>
    </row>
    <row r="45">
      <c r="A45" s="7" t="inlineStr">
        <is>
          <t>1.3.3.11.03.02</t>
        </is>
      </c>
      <c r="B45" s="7" t="inlineStr">
        <is>
          <t>R.B. DIVIDENDOS Y UTILIDADES POR OTRAS INVERSIONES DE CAPITAL (CENS)</t>
        </is>
      </c>
      <c r="C45" s="8">
        <f>SUMIF(INGRESOS!$R:$R,A45,INGRESOS!$L:$L)</f>
        <v/>
      </c>
      <c r="D45" s="8">
        <f>SUMIF(EGRESOS!$P:$P,A45,EGRESOS!$Y:$Y)</f>
        <v/>
      </c>
      <c r="E45" s="8">
        <f>C45-D45</f>
        <v/>
      </c>
      <c r="F45" s="8">
        <f>SUMIF(INGRESOS!$R:$R,A45,INGRESOS!$N:$N)</f>
        <v/>
      </c>
      <c r="G45" s="8">
        <f>SUMIF(EGRESOS!$P:$P,A45,EGRESOS!$AA:$AA)</f>
        <v/>
      </c>
      <c r="H45" s="8">
        <f>F45-G45</f>
        <v/>
      </c>
      <c r="I45" s="8">
        <f>SUMIF(EGRESOS!$P:$P,A45,EGRESOS!$AB:$AB)</f>
        <v/>
      </c>
      <c r="J45" s="8">
        <f>G45-I45</f>
        <v/>
      </c>
      <c r="K45" s="8">
        <f>SUMIF(EGRESOS!$P:$P,A45,EGRESOS!$AC:$AC)</f>
        <v/>
      </c>
      <c r="L45" s="8">
        <f>I45-K45</f>
        <v/>
      </c>
      <c r="M45" s="8">
        <f>H45+J45+L45</f>
        <v/>
      </c>
    </row>
    <row r="46">
      <c r="A46" s="7" t="inlineStr">
        <is>
          <t>1.3.3.11.03.01</t>
        </is>
      </c>
      <c r="B46" s="7" t="inlineStr">
        <is>
          <t>R.B. DIVIDENDOS Y UTILIDADES POR OTRAS INVERSIONES DE CAPITAL (DATRANS)</t>
        </is>
      </c>
      <c r="C46" s="8">
        <f>SUMIF(INGRESOS!$R:$R,A46,INGRESOS!$L:$L)</f>
        <v/>
      </c>
      <c r="D46" s="8">
        <f>SUMIF(EGRESOS!$P:$P,A46,EGRESOS!$Y:$Y)</f>
        <v/>
      </c>
      <c r="E46" s="8">
        <f>C46-D46</f>
        <v/>
      </c>
      <c r="F46" s="8">
        <f>SUMIF(INGRESOS!$R:$R,A46,INGRESOS!$N:$N)</f>
        <v/>
      </c>
      <c r="G46" s="8">
        <f>SUMIF(EGRESOS!$P:$P,A46,EGRESOS!$AA:$AA)</f>
        <v/>
      </c>
      <c r="H46" s="8">
        <f>F46-G46</f>
        <v/>
      </c>
      <c r="I46" s="8">
        <f>SUMIF(EGRESOS!$P:$P,A46,EGRESOS!$AB:$AB)</f>
        <v/>
      </c>
      <c r="J46" s="8">
        <f>G46-I46</f>
        <v/>
      </c>
      <c r="K46" s="8">
        <f>SUMIF(EGRESOS!$P:$P,A46,EGRESOS!$AC:$AC)</f>
        <v/>
      </c>
      <c r="L46" s="8">
        <f>I46-K46</f>
        <v/>
      </c>
      <c r="M46" s="8">
        <f>H46+J46+L46</f>
        <v/>
      </c>
    </row>
    <row r="47">
      <c r="A47" s="7" t="inlineStr">
        <is>
          <t>1.3.2.2.08.05</t>
        </is>
      </c>
      <c r="B47" s="7" t="inlineStr">
        <is>
          <t>R.F. SGP PROPOSITO GENERAL LIBRE INVERSION</t>
        </is>
      </c>
      <c r="C47" s="8">
        <f>SUMIF(INGRESOS!$R:$R,A47,INGRESOS!$L:$L)</f>
        <v/>
      </c>
      <c r="D47" s="8">
        <f>SUMIF(EGRESOS!$P:$P,A47,EGRESOS!$Y:$Y)</f>
        <v/>
      </c>
      <c r="E47" s="8">
        <f>C47-D47</f>
        <v/>
      </c>
      <c r="F47" s="8">
        <f>SUMIF(INGRESOS!$R:$R,A47,INGRESOS!$N:$N)</f>
        <v/>
      </c>
      <c r="G47" s="8">
        <f>SUMIF(EGRESOS!$P:$P,A47,EGRESOS!$AA:$AA)</f>
        <v/>
      </c>
      <c r="H47" s="8">
        <f>F47-G47</f>
        <v/>
      </c>
      <c r="I47" s="8">
        <f>SUMIF(EGRESOS!$P:$P,A47,EGRESOS!$AB:$AB)</f>
        <v/>
      </c>
      <c r="J47" s="8">
        <f>G47-I47</f>
        <v/>
      </c>
      <c r="K47" s="8">
        <f>SUMIF(EGRESOS!$P:$P,A47,EGRESOS!$AC:$AC)</f>
        <v/>
      </c>
      <c r="L47" s="8">
        <f>I47-K47</f>
        <v/>
      </c>
      <c r="M47" s="8">
        <f>H47+J47+L47</f>
        <v/>
      </c>
    </row>
    <row r="48">
      <c r="A48" s="7" t="inlineStr">
        <is>
          <t>1.3.2.1.21</t>
        </is>
      </c>
      <c r="B48" s="7" t="inlineStr">
        <is>
          <t>R.F. DERECHOS DE TRANSITO</t>
        </is>
      </c>
      <c r="C48" s="8">
        <f>SUMIF(INGRESOS!$R:$R,A48,INGRESOS!$L:$L)</f>
        <v/>
      </c>
      <c r="D48" s="8">
        <f>SUMIF(EGRESOS!$P:$P,A48,EGRESOS!$Y:$Y)</f>
        <v/>
      </c>
      <c r="E48" s="8">
        <f>C48-D48</f>
        <v/>
      </c>
      <c r="F48" s="8">
        <f>SUMIF(INGRESOS!$R:$R,A48,INGRESOS!$N:$N)</f>
        <v/>
      </c>
      <c r="G48" s="8">
        <f>SUMIF(EGRESOS!$P:$P,A48,EGRESOS!$AA:$AA)</f>
        <v/>
      </c>
      <c r="H48" s="8">
        <f>F48-G48</f>
        <v/>
      </c>
      <c r="I48" s="8">
        <f>SUMIF(EGRESOS!$P:$P,A48,EGRESOS!$AB:$AB)</f>
        <v/>
      </c>
      <c r="J48" s="8">
        <f>G48-I48</f>
        <v/>
      </c>
      <c r="K48" s="8">
        <f>SUMIF(EGRESOS!$P:$P,A48,EGRESOS!$AC:$AC)</f>
        <v/>
      </c>
      <c r="L48" s="8">
        <f>I48-K48</f>
        <v/>
      </c>
      <c r="M48" s="8">
        <f>H48+J48+L48</f>
        <v/>
      </c>
    </row>
    <row r="49">
      <c r="A49" s="7" t="inlineStr">
        <is>
          <t>1.3.2.3.01.08</t>
        </is>
      </c>
      <c r="B49" s="7" t="inlineStr">
        <is>
          <t>R.F. DISTINTOS AL SGP - IMPUESTO DE VEHICULOS AUTOMOTORES</t>
        </is>
      </c>
      <c r="C49" s="8">
        <f>SUMIF(INGRESOS!$R:$R,A49,INGRESOS!$L:$L)</f>
        <v/>
      </c>
      <c r="D49" s="8">
        <f>SUMIF(EGRESOS!$P:$P,A49,EGRESOS!$Y:$Y)</f>
        <v/>
      </c>
      <c r="E49" s="8">
        <f>C49-D49</f>
        <v/>
      </c>
      <c r="F49" s="8">
        <f>SUMIF(INGRESOS!$R:$R,A49,INGRESOS!$N:$N)</f>
        <v/>
      </c>
      <c r="G49" s="8">
        <f>SUMIF(EGRESOS!$P:$P,A49,EGRESOS!$AA:$AA)</f>
        <v/>
      </c>
      <c r="H49" s="8">
        <f>F49-G49</f>
        <v/>
      </c>
      <c r="I49" s="8">
        <f>SUMIF(EGRESOS!$P:$P,A49,EGRESOS!$AB:$AB)</f>
        <v/>
      </c>
      <c r="J49" s="8">
        <f>G49-I49</f>
        <v/>
      </c>
      <c r="K49" s="8">
        <f>SUMIF(EGRESOS!$P:$P,A49,EGRESOS!$AC:$AC)</f>
        <v/>
      </c>
      <c r="L49" s="8">
        <f>I49-K49</f>
        <v/>
      </c>
      <c r="M49" s="8">
        <f>H49+J49+L49</f>
        <v/>
      </c>
    </row>
    <row r="50">
      <c r="A50" s="7" t="inlineStr">
        <is>
          <t>1.2.2.0.00.00</t>
        </is>
      </c>
      <c r="B50" s="7" t="inlineStr">
        <is>
          <t>50% SOBRETASA A LA GASOLINA PROYECTOS PLAN DE DESARROLLO 2024-2027</t>
        </is>
      </c>
      <c r="C50" s="8">
        <f>SUMIF(INGRESOS!$R:$R,A50,INGRESOS!$L:$L)</f>
        <v/>
      </c>
      <c r="D50" s="8">
        <f>SUMIF(EGRESOS!$P:$P,A50,EGRESOS!$Y:$Y)</f>
        <v/>
      </c>
      <c r="E50" s="8">
        <f>C50-D50</f>
        <v/>
      </c>
      <c r="F50" s="8">
        <f>SUMIF(INGRESOS!$R:$R,A50,INGRESOS!$N:$N)</f>
        <v/>
      </c>
      <c r="G50" s="8">
        <f>SUMIF(EGRESOS!$P:$P,A50,EGRESOS!$AA:$AA)</f>
        <v/>
      </c>
      <c r="H50" s="8">
        <f>F50-G50</f>
        <v/>
      </c>
      <c r="I50" s="8">
        <f>SUMIF(EGRESOS!$P:$P,A50,EGRESOS!$AB:$AB)</f>
        <v/>
      </c>
      <c r="J50" s="8">
        <f>G50-I50</f>
        <v/>
      </c>
      <c r="K50" s="8">
        <f>SUMIF(EGRESOS!$P:$P,A50,EGRESOS!$AC:$AC)</f>
        <v/>
      </c>
      <c r="L50" s="8">
        <f>I50-K50</f>
        <v/>
      </c>
      <c r="M50" s="8">
        <f>H50+J50+L50</f>
        <v/>
      </c>
    </row>
    <row r="51">
      <c r="A51" s="7" t="inlineStr">
        <is>
          <t>1.3.2.2.13</t>
        </is>
      </c>
      <c r="B51" s="7" t="inlineStr">
        <is>
          <t>R.F. SGP - AGUA POTABLE Y SANEAMIENTO BASICO</t>
        </is>
      </c>
      <c r="C51" s="8">
        <f>SUMIF(INGRESOS!$R:$R,A51,INGRESOS!$L:$L)</f>
        <v/>
      </c>
      <c r="D51" s="8">
        <f>SUMIF(EGRESOS!$P:$P,A51,EGRESOS!$Y:$Y)</f>
        <v/>
      </c>
      <c r="E51" s="8">
        <f>C51-D51</f>
        <v/>
      </c>
      <c r="F51" s="8">
        <f>SUMIF(INGRESOS!$R:$R,A51,INGRESOS!$N:$N)</f>
        <v/>
      </c>
      <c r="G51" s="8">
        <f>SUMIF(EGRESOS!$P:$P,A51,EGRESOS!$AA:$AA)</f>
        <v/>
      </c>
      <c r="H51" s="8">
        <f>F51-G51</f>
        <v/>
      </c>
      <c r="I51" s="8">
        <f>SUMIF(EGRESOS!$P:$P,A51,EGRESOS!$AB:$AB)</f>
        <v/>
      </c>
      <c r="J51" s="8">
        <f>G51-I51</f>
        <v/>
      </c>
      <c r="K51" s="8">
        <f>SUMIF(EGRESOS!$P:$P,A51,EGRESOS!$AC:$AC)</f>
        <v/>
      </c>
      <c r="L51" s="8">
        <f>I51-K51</f>
        <v/>
      </c>
      <c r="M51" s="8">
        <f>H51+J51+L51</f>
        <v/>
      </c>
    </row>
    <row r="52">
      <c r="A52" s="7" t="inlineStr">
        <is>
          <t>1.2.4.6.00</t>
        </is>
      </c>
      <c r="B52" s="7" t="inlineStr">
        <is>
          <t>SGP-AGUA POTABLE Y SANEAMIENTO BASICO</t>
        </is>
      </c>
      <c r="C52" s="8">
        <f>SUMIF(INGRESOS!$R:$R,A52,INGRESOS!$L:$L)</f>
        <v/>
      </c>
      <c r="D52" s="8">
        <f>SUMIF(EGRESOS!$P:$P,A52,EGRESOS!$Y:$Y)</f>
        <v/>
      </c>
      <c r="E52" s="8">
        <f>C52-D52</f>
        <v/>
      </c>
      <c r="F52" s="8">
        <f>SUMIF(INGRESOS!$R:$R,A52,INGRESOS!$N:$N)</f>
        <v/>
      </c>
      <c r="G52" s="8">
        <f>SUMIF(EGRESOS!$P:$P,A52,EGRESOS!$AA:$AA)</f>
        <v/>
      </c>
      <c r="H52" s="8">
        <f>F52-G52</f>
        <v/>
      </c>
      <c r="I52" s="8">
        <f>SUMIF(EGRESOS!$P:$P,A52,EGRESOS!$AB:$AB)</f>
        <v/>
      </c>
      <c r="J52" s="8">
        <f>G52-I52</f>
        <v/>
      </c>
      <c r="K52" s="8">
        <f>SUMIF(EGRESOS!$P:$P,A52,EGRESOS!$AC:$AC)</f>
        <v/>
      </c>
      <c r="L52" s="8">
        <f>I52-K52</f>
        <v/>
      </c>
      <c r="M52" s="8">
        <f>H52+J52+L52</f>
        <v/>
      </c>
    </row>
    <row r="53">
      <c r="A53" s="7" t="inlineStr">
        <is>
          <t>1.2.2.0.00.05</t>
        </is>
      </c>
      <c r="B53" s="7" t="inlineStr">
        <is>
          <t>10% SOBRETASA GASOLINA INFRAESTRUCTURA ESCENARIOS DEPORTIVOS</t>
        </is>
      </c>
      <c r="C53" s="8">
        <f>SUMIF(INGRESOS!$R:$R,A53,INGRESOS!$L:$L)</f>
        <v/>
      </c>
      <c r="D53" s="8">
        <f>SUMIF(EGRESOS!$P:$P,A53,EGRESOS!$Y:$Y)</f>
        <v/>
      </c>
      <c r="E53" s="8">
        <f>C53-D53</f>
        <v/>
      </c>
      <c r="F53" s="8">
        <f>SUMIF(INGRESOS!$R:$R,A53,INGRESOS!$N:$N)</f>
        <v/>
      </c>
      <c r="G53" s="8">
        <f>SUMIF(EGRESOS!$P:$P,A53,EGRESOS!$AA:$AA)</f>
        <v/>
      </c>
      <c r="H53" s="8">
        <f>F53-G53</f>
        <v/>
      </c>
      <c r="I53" s="8">
        <f>SUMIF(EGRESOS!$P:$P,A53,EGRESOS!$AB:$AB)</f>
        <v/>
      </c>
      <c r="J53" s="8">
        <f>G53-I53</f>
        <v/>
      </c>
      <c r="K53" s="8">
        <f>SUMIF(EGRESOS!$P:$P,A53,EGRESOS!$AC:$AC)</f>
        <v/>
      </c>
      <c r="L53" s="8">
        <f>I53-K53</f>
        <v/>
      </c>
      <c r="M53" s="8">
        <f>H53+J53+L53</f>
        <v/>
      </c>
    </row>
    <row r="54">
      <c r="A54" s="7" t="inlineStr">
        <is>
          <t>1.2.3.1.18</t>
        </is>
      </c>
      <c r="B54" s="7" t="inlineStr">
        <is>
          <t>TASA PRODEPORTE Y RECREACION</t>
        </is>
      </c>
      <c r="C54" s="8">
        <f>SUMIF(INGRESOS!$R:$R,A54,INGRESOS!$L:$L)</f>
        <v/>
      </c>
      <c r="D54" s="8">
        <f>SUMIF(EGRESOS!$P:$P,A54,EGRESOS!$Y:$Y)</f>
        <v/>
      </c>
      <c r="E54" s="8">
        <f>C54-D54</f>
        <v/>
      </c>
      <c r="F54" s="8">
        <f>SUMIF(INGRESOS!$R:$R,A54,INGRESOS!$N:$N)</f>
        <v/>
      </c>
      <c r="G54" s="8">
        <f>SUMIF(EGRESOS!$P:$P,A54,EGRESOS!$AA:$AA)</f>
        <v/>
      </c>
      <c r="H54" s="8">
        <f>F54-G54</f>
        <v/>
      </c>
      <c r="I54" s="8">
        <f>SUMIF(EGRESOS!$P:$P,A54,EGRESOS!$AB:$AB)</f>
        <v/>
      </c>
      <c r="J54" s="8">
        <f>G54-I54</f>
        <v/>
      </c>
      <c r="K54" s="8">
        <f>SUMIF(EGRESOS!$P:$P,A54,EGRESOS!$AC:$AC)</f>
        <v/>
      </c>
      <c r="L54" s="8">
        <f>I54-K54</f>
        <v/>
      </c>
      <c r="M54" s="8">
        <f>H54+J54+L54</f>
        <v/>
      </c>
    </row>
    <row r="55">
      <c r="A55" s="7" t="inlineStr">
        <is>
          <t>1.2.4.3.01</t>
        </is>
      </c>
      <c r="B55" s="7" t="inlineStr">
        <is>
          <t>SGP-PROPOSITO GENERAL-DEPORTE Y RECREACION</t>
        </is>
      </c>
      <c r="C55" s="8">
        <f>SUMIF(INGRESOS!$R:$R,A55,INGRESOS!$L:$L)</f>
        <v/>
      </c>
      <c r="D55" s="8">
        <f>SUMIF(EGRESOS!$P:$P,A55,EGRESOS!$Y:$Y)</f>
        <v/>
      </c>
      <c r="E55" s="8">
        <f>C55-D55</f>
        <v/>
      </c>
      <c r="F55" s="8">
        <f>SUMIF(INGRESOS!$R:$R,A55,INGRESOS!$N:$N)</f>
        <v/>
      </c>
      <c r="G55" s="8">
        <f>SUMIF(EGRESOS!$P:$P,A55,EGRESOS!$AA:$AA)</f>
        <v/>
      </c>
      <c r="H55" s="8">
        <f>F55-G55</f>
        <v/>
      </c>
      <c r="I55" s="8">
        <f>SUMIF(EGRESOS!$P:$P,A55,EGRESOS!$AB:$AB)</f>
        <v/>
      </c>
      <c r="J55" s="8">
        <f>G55-I55</f>
        <v/>
      </c>
      <c r="K55" s="8">
        <f>SUMIF(EGRESOS!$P:$P,A55,EGRESOS!$AC:$AC)</f>
        <v/>
      </c>
      <c r="L55" s="8">
        <f>I55-K55</f>
        <v/>
      </c>
      <c r="M55" s="8">
        <f>H55+J55+L55</f>
        <v/>
      </c>
    </row>
    <row r="56">
      <c r="A56" s="7" t="inlineStr">
        <is>
          <t>1.3.3.4.15</t>
        </is>
      </c>
      <c r="B56" s="7" t="inlineStr">
        <is>
          <t>R.B. DERECHOS DE TRANSITO</t>
        </is>
      </c>
      <c r="C56" s="8">
        <f>SUMIF(INGRESOS!$R:$R,A56,INGRESOS!$L:$L)</f>
        <v/>
      </c>
      <c r="D56" s="8">
        <f>SUMIF(EGRESOS!$P:$P,A56,EGRESOS!$Y:$Y)</f>
        <v/>
      </c>
      <c r="E56" s="8">
        <f>C56-D56</f>
        <v/>
      </c>
      <c r="F56" s="8">
        <f>SUMIF(INGRESOS!$R:$R,A56,INGRESOS!$N:$N)</f>
        <v/>
      </c>
      <c r="G56" s="8">
        <f>SUMIF(EGRESOS!$P:$P,A56,EGRESOS!$AA:$AA)</f>
        <v/>
      </c>
      <c r="H56" s="8">
        <f>F56-G56</f>
        <v/>
      </c>
      <c r="I56" s="8">
        <f>SUMIF(EGRESOS!$P:$P,A56,EGRESOS!$AB:$AB)</f>
        <v/>
      </c>
      <c r="J56" s="8">
        <f>G56-I56</f>
        <v/>
      </c>
      <c r="K56" s="8">
        <f>SUMIF(EGRESOS!$P:$P,A56,EGRESOS!$AC:$AC)</f>
        <v/>
      </c>
      <c r="L56" s="8">
        <f>I56-K56</f>
        <v/>
      </c>
      <c r="M56" s="8">
        <f>H56+J56+L56</f>
        <v/>
      </c>
    </row>
    <row r="57">
      <c r="A57" s="7" t="inlineStr">
        <is>
          <t>1.3.2.3.01.01</t>
        </is>
      </c>
      <c r="B57" s="7" t="inlineStr">
        <is>
          <t>R.F. DISTINTOS AL SGP - RECURSOS PROPIOS</t>
        </is>
      </c>
      <c r="C57" s="8">
        <f>SUMIF(INGRESOS!$R:$R,A57,INGRESOS!$L:$L)</f>
        <v/>
      </c>
      <c r="D57" s="8">
        <f>SUMIF(EGRESOS!$P:$P,A57,EGRESOS!$Y:$Y)</f>
        <v/>
      </c>
      <c r="E57" s="8">
        <f>C57-D57</f>
        <v/>
      </c>
      <c r="F57" s="8">
        <f>SUMIF(INGRESOS!$R:$R,A57,INGRESOS!$N:$N)</f>
        <v/>
      </c>
      <c r="G57" s="8">
        <f>SUMIF(EGRESOS!$P:$P,A57,EGRESOS!$AA:$AA)</f>
        <v/>
      </c>
      <c r="H57" s="8">
        <f>F57-G57</f>
        <v/>
      </c>
      <c r="I57" s="8">
        <f>SUMIF(EGRESOS!$P:$P,A57,EGRESOS!$AB:$AB)</f>
        <v/>
      </c>
      <c r="J57" s="8">
        <f>G57-I57</f>
        <v/>
      </c>
      <c r="K57" s="8">
        <f>SUMIF(EGRESOS!$P:$P,A57,EGRESOS!$AC:$AC)</f>
        <v/>
      </c>
      <c r="L57" s="8">
        <f>I57-K57</f>
        <v/>
      </c>
      <c r="M57" s="8">
        <f>H57+J57+L57</f>
        <v/>
      </c>
    </row>
    <row r="58">
      <c r="A58" s="7" t="inlineStr">
        <is>
          <t>1.3.3.8.03</t>
        </is>
      </c>
      <c r="B58" s="7" t="inlineStr">
        <is>
          <t>R.B. SGP-PROPOSITO GENERAL LIBRE INVERSIÓN</t>
        </is>
      </c>
      <c r="C58" s="8">
        <f>SUMIF(INGRESOS!$R:$R,A58,INGRESOS!$L:$L)</f>
        <v/>
      </c>
      <c r="D58" s="8">
        <f>SUMIF(EGRESOS!$P:$P,A58,EGRESOS!$Y:$Y)</f>
        <v/>
      </c>
      <c r="E58" s="8">
        <f>C58-D58</f>
        <v/>
      </c>
      <c r="F58" s="8">
        <f>SUMIF(INGRESOS!$R:$R,A58,INGRESOS!$N:$N)</f>
        <v/>
      </c>
      <c r="G58" s="8">
        <f>SUMIF(EGRESOS!$P:$P,A58,EGRESOS!$AA:$AA)</f>
        <v/>
      </c>
      <c r="H58" s="8">
        <f>F58-G58</f>
        <v/>
      </c>
      <c r="I58" s="8">
        <f>SUMIF(EGRESOS!$P:$P,A58,EGRESOS!$AB:$AB)</f>
        <v/>
      </c>
      <c r="J58" s="8">
        <f>G58-I58</f>
        <v/>
      </c>
      <c r="K58" s="8">
        <f>SUMIF(EGRESOS!$P:$P,A58,EGRESOS!$AC:$AC)</f>
        <v/>
      </c>
      <c r="L58" s="8">
        <f>I58-K58</f>
        <v/>
      </c>
      <c r="M58" s="8">
        <f>H58+J58+L58</f>
        <v/>
      </c>
    </row>
    <row r="59">
      <c r="A59" s="7" t="inlineStr">
        <is>
          <t>1.3.2.2.08</t>
        </is>
      </c>
      <c r="B59" s="7" t="inlineStr">
        <is>
          <t>R.F. SGP - PROPOSITO GENERAL</t>
        </is>
      </c>
      <c r="C59" s="8">
        <f>SUMIF(INGRESOS!$R:$R,A59,INGRESOS!$L:$L)</f>
        <v/>
      </c>
      <c r="D59" s="8">
        <f>SUMIF(EGRESOS!$P:$P,A59,EGRESOS!$Y:$Y)</f>
        <v/>
      </c>
      <c r="E59" s="8">
        <f>C59-D59</f>
        <v/>
      </c>
      <c r="F59" s="8">
        <f>SUMIF(INGRESOS!$R:$R,A59,INGRESOS!$N:$N)</f>
        <v/>
      </c>
      <c r="G59" s="8">
        <f>SUMIF(EGRESOS!$P:$P,A59,EGRESOS!$AA:$AA)</f>
        <v/>
      </c>
      <c r="H59" s="8">
        <f>F59-G59</f>
        <v/>
      </c>
      <c r="I59" s="8">
        <f>SUMIF(EGRESOS!$P:$P,A59,EGRESOS!$AB:$AB)</f>
        <v/>
      </c>
      <c r="J59" s="8">
        <f>G59-I59</f>
        <v/>
      </c>
      <c r="K59" s="8">
        <f>SUMIF(EGRESOS!$P:$P,A59,EGRESOS!$AC:$AC)</f>
        <v/>
      </c>
      <c r="L59" s="8">
        <f>I59-K59</f>
        <v/>
      </c>
      <c r="M59" s="8">
        <f>H59+J59+L59</f>
        <v/>
      </c>
    </row>
    <row r="60">
      <c r="A60" s="7" t="inlineStr">
        <is>
          <t>1.2.2.0.00.02</t>
        </is>
      </c>
      <c r="B60" s="7" t="inlineStr">
        <is>
          <t>TASA GESTION DEL RIESGO</t>
        </is>
      </c>
      <c r="C60" s="8">
        <f>SUMIF(INGRESOS!$R:$R,A60,INGRESOS!$L:$L)</f>
        <v/>
      </c>
      <c r="D60" s="8">
        <f>SUMIF(EGRESOS!$P:$P,A60,EGRESOS!$Y:$Y)</f>
        <v/>
      </c>
      <c r="E60" s="8">
        <f>C60-D60</f>
        <v/>
      </c>
      <c r="F60" s="8">
        <f>SUMIF(INGRESOS!$R:$R,A60,INGRESOS!$N:$N)</f>
        <v/>
      </c>
      <c r="G60" s="8">
        <f>SUMIF(EGRESOS!$P:$P,A60,EGRESOS!$AA:$AA)</f>
        <v/>
      </c>
      <c r="H60" s="8">
        <f>F60-G60</f>
        <v/>
      </c>
      <c r="I60" s="8">
        <f>SUMIF(EGRESOS!$P:$P,A60,EGRESOS!$AB:$AB)</f>
        <v/>
      </c>
      <c r="J60" s="8">
        <f>G60-I60</f>
        <v/>
      </c>
      <c r="K60" s="8">
        <f>SUMIF(EGRESOS!$P:$P,A60,EGRESOS!$AC:$AC)</f>
        <v/>
      </c>
      <c r="L60" s="8">
        <f>I60-K60</f>
        <v/>
      </c>
      <c r="M60" s="8">
        <f>H60+J60+L60</f>
        <v/>
      </c>
    </row>
    <row r="61">
      <c r="A61" s="7" t="inlineStr">
        <is>
          <t>1.3.1.1.07.01</t>
        </is>
      </c>
      <c r="B61" s="7" t="inlineStr">
        <is>
          <t>CONVENIOS NACIONALES</t>
        </is>
      </c>
      <c r="C61" s="8">
        <f>SUMIF(INGRESOS!$R:$R,A61,INGRESOS!$L:$L)</f>
        <v/>
      </c>
      <c r="D61" s="8">
        <f>SUMIF(EGRESOS!$P:$P,A61,EGRESOS!$Y:$Y)</f>
        <v/>
      </c>
      <c r="E61" s="8">
        <f>C61-D61</f>
        <v/>
      </c>
      <c r="F61" s="8">
        <f>SUMIF(INGRESOS!$R:$R,A61,INGRESOS!$N:$N)</f>
        <v/>
      </c>
      <c r="G61" s="8">
        <f>SUMIF(EGRESOS!$P:$P,A61,EGRESOS!$AA:$AA)</f>
        <v/>
      </c>
      <c r="H61" s="8">
        <f>F61-G61</f>
        <v/>
      </c>
      <c r="I61" s="8">
        <f>SUMIF(EGRESOS!$P:$P,A61,EGRESOS!$AB:$AB)</f>
        <v/>
      </c>
      <c r="J61" s="8">
        <f>G61-I61</f>
        <v/>
      </c>
      <c r="K61" s="8">
        <f>SUMIF(EGRESOS!$P:$P,A61,EGRESOS!$AC:$AC)</f>
        <v/>
      </c>
      <c r="L61" s="8">
        <f>I61-K61</f>
        <v/>
      </c>
      <c r="M61" s="8">
        <f>H61+J61+L61</f>
        <v/>
      </c>
    </row>
    <row r="62">
      <c r="A62" s="7" t="inlineStr">
        <is>
          <t>1.3.3.2.00</t>
        </is>
      </c>
      <c r="B62" s="7" t="inlineStr">
        <is>
          <t>RECURSOS DEL BALANCE DE DESTINACION ESPECIFICA POR ACTO ADMINISTRATIVO</t>
        </is>
      </c>
      <c r="C62" s="8">
        <f>SUMIF(INGRESOS!$R:$R,A62,INGRESOS!$L:$L)</f>
        <v/>
      </c>
      <c r="D62" s="8">
        <f>SUMIF(EGRESOS!$P:$P,A62,EGRESOS!$Y:$Y)</f>
        <v/>
      </c>
      <c r="E62" s="8">
        <f>C62-D62</f>
        <v/>
      </c>
      <c r="F62" s="8">
        <f>SUMIF(INGRESOS!$R:$R,A62,INGRESOS!$N:$N)</f>
        <v/>
      </c>
      <c r="G62" s="8">
        <f>SUMIF(EGRESOS!$P:$P,A62,EGRESOS!$AA:$AA)</f>
        <v/>
      </c>
      <c r="H62" s="8">
        <f>F62-G62</f>
        <v/>
      </c>
      <c r="I62" s="8">
        <f>SUMIF(EGRESOS!$P:$P,A62,EGRESOS!$AB:$AB)</f>
        <v/>
      </c>
      <c r="J62" s="8">
        <f>G62-I62</f>
        <v/>
      </c>
      <c r="K62" s="8">
        <f>SUMIF(EGRESOS!$P:$P,A62,EGRESOS!$AC:$AC)</f>
        <v/>
      </c>
      <c r="L62" s="8">
        <f>I62-K62</f>
        <v/>
      </c>
      <c r="M62" s="8">
        <f>H62+J62+L62</f>
        <v/>
      </c>
    </row>
    <row r="63">
      <c r="A63" s="7" t="inlineStr">
        <is>
          <t>1.3.2.3.01.06</t>
        </is>
      </c>
      <c r="B63" s="7" t="inlineStr">
        <is>
          <t>R.F. DISTINTOS AL SGP - GESTION DEL RIESGO</t>
        </is>
      </c>
      <c r="C63" s="8">
        <f>SUMIF(INGRESOS!$R:$R,A63,INGRESOS!$L:$L)</f>
        <v/>
      </c>
      <c r="D63" s="8">
        <f>SUMIF(EGRESOS!$P:$P,A63,EGRESOS!$Y:$Y)</f>
        <v/>
      </c>
      <c r="E63" s="8">
        <f>C63-D63</f>
        <v/>
      </c>
      <c r="F63" s="8">
        <f>SUMIF(INGRESOS!$R:$R,A63,INGRESOS!$N:$N)</f>
        <v/>
      </c>
      <c r="G63" s="8">
        <f>SUMIF(EGRESOS!$P:$P,A63,EGRESOS!$AA:$AA)</f>
        <v/>
      </c>
      <c r="H63" s="8">
        <f>F63-G63</f>
        <v/>
      </c>
      <c r="I63" s="8">
        <f>SUMIF(EGRESOS!$P:$P,A63,EGRESOS!$AB:$AB)</f>
        <v/>
      </c>
      <c r="J63" s="8">
        <f>G63-I63</f>
        <v/>
      </c>
      <c r="K63" s="8">
        <f>SUMIF(EGRESOS!$P:$P,A63,EGRESOS!$AC:$AC)</f>
        <v/>
      </c>
      <c r="L63" s="8">
        <f>I63-K63</f>
        <v/>
      </c>
      <c r="M63" s="8">
        <f>H63+J63+L63</f>
        <v/>
      </c>
    </row>
    <row r="64">
      <c r="A64" s="7" t="inlineStr">
        <is>
          <t>1.3.3.9.01</t>
        </is>
      </c>
      <c r="B64" s="7" t="inlineStr">
        <is>
          <t>R.B. SGP - ASIGNACIÓN ESPECIAL PROGRAMAS DE ALIMENTACIÓN ESCOLAR</t>
        </is>
      </c>
      <c r="C64" s="8">
        <f>SUMIF(INGRESOS!$R:$R,A64,INGRESOS!$L:$L)</f>
        <v/>
      </c>
      <c r="D64" s="8">
        <f>SUMIF(EGRESOS!$P:$P,A64,EGRESOS!$Y:$Y)</f>
        <v/>
      </c>
      <c r="E64" s="8">
        <f>C64-D64</f>
        <v/>
      </c>
      <c r="F64" s="8">
        <f>SUMIF(INGRESOS!$R:$R,A64,INGRESOS!$N:$N)</f>
        <v/>
      </c>
      <c r="G64" s="8">
        <f>SUMIF(EGRESOS!$P:$P,A64,EGRESOS!$AA:$AA)</f>
        <v/>
      </c>
      <c r="H64" s="8">
        <f>F64-G64</f>
        <v/>
      </c>
      <c r="I64" s="8">
        <f>SUMIF(EGRESOS!$P:$P,A64,EGRESOS!$AB:$AB)</f>
        <v/>
      </c>
      <c r="J64" s="8">
        <f>G64-I64</f>
        <v/>
      </c>
      <c r="K64" s="8">
        <f>SUMIF(EGRESOS!$P:$P,A64,EGRESOS!$AC:$AC)</f>
        <v/>
      </c>
      <c r="L64" s="8">
        <f>I64-K64</f>
        <v/>
      </c>
      <c r="M64" s="8">
        <f>H64+J64+L64</f>
        <v/>
      </c>
    </row>
    <row r="65">
      <c r="A65" s="7" t="inlineStr">
        <is>
          <t>1.2.3.2.09.02</t>
        </is>
      </c>
      <c r="B65" s="7" t="inlineStr">
        <is>
          <t>CONCURSO ECONOMICO ESTRATIFICACION</t>
        </is>
      </c>
      <c r="C65" s="8">
        <f>SUMIF(INGRESOS!$R:$R,A65,INGRESOS!$L:$L)</f>
        <v/>
      </c>
      <c r="D65" s="8">
        <f>SUMIF(EGRESOS!$P:$P,A65,EGRESOS!$Y:$Y)</f>
        <v/>
      </c>
      <c r="E65" s="8">
        <f>C65-D65</f>
        <v/>
      </c>
      <c r="F65" s="8">
        <f>SUMIF(INGRESOS!$R:$R,A65,INGRESOS!$N:$N)</f>
        <v/>
      </c>
      <c r="G65" s="8">
        <f>SUMIF(EGRESOS!$P:$P,A65,EGRESOS!$AA:$AA)</f>
        <v/>
      </c>
      <c r="H65" s="8">
        <f>F65-G65</f>
        <v/>
      </c>
      <c r="I65" s="8">
        <f>SUMIF(EGRESOS!$P:$P,A65,EGRESOS!$AB:$AB)</f>
        <v/>
      </c>
      <c r="J65" s="8">
        <f>G65-I65</f>
        <v/>
      </c>
      <c r="K65" s="8">
        <f>SUMIF(EGRESOS!$P:$P,A65,EGRESOS!$AC:$AC)</f>
        <v/>
      </c>
      <c r="L65" s="8">
        <f>I65-K65</f>
        <v/>
      </c>
      <c r="M65" s="8">
        <f>H65+J65+L65</f>
        <v/>
      </c>
    </row>
    <row r="66">
      <c r="A66" s="7" t="inlineStr">
        <is>
          <t>1.3.2.3.11.33</t>
        </is>
      </c>
      <c r="B66" s="7" t="inlineStr">
        <is>
          <t>OTROS RENDIMIENTOS FINANCIEROS - COMITE PERMANENTE DE ESTRATIFICACIÓN</t>
        </is>
      </c>
      <c r="C66" s="8">
        <f>SUMIF(INGRESOS!$R:$R,A66,INGRESOS!$L:$L)</f>
        <v/>
      </c>
      <c r="D66" s="8">
        <f>SUMIF(EGRESOS!$P:$P,A66,EGRESOS!$Y:$Y)</f>
        <v/>
      </c>
      <c r="E66" s="8">
        <f>C66-D66</f>
        <v/>
      </c>
      <c r="F66" s="8">
        <f>SUMIF(INGRESOS!$R:$R,A66,INGRESOS!$N:$N)</f>
        <v/>
      </c>
      <c r="G66" s="8">
        <f>SUMIF(EGRESOS!$P:$P,A66,EGRESOS!$AA:$AA)</f>
        <v/>
      </c>
      <c r="H66" s="8">
        <f>F66-G66</f>
        <v/>
      </c>
      <c r="I66" s="8">
        <f>SUMIF(EGRESOS!$P:$P,A66,EGRESOS!$AB:$AB)</f>
        <v/>
      </c>
      <c r="J66" s="8">
        <f>G66-I66</f>
        <v/>
      </c>
      <c r="K66" s="8">
        <f>SUMIF(EGRESOS!$P:$P,A66,EGRESOS!$AC:$AC)</f>
        <v/>
      </c>
      <c r="L66" s="8">
        <f>I66-K66</f>
        <v/>
      </c>
      <c r="M66" s="8">
        <f>H66+J66+L66</f>
        <v/>
      </c>
    </row>
    <row r="67">
      <c r="A67" s="7" t="inlineStr">
        <is>
          <t>1.3.2.3.11.27</t>
        </is>
      </c>
      <c r="B67" s="7" t="inlineStr">
        <is>
          <t>OTROS RENDIMIENTOS FINANCIEROS - FIDUCIA ALUMBRADO PUBLICO S.S.F. 2025</t>
        </is>
      </c>
      <c r="C67" s="8">
        <f>SUMIF(INGRESOS!$R:$R,A67,INGRESOS!$L:$L)</f>
        <v/>
      </c>
      <c r="D67" s="8">
        <f>SUMIF(EGRESOS!$P:$P,A67,EGRESOS!$Y:$Y)</f>
        <v/>
      </c>
      <c r="E67" s="8">
        <f>C67-D67</f>
        <v/>
      </c>
      <c r="F67" s="8">
        <f>SUMIF(INGRESOS!$R:$R,A67,INGRESOS!$N:$N)</f>
        <v/>
      </c>
      <c r="G67" s="8">
        <f>SUMIF(EGRESOS!$P:$P,A67,EGRESOS!$AA:$AA)</f>
        <v/>
      </c>
      <c r="H67" s="8">
        <f>F67-G67</f>
        <v/>
      </c>
      <c r="I67" s="8">
        <f>SUMIF(EGRESOS!$P:$P,A67,EGRESOS!$AB:$AB)</f>
        <v/>
      </c>
      <c r="J67" s="8">
        <f>G67-I67</f>
        <v/>
      </c>
      <c r="K67" s="8">
        <f>SUMIF(EGRESOS!$P:$P,A67,EGRESOS!$AC:$AC)</f>
        <v/>
      </c>
      <c r="L67" s="8">
        <f>I67-K67</f>
        <v/>
      </c>
      <c r="M67" s="8">
        <f>H67+J67+L67</f>
        <v/>
      </c>
    </row>
    <row r="68">
      <c r="A68" s="7" t="inlineStr">
        <is>
          <t>1.3.3.3.14.02</t>
        </is>
      </c>
      <c r="B68" s="7" t="inlineStr">
        <is>
          <t>R.B. IMPUESTO DE ALUMBRADO PUBLICO 2024</t>
        </is>
      </c>
      <c r="C68" s="8">
        <f>SUMIF(INGRESOS!$R:$R,A68,INGRESOS!$L:$L)</f>
        <v/>
      </c>
      <c r="D68" s="8">
        <f>SUMIF(EGRESOS!$P:$P,A68,EGRESOS!$Y:$Y)</f>
        <v/>
      </c>
      <c r="E68" s="8">
        <f>C68-D68</f>
        <v/>
      </c>
      <c r="F68" s="8">
        <f>SUMIF(INGRESOS!$R:$R,A68,INGRESOS!$N:$N)</f>
        <v/>
      </c>
      <c r="G68" s="8">
        <f>SUMIF(EGRESOS!$P:$P,A68,EGRESOS!$AA:$AA)</f>
        <v/>
      </c>
      <c r="H68" s="8">
        <f>F68-G68</f>
        <v/>
      </c>
      <c r="I68" s="8">
        <f>SUMIF(EGRESOS!$P:$P,A68,EGRESOS!$AB:$AB)</f>
        <v/>
      </c>
      <c r="J68" s="8">
        <f>G68-I68</f>
        <v/>
      </c>
      <c r="K68" s="8">
        <f>SUMIF(EGRESOS!$P:$P,A68,EGRESOS!$AC:$AC)</f>
        <v/>
      </c>
      <c r="L68" s="8">
        <f>I68-K68</f>
        <v/>
      </c>
      <c r="M68" s="8">
        <f>H68+J68+L68</f>
        <v/>
      </c>
    </row>
    <row r="69">
      <c r="A69" s="7" t="inlineStr">
        <is>
          <t>1.3.2.3.11.16</t>
        </is>
      </c>
      <c r="B69" s="7" t="inlineStr">
        <is>
          <t>RENDIMIENTOS FINANCIEROS ALUMBRADO PUBLICO 2024 S.S.F.</t>
        </is>
      </c>
      <c r="C69" s="8">
        <f>SUMIF(INGRESOS!$R:$R,A69,INGRESOS!$L:$L)</f>
        <v/>
      </c>
      <c r="D69" s="8">
        <f>SUMIF(EGRESOS!$P:$P,A69,EGRESOS!$Y:$Y)</f>
        <v/>
      </c>
      <c r="E69" s="8">
        <f>C69-D69</f>
        <v/>
      </c>
      <c r="F69" s="8">
        <f>SUMIF(INGRESOS!$R:$R,A69,INGRESOS!$N:$N)</f>
        <v/>
      </c>
      <c r="G69" s="8">
        <f>SUMIF(EGRESOS!$P:$P,A69,EGRESOS!$AA:$AA)</f>
        <v/>
      </c>
      <c r="H69" s="8">
        <f>F69-G69</f>
        <v/>
      </c>
      <c r="I69" s="8">
        <f>SUMIF(EGRESOS!$P:$P,A69,EGRESOS!$AB:$AB)</f>
        <v/>
      </c>
      <c r="J69" s="8">
        <f>G69-I69</f>
        <v/>
      </c>
      <c r="K69" s="8">
        <f>SUMIF(EGRESOS!$P:$P,A69,EGRESOS!$AC:$AC)</f>
        <v/>
      </c>
      <c r="L69" s="8">
        <f>I69-K69</f>
        <v/>
      </c>
      <c r="M69" s="8">
        <f>H69+J69+L69</f>
        <v/>
      </c>
    </row>
    <row r="70">
      <c r="A70" s="7" t="inlineStr">
        <is>
          <t>1.3.2.2.03</t>
        </is>
      </c>
      <c r="B70" s="7" t="inlineStr">
        <is>
          <t>R.F. SGP - EDUCACION-CALIDAD  POR MATRICULA OFICIAL</t>
        </is>
      </c>
      <c r="C70" s="8">
        <f>SUMIF(INGRESOS!$R:$R,A70,INGRESOS!$L:$L)</f>
        <v/>
      </c>
      <c r="D70" s="8">
        <f>SUMIF(EGRESOS!$P:$P,A70,EGRESOS!$Y:$Y)</f>
        <v/>
      </c>
      <c r="E70" s="8">
        <f>C70-D70</f>
        <v/>
      </c>
      <c r="F70" s="8">
        <f>SUMIF(INGRESOS!$R:$R,A70,INGRESOS!$N:$N)</f>
        <v/>
      </c>
      <c r="G70" s="8">
        <f>SUMIF(EGRESOS!$P:$P,A70,EGRESOS!$AA:$AA)</f>
        <v/>
      </c>
      <c r="H70" s="8">
        <f>F70-G70</f>
        <v/>
      </c>
      <c r="I70" s="8">
        <f>SUMIF(EGRESOS!$P:$P,A70,EGRESOS!$AB:$AB)</f>
        <v/>
      </c>
      <c r="J70" s="8">
        <f>G70-I70</f>
        <v/>
      </c>
      <c r="K70" s="8">
        <f>SUMIF(EGRESOS!$P:$P,A70,EGRESOS!$AC:$AC)</f>
        <v/>
      </c>
      <c r="L70" s="8">
        <f>I70-K70</f>
        <v/>
      </c>
      <c r="M70" s="8">
        <f>H70+J70+L70</f>
        <v/>
      </c>
    </row>
    <row r="71">
      <c r="A71" s="7" t="inlineStr">
        <is>
          <t>1.2.4.1.04</t>
        </is>
      </c>
      <c r="B71" s="7" t="inlineStr">
        <is>
          <t>SGP-EDUCACION-CALIDAD  POR GRATUIDAD</t>
        </is>
      </c>
      <c r="C71" s="8">
        <f>SUMIF(INGRESOS!$R:$R,A71,INGRESOS!$L:$L)</f>
        <v/>
      </c>
      <c r="D71" s="8">
        <f>SUMIF(EGRESOS!$P:$P,A71,EGRESOS!$Y:$Y)</f>
        <v/>
      </c>
      <c r="E71" s="8">
        <f>C71-D71</f>
        <v/>
      </c>
      <c r="F71" s="8">
        <f>SUMIF(INGRESOS!$R:$R,A71,INGRESOS!$N:$N)</f>
        <v/>
      </c>
      <c r="G71" s="8">
        <f>SUMIF(EGRESOS!$P:$P,A71,EGRESOS!$AA:$AA)</f>
        <v/>
      </c>
      <c r="H71" s="8">
        <f>F71-G71</f>
        <v/>
      </c>
      <c r="I71" s="8">
        <f>SUMIF(EGRESOS!$P:$P,A71,EGRESOS!$AB:$AB)</f>
        <v/>
      </c>
      <c r="J71" s="8">
        <f>G71-I71</f>
        <v/>
      </c>
      <c r="K71" s="8">
        <f>SUMIF(EGRESOS!$P:$P,A71,EGRESOS!$AC:$AC)</f>
        <v/>
      </c>
      <c r="L71" s="8">
        <f>I71-K71</f>
        <v/>
      </c>
      <c r="M71" s="8">
        <f>H71+J71+L71</f>
        <v/>
      </c>
    </row>
    <row r="72">
      <c r="A72" s="7" t="inlineStr">
        <is>
          <t>1.3.2.3.01.04</t>
        </is>
      </c>
      <c r="B72" s="7" t="inlineStr">
        <is>
          <t>R.F. DISTINTOS AL SGP - ESTAMPILLA PROCULTURA</t>
        </is>
      </c>
      <c r="C72" s="8">
        <f>SUMIF(INGRESOS!$R:$R,A72,INGRESOS!$L:$L)</f>
        <v/>
      </c>
      <c r="D72" s="8">
        <f>SUMIF(EGRESOS!$P:$P,A72,EGRESOS!$Y:$Y)</f>
        <v/>
      </c>
      <c r="E72" s="8">
        <f>C72-D72</f>
        <v/>
      </c>
      <c r="F72" s="8">
        <f>SUMIF(INGRESOS!$R:$R,A72,INGRESOS!$N:$N)</f>
        <v/>
      </c>
      <c r="G72" s="8">
        <f>SUMIF(EGRESOS!$P:$P,A72,EGRESOS!$AA:$AA)</f>
        <v/>
      </c>
      <c r="H72" s="8">
        <f>F72-G72</f>
        <v/>
      </c>
      <c r="I72" s="8">
        <f>SUMIF(EGRESOS!$P:$P,A72,EGRESOS!$AB:$AB)</f>
        <v/>
      </c>
      <c r="J72" s="8">
        <f>G72-I72</f>
        <v/>
      </c>
      <c r="K72" s="8">
        <f>SUMIF(EGRESOS!$P:$P,A72,EGRESOS!$AC:$AC)</f>
        <v/>
      </c>
      <c r="L72" s="8">
        <f>I72-K72</f>
        <v/>
      </c>
      <c r="M72" s="8">
        <f>H72+J72+L72</f>
        <v/>
      </c>
    </row>
    <row r="73">
      <c r="A73" s="7" t="inlineStr">
        <is>
          <t>1.2.2.0.00.11</t>
        </is>
      </c>
      <c r="B73" s="7" t="inlineStr">
        <is>
          <t>10% SOBRETASA A LA GASOLINA PROYECTOS RELACIONADOS CON EL SECTOR DE LA CULTURA Y LAS ARTES</t>
        </is>
      </c>
      <c r="C73" s="8">
        <f>SUMIF(INGRESOS!$R:$R,A73,INGRESOS!$L:$L)</f>
        <v/>
      </c>
      <c r="D73" s="8">
        <f>SUMIF(EGRESOS!$P:$P,A73,EGRESOS!$Y:$Y)</f>
        <v/>
      </c>
      <c r="E73" s="8">
        <f>C73-D73</f>
        <v/>
      </c>
      <c r="F73" s="8">
        <f>SUMIF(INGRESOS!$R:$R,A73,INGRESOS!$N:$N)</f>
        <v/>
      </c>
      <c r="G73" s="8">
        <f>SUMIF(EGRESOS!$P:$P,A73,EGRESOS!$AA:$AA)</f>
        <v/>
      </c>
      <c r="H73" s="8">
        <f>F73-G73</f>
        <v/>
      </c>
      <c r="I73" s="8">
        <f>SUMIF(EGRESOS!$P:$P,A73,EGRESOS!$AB:$AB)</f>
        <v/>
      </c>
      <c r="J73" s="8">
        <f>G73-I73</f>
        <v/>
      </c>
      <c r="K73" s="8">
        <f>SUMIF(EGRESOS!$P:$P,A73,EGRESOS!$AC:$AC)</f>
        <v/>
      </c>
      <c r="L73" s="8">
        <f>I73-K73</f>
        <v/>
      </c>
      <c r="M73" s="8">
        <f>H73+J73+L73</f>
        <v/>
      </c>
    </row>
    <row r="74">
      <c r="A74" s="7" t="inlineStr">
        <is>
          <t>1.3.2.2.08.01</t>
        </is>
      </c>
      <c r="B74" s="7" t="inlineStr">
        <is>
          <t>R.F. SGP - PROPOSITO GENERAL CULTURA</t>
        </is>
      </c>
      <c r="C74" s="8">
        <f>SUMIF(INGRESOS!$R:$R,A74,INGRESOS!$L:$L)</f>
        <v/>
      </c>
      <c r="D74" s="8">
        <f>SUMIF(EGRESOS!$P:$P,A74,EGRESOS!$Y:$Y)</f>
        <v/>
      </c>
      <c r="E74" s="8">
        <f>C74-D74</f>
        <v/>
      </c>
      <c r="F74" s="8">
        <f>SUMIF(INGRESOS!$R:$R,A74,INGRESOS!$N:$N)</f>
        <v/>
      </c>
      <c r="G74" s="8">
        <f>SUMIF(EGRESOS!$P:$P,A74,EGRESOS!$AA:$AA)</f>
        <v/>
      </c>
      <c r="H74" s="8">
        <f>F74-G74</f>
        <v/>
      </c>
      <c r="I74" s="8">
        <f>SUMIF(EGRESOS!$P:$P,A74,EGRESOS!$AB:$AB)</f>
        <v/>
      </c>
      <c r="J74" s="8">
        <f>G74-I74</f>
        <v/>
      </c>
      <c r="K74" s="8">
        <f>SUMIF(EGRESOS!$P:$P,A74,EGRESOS!$AC:$AC)</f>
        <v/>
      </c>
      <c r="L74" s="8">
        <f>I74-K74</f>
        <v/>
      </c>
      <c r="M74" s="8">
        <f>H74+J74+L74</f>
        <v/>
      </c>
    </row>
    <row r="75">
      <c r="A75" s="7" t="inlineStr">
        <is>
          <t>1.2.4.3.02</t>
        </is>
      </c>
      <c r="B75" s="7" t="inlineStr">
        <is>
          <t>SGP-PROPOSITO GENERAL-CULTURA</t>
        </is>
      </c>
      <c r="C75" s="8">
        <f>SUMIF(INGRESOS!$R:$R,A75,INGRESOS!$L:$L)</f>
        <v/>
      </c>
      <c r="D75" s="8">
        <f>SUMIF(EGRESOS!$P:$P,A75,EGRESOS!$Y:$Y)</f>
        <v/>
      </c>
      <c r="E75" s="8">
        <f>C75-D75</f>
        <v/>
      </c>
      <c r="F75" s="8">
        <f>SUMIF(INGRESOS!$R:$R,A75,INGRESOS!$N:$N)</f>
        <v/>
      </c>
      <c r="G75" s="8">
        <f>SUMIF(EGRESOS!$P:$P,A75,EGRESOS!$AA:$AA)</f>
        <v/>
      </c>
      <c r="H75" s="8">
        <f>F75-G75</f>
        <v/>
      </c>
      <c r="I75" s="8">
        <f>SUMIF(EGRESOS!$P:$P,A75,EGRESOS!$AB:$AB)</f>
        <v/>
      </c>
      <c r="J75" s="8">
        <f>G75-I75</f>
        <v/>
      </c>
      <c r="K75" s="8">
        <f>SUMIF(EGRESOS!$P:$P,A75,EGRESOS!$AC:$AC)</f>
        <v/>
      </c>
      <c r="L75" s="8">
        <f>I75-K75</f>
        <v/>
      </c>
      <c r="M75" s="8">
        <f>H75+J75+L75</f>
        <v/>
      </c>
    </row>
    <row r="76">
      <c r="A76" s="7" t="inlineStr">
        <is>
          <t>1.3.3.8.02</t>
        </is>
      </c>
      <c r="B76" s="7" t="inlineStr">
        <is>
          <t>R.B. SGP- PROPOSITO GENERAL - CULTURA</t>
        </is>
      </c>
      <c r="C76" s="8">
        <f>SUMIF(INGRESOS!$R:$R,A76,INGRESOS!$L:$L)</f>
        <v/>
      </c>
      <c r="D76" s="8">
        <f>SUMIF(EGRESOS!$P:$P,A76,EGRESOS!$Y:$Y)</f>
        <v/>
      </c>
      <c r="E76" s="8">
        <f>C76-D76</f>
        <v/>
      </c>
      <c r="F76" s="8">
        <f>SUMIF(INGRESOS!$R:$R,A76,INGRESOS!$N:$N)</f>
        <v/>
      </c>
      <c r="G76" s="8">
        <f>SUMIF(EGRESOS!$P:$P,A76,EGRESOS!$AA:$AA)</f>
        <v/>
      </c>
      <c r="H76" s="8">
        <f>F76-G76</f>
        <v/>
      </c>
      <c r="I76" s="8">
        <f>SUMIF(EGRESOS!$P:$P,A76,EGRESOS!$AB:$AB)</f>
        <v/>
      </c>
      <c r="J76" s="8">
        <f>G76-I76</f>
        <v/>
      </c>
      <c r="K76" s="8">
        <f>SUMIF(EGRESOS!$P:$P,A76,EGRESOS!$AC:$AC)</f>
        <v/>
      </c>
      <c r="L76" s="8">
        <f>I76-K76</f>
        <v/>
      </c>
      <c r="M76" s="8">
        <f>H76+J76+L76</f>
        <v/>
      </c>
    </row>
    <row r="77">
      <c r="A77" s="7" t="inlineStr">
        <is>
          <t>1.3.2.3.11.43</t>
        </is>
      </c>
      <c r="B77" s="7" t="inlineStr">
        <is>
          <t>OTROS RENDIMIENTOS FINANCIEROS ESTAMPILLA PRO CULTURA</t>
        </is>
      </c>
      <c r="C77" s="8">
        <f>SUMIF(INGRESOS!$R:$R,A77,INGRESOS!$L:$L)</f>
        <v/>
      </c>
      <c r="D77" s="8">
        <f>SUMIF(EGRESOS!$P:$P,A77,EGRESOS!$Y:$Y)</f>
        <v/>
      </c>
      <c r="E77" s="8">
        <f>C77-D77</f>
        <v/>
      </c>
      <c r="F77" s="8">
        <f>SUMIF(INGRESOS!$R:$R,A77,INGRESOS!$N:$N)</f>
        <v/>
      </c>
      <c r="G77" s="8">
        <f>SUMIF(EGRESOS!$P:$P,A77,EGRESOS!$AA:$AA)</f>
        <v/>
      </c>
      <c r="H77" s="8">
        <f>F77-G77</f>
        <v/>
      </c>
      <c r="I77" s="8">
        <f>SUMIF(EGRESOS!$P:$P,A77,EGRESOS!$AB:$AB)</f>
        <v/>
      </c>
      <c r="J77" s="8">
        <f>G77-I77</f>
        <v/>
      </c>
      <c r="K77" s="8">
        <f>SUMIF(EGRESOS!$P:$P,A77,EGRESOS!$AC:$AC)</f>
        <v/>
      </c>
      <c r="L77" s="8">
        <f>I77-K77</f>
        <v/>
      </c>
      <c r="M77" s="8">
        <f>H77+J77+L77</f>
        <v/>
      </c>
    </row>
    <row r="78">
      <c r="A78" s="7" t="inlineStr">
        <is>
          <t>1.3.3.3.20.14</t>
        </is>
      </c>
      <c r="B78" s="7" t="inlineStr">
        <is>
          <t>R.B. ESTAMPILLA PRO CULTURA</t>
        </is>
      </c>
      <c r="C78" s="8">
        <f>SUMIF(INGRESOS!$R:$R,A78,INGRESOS!$L:$L)</f>
        <v/>
      </c>
      <c r="D78" s="8">
        <f>SUMIF(EGRESOS!$P:$P,A78,EGRESOS!$Y:$Y)</f>
        <v/>
      </c>
      <c r="E78" s="8">
        <f>C78-D78</f>
        <v/>
      </c>
      <c r="F78" s="8">
        <f>SUMIF(INGRESOS!$R:$R,A78,INGRESOS!$N:$N)</f>
        <v/>
      </c>
      <c r="G78" s="8">
        <f>SUMIF(EGRESOS!$P:$P,A78,EGRESOS!$AA:$AA)</f>
        <v/>
      </c>
      <c r="H78" s="8">
        <f>F78-G78</f>
        <v/>
      </c>
      <c r="I78" s="8">
        <f>SUMIF(EGRESOS!$P:$P,A78,EGRESOS!$AB:$AB)</f>
        <v/>
      </c>
      <c r="J78" s="8">
        <f>G78-I78</f>
        <v/>
      </c>
      <c r="K78" s="8">
        <f>SUMIF(EGRESOS!$P:$P,A78,EGRESOS!$AC:$AC)</f>
        <v/>
      </c>
      <c r="L78" s="8">
        <f>I78-K78</f>
        <v/>
      </c>
      <c r="M78" s="8">
        <f>H78+J78+L78</f>
        <v/>
      </c>
    </row>
    <row r="79">
      <c r="A79" s="7" t="inlineStr">
        <is>
          <t>1.2.2.0.00.13</t>
        </is>
      </c>
      <c r="B79" s="7" t="inlineStr">
        <is>
          <t>INGRESOS ESCOMBRERA MUNICIPAL</t>
        </is>
      </c>
      <c r="C79" s="8">
        <f>SUMIF(INGRESOS!$R:$R,A79,INGRESOS!$L:$L)</f>
        <v/>
      </c>
      <c r="D79" s="8">
        <f>SUMIF(EGRESOS!$P:$P,A79,EGRESOS!$Y:$Y)</f>
        <v/>
      </c>
      <c r="E79" s="8">
        <f>C79-D79</f>
        <v/>
      </c>
      <c r="F79" s="8">
        <f>SUMIF(INGRESOS!$R:$R,A79,INGRESOS!$N:$N)</f>
        <v/>
      </c>
      <c r="G79" s="8">
        <f>SUMIF(EGRESOS!$P:$P,A79,EGRESOS!$AA:$AA)</f>
        <v/>
      </c>
      <c r="H79" s="8">
        <f>F79-G79</f>
        <v/>
      </c>
      <c r="I79" s="8">
        <f>SUMIF(EGRESOS!$P:$P,A79,EGRESOS!$AB:$AB)</f>
        <v/>
      </c>
      <c r="J79" s="8">
        <f>G79-I79</f>
        <v/>
      </c>
      <c r="K79" s="8">
        <f>SUMIF(EGRESOS!$P:$P,A79,EGRESOS!$AC:$AC)</f>
        <v/>
      </c>
      <c r="L79" s="8">
        <f>I79-K79</f>
        <v/>
      </c>
      <c r="M79" s="8">
        <f>H79+J79+L79</f>
        <v/>
      </c>
    </row>
    <row r="80">
      <c r="A80" s="7" t="inlineStr">
        <is>
          <t>1.2.3.2.22</t>
        </is>
      </c>
      <c r="B80" s="7" t="inlineStr">
        <is>
          <t>OTRAS TASAS Y DERECHOS ADMINISTRATIVOS</t>
        </is>
      </c>
      <c r="C80" s="8">
        <f>SUMIF(INGRESOS!$R:$R,A80,INGRESOS!$L:$L)</f>
        <v/>
      </c>
      <c r="D80" s="8">
        <f>SUMIF(EGRESOS!$P:$P,A80,EGRESOS!$Y:$Y)</f>
        <v/>
      </c>
      <c r="E80" s="8">
        <f>C80-D80</f>
        <v/>
      </c>
      <c r="F80" s="8">
        <f>SUMIF(INGRESOS!$R:$R,A80,INGRESOS!$N:$N)</f>
        <v/>
      </c>
      <c r="G80" s="8">
        <f>SUMIF(EGRESOS!$P:$P,A80,EGRESOS!$AA:$AA)</f>
        <v/>
      </c>
      <c r="H80" s="8">
        <f>F80-G80</f>
        <v/>
      </c>
      <c r="I80" s="8">
        <f>SUMIF(EGRESOS!$P:$P,A80,EGRESOS!$AB:$AB)</f>
        <v/>
      </c>
      <c r="J80" s="8">
        <f>G80-I80</f>
        <v/>
      </c>
      <c r="K80" s="8">
        <f>SUMIF(EGRESOS!$P:$P,A80,EGRESOS!$AC:$AC)</f>
        <v/>
      </c>
      <c r="L80" s="8">
        <f>I80-K80</f>
        <v/>
      </c>
      <c r="M80" s="8">
        <f>H80+J80+L80</f>
        <v/>
      </c>
    </row>
    <row r="81">
      <c r="A81" s="7" t="inlineStr">
        <is>
          <t>1.3.2.3.11.17</t>
        </is>
      </c>
      <c r="B81" s="7" t="inlineStr">
        <is>
          <t>OTROS RENDIMIENTOS FINANCIEROS APROVECHAMIENTO DE RESIDUOS SOLIDOS 2023</t>
        </is>
      </c>
      <c r="C81" s="8">
        <f>SUMIF(INGRESOS!$R:$R,A81,INGRESOS!$L:$L)</f>
        <v/>
      </c>
      <c r="D81" s="8">
        <f>SUMIF(EGRESOS!$P:$P,A81,EGRESOS!$Y:$Y)</f>
        <v/>
      </c>
      <c r="E81" s="8">
        <f>C81-D81</f>
        <v/>
      </c>
      <c r="F81" s="8">
        <f>SUMIF(INGRESOS!$R:$R,A81,INGRESOS!$N:$N)</f>
        <v/>
      </c>
      <c r="G81" s="8">
        <f>SUMIF(EGRESOS!$P:$P,A81,EGRESOS!$AA:$AA)</f>
        <v/>
      </c>
      <c r="H81" s="8">
        <f>F81-G81</f>
        <v/>
      </c>
      <c r="I81" s="8">
        <f>SUMIF(EGRESOS!$P:$P,A81,EGRESOS!$AB:$AB)</f>
        <v/>
      </c>
      <c r="J81" s="8">
        <f>G81-I81</f>
        <v/>
      </c>
      <c r="K81" s="8">
        <f>SUMIF(EGRESOS!$P:$P,A81,EGRESOS!$AC:$AC)</f>
        <v/>
      </c>
      <c r="L81" s="8">
        <f>I81-K81</f>
        <v/>
      </c>
      <c r="M81" s="8">
        <f>H81+J81+L81</f>
        <v/>
      </c>
    </row>
    <row r="82">
      <c r="A82" s="7" t="inlineStr">
        <is>
          <t>1.3.2.3.11.18</t>
        </is>
      </c>
      <c r="B82" s="7" t="inlineStr">
        <is>
          <t>OTROS RENDIMIENTOS FINANCIEROS APROVECHAMIENTO DE RESIDUOS SOLIDOS 2024</t>
        </is>
      </c>
      <c r="C82" s="8">
        <f>SUMIF(INGRESOS!$R:$R,A82,INGRESOS!$L:$L)</f>
        <v/>
      </c>
      <c r="D82" s="8">
        <f>SUMIF(EGRESOS!$P:$P,A82,EGRESOS!$Y:$Y)</f>
        <v/>
      </c>
      <c r="E82" s="8">
        <f>C82-D82</f>
        <v/>
      </c>
      <c r="F82" s="8">
        <f>SUMIF(INGRESOS!$R:$R,A82,INGRESOS!$N:$N)</f>
        <v/>
      </c>
      <c r="G82" s="8">
        <f>SUMIF(EGRESOS!$P:$P,A82,EGRESOS!$AA:$AA)</f>
        <v/>
      </c>
      <c r="H82" s="8">
        <f>F82-G82</f>
        <v/>
      </c>
      <c r="I82" s="8">
        <f>SUMIF(EGRESOS!$P:$P,A82,EGRESOS!$AB:$AB)</f>
        <v/>
      </c>
      <c r="J82" s="8">
        <f>G82-I82</f>
        <v/>
      </c>
      <c r="K82" s="8">
        <f>SUMIF(EGRESOS!$P:$P,A82,EGRESOS!$AC:$AC)</f>
        <v/>
      </c>
      <c r="L82" s="8">
        <f>I82-K82</f>
        <v/>
      </c>
      <c r="M82" s="8">
        <f>H82+J82+L82</f>
        <v/>
      </c>
    </row>
    <row r="83">
      <c r="A83" s="7" t="inlineStr">
        <is>
          <t>1.3.3.2.00.06</t>
        </is>
      </c>
      <c r="B83" s="7" t="inlineStr">
        <is>
          <t>R.B. DE DESTINACIÓN ESPECIFICA POR ACTO ADTIVO -APROVECHAMIENTO RESIDUOS SOLIDOS 2023</t>
        </is>
      </c>
      <c r="C83" s="8">
        <f>SUMIF(INGRESOS!$R:$R,A83,INGRESOS!$L:$L)</f>
        <v/>
      </c>
      <c r="D83" s="8">
        <f>SUMIF(EGRESOS!$P:$P,A83,EGRESOS!$Y:$Y)</f>
        <v/>
      </c>
      <c r="E83" s="8">
        <f>C83-D83</f>
        <v/>
      </c>
      <c r="F83" s="8">
        <f>SUMIF(INGRESOS!$R:$R,A83,INGRESOS!$N:$N)</f>
        <v/>
      </c>
      <c r="G83" s="8">
        <f>SUMIF(EGRESOS!$P:$P,A83,EGRESOS!$AA:$AA)</f>
        <v/>
      </c>
      <c r="H83" s="8">
        <f>F83-G83</f>
        <v/>
      </c>
      <c r="I83" s="8">
        <f>SUMIF(EGRESOS!$P:$P,A83,EGRESOS!$AB:$AB)</f>
        <v/>
      </c>
      <c r="J83" s="8">
        <f>G83-I83</f>
        <v/>
      </c>
      <c r="K83" s="8">
        <f>SUMIF(EGRESOS!$P:$P,A83,EGRESOS!$AC:$AC)</f>
        <v/>
      </c>
      <c r="L83" s="8">
        <f>I83-K83</f>
        <v/>
      </c>
      <c r="M83" s="8">
        <f>H83+J83+L83</f>
        <v/>
      </c>
    </row>
    <row r="84">
      <c r="A84" s="7" t="inlineStr">
        <is>
          <t>1.3.2.3.11.28</t>
        </is>
      </c>
      <c r="B84" s="7" t="inlineStr">
        <is>
          <t>OTROS RENDIMIENTOS FINANCIEROS - ALUMBRADO PUBLICO S.S.F. 2025</t>
        </is>
      </c>
      <c r="C84" s="8">
        <f>SUMIF(INGRESOS!$R:$R,A84,INGRESOS!$L:$L)</f>
        <v/>
      </c>
      <c r="D84" s="8">
        <f>SUMIF(EGRESOS!$P:$P,A84,EGRESOS!$Y:$Y)</f>
        <v/>
      </c>
      <c r="E84" s="8">
        <f>C84-D84</f>
        <v/>
      </c>
      <c r="F84" s="8">
        <f>SUMIF(INGRESOS!$R:$R,A84,INGRESOS!$N:$N)</f>
        <v/>
      </c>
      <c r="G84" s="8">
        <f>SUMIF(EGRESOS!$P:$P,A84,EGRESOS!$AA:$AA)</f>
        <v/>
      </c>
      <c r="H84" s="8">
        <f>F84-G84</f>
        <v/>
      </c>
      <c r="I84" s="8">
        <f>SUMIF(EGRESOS!$P:$P,A84,EGRESOS!$AB:$AB)</f>
        <v/>
      </c>
      <c r="J84" s="8">
        <f>G84-I84</f>
        <v/>
      </c>
      <c r="K84" s="8">
        <f>SUMIF(EGRESOS!$P:$P,A84,EGRESOS!$AC:$AC)</f>
        <v/>
      </c>
      <c r="L84" s="8">
        <f>I84-K84</f>
        <v/>
      </c>
      <c r="M84" s="8">
        <f>H84+J84+L84</f>
        <v/>
      </c>
    </row>
    <row r="85">
      <c r="A85" s="7" t="inlineStr">
        <is>
          <t>1.3.3.2.00.12</t>
        </is>
      </c>
      <c r="B85" s="7" t="inlineStr">
        <is>
          <t>R.B. DE DESTINACIÓN ESPECIFICA POR ACTO ADTIVO -APROVECHAMIENTO RESIDUOS SOLIDOS 2025</t>
        </is>
      </c>
      <c r="C85" s="8">
        <f>SUMIF(INGRESOS!$R:$R,A85,INGRESOS!$L:$L)</f>
        <v/>
      </c>
      <c r="D85" s="8">
        <f>SUMIF(EGRESOS!$P:$P,A85,EGRESOS!$Y:$Y)</f>
        <v/>
      </c>
      <c r="E85" s="8">
        <f>C85-D85</f>
        <v/>
      </c>
      <c r="F85" s="8">
        <f>SUMIF(INGRESOS!$R:$R,A85,INGRESOS!$N:$N)</f>
        <v/>
      </c>
      <c r="G85" s="8">
        <f>SUMIF(EGRESOS!$P:$P,A85,EGRESOS!$AA:$AA)</f>
        <v/>
      </c>
      <c r="H85" s="8">
        <f>F85-G85</f>
        <v/>
      </c>
      <c r="I85" s="8">
        <f>SUMIF(EGRESOS!$P:$P,A85,EGRESOS!$AB:$AB)</f>
        <v/>
      </c>
      <c r="J85" s="8">
        <f>G85-I85</f>
        <v/>
      </c>
      <c r="K85" s="8">
        <f>SUMIF(EGRESOS!$P:$P,A85,EGRESOS!$AC:$AC)</f>
        <v/>
      </c>
      <c r="L85" s="8">
        <f>I85-K85</f>
        <v/>
      </c>
      <c r="M85" s="8">
        <f>H85+J85+L85</f>
        <v/>
      </c>
    </row>
    <row r="86">
      <c r="A86" s="7" t="inlineStr">
        <is>
          <t>1.3.3.2.00.07</t>
        </is>
      </c>
      <c r="B86" s="7" t="inlineStr">
        <is>
          <t>R.B. DE DESTINACIÓN ESPECIFICA POR ACTO ADTIVO -APROVECHAMIENTO RESIDUOS SOLIDOS 2024</t>
        </is>
      </c>
      <c r="C86" s="8">
        <f>SUMIF(INGRESOS!$R:$R,A86,INGRESOS!$L:$L)</f>
        <v/>
      </c>
      <c r="D86" s="8">
        <f>SUMIF(EGRESOS!$P:$P,A86,EGRESOS!$Y:$Y)</f>
        <v/>
      </c>
      <c r="E86" s="8">
        <f>C86-D86</f>
        <v/>
      </c>
      <c r="F86" s="8">
        <f>SUMIF(INGRESOS!$R:$R,A86,INGRESOS!$N:$N)</f>
        <v/>
      </c>
      <c r="G86" s="8">
        <f>SUMIF(EGRESOS!$P:$P,A86,EGRESOS!$AA:$AA)</f>
        <v/>
      </c>
      <c r="H86" s="8">
        <f>F86-G86</f>
        <v/>
      </c>
      <c r="I86" s="8">
        <f>SUMIF(EGRESOS!$P:$P,A86,EGRESOS!$AB:$AB)</f>
        <v/>
      </c>
      <c r="J86" s="8">
        <f>G86-I86</f>
        <v/>
      </c>
      <c r="K86" s="8">
        <f>SUMIF(EGRESOS!$P:$P,A86,EGRESOS!$AC:$AC)</f>
        <v/>
      </c>
      <c r="L86" s="8">
        <f>I86-K86</f>
        <v/>
      </c>
      <c r="M86" s="8">
        <f>H86+J86+L86</f>
        <v/>
      </c>
    </row>
    <row r="87">
      <c r="A87" s="7" t="inlineStr">
        <is>
          <t>1.3.2.3.11.29</t>
        </is>
      </c>
      <c r="B87" s="7" t="inlineStr">
        <is>
          <t>OTROS RENDIMIENTOS FINANCIEROS - IAT INCENTIVO AL APROVECHAMIENTO DE LOS RESIDUOS SOLIDOS 2025</t>
        </is>
      </c>
      <c r="C87" s="8">
        <f>SUMIF(INGRESOS!$R:$R,A87,INGRESOS!$L:$L)</f>
        <v/>
      </c>
      <c r="D87" s="8">
        <f>SUMIF(EGRESOS!$P:$P,A87,EGRESOS!$Y:$Y)</f>
        <v/>
      </c>
      <c r="E87" s="8">
        <f>C87-D87</f>
        <v/>
      </c>
      <c r="F87" s="8">
        <f>SUMIF(INGRESOS!$R:$R,A87,INGRESOS!$N:$N)</f>
        <v/>
      </c>
      <c r="G87" s="8">
        <f>SUMIF(EGRESOS!$P:$P,A87,EGRESOS!$AA:$AA)</f>
        <v/>
      </c>
      <c r="H87" s="8">
        <f>F87-G87</f>
        <v/>
      </c>
      <c r="I87" s="8">
        <f>SUMIF(EGRESOS!$P:$P,A87,EGRESOS!$AB:$AB)</f>
        <v/>
      </c>
      <c r="J87" s="8">
        <f>G87-I87</f>
        <v/>
      </c>
      <c r="K87" s="8">
        <f>SUMIF(EGRESOS!$P:$P,A87,EGRESOS!$AC:$AC)</f>
        <v/>
      </c>
      <c r="L87" s="8">
        <f>I87-K87</f>
        <v/>
      </c>
      <c r="M87" s="8">
        <f>H87+J87+L87</f>
        <v/>
      </c>
    </row>
    <row r="88">
      <c r="A88" s="7" t="inlineStr">
        <is>
          <t>1.3.2.3.11.41</t>
        </is>
      </c>
      <c r="B88" s="7" t="inlineStr">
        <is>
          <t>OTROS RENDIMIENTOS FINANCIEROS IAT APROVECHAMIENTO RESIDUOS SOLIDOS VIGENCIAS ANTERIORES</t>
        </is>
      </c>
      <c r="C88" s="8">
        <f>SUMIF(INGRESOS!$R:$R,A88,INGRESOS!$L:$L)</f>
        <v/>
      </c>
      <c r="D88" s="8">
        <f>SUMIF(EGRESOS!$P:$P,A88,EGRESOS!$Y:$Y)</f>
        <v/>
      </c>
      <c r="E88" s="8">
        <f>C88-D88</f>
        <v/>
      </c>
      <c r="F88" s="8">
        <f>SUMIF(INGRESOS!$R:$R,A88,INGRESOS!$N:$N)</f>
        <v/>
      </c>
      <c r="G88" s="8">
        <f>SUMIF(EGRESOS!$P:$P,A88,EGRESOS!$AA:$AA)</f>
        <v/>
      </c>
      <c r="H88" s="8">
        <f>F88-G88</f>
        <v/>
      </c>
      <c r="I88" s="8">
        <f>SUMIF(EGRESOS!$P:$P,A88,EGRESOS!$AB:$AB)</f>
        <v/>
      </c>
      <c r="J88" s="8">
        <f>G88-I88</f>
        <v/>
      </c>
      <c r="K88" s="8">
        <f>SUMIF(EGRESOS!$P:$P,A88,EGRESOS!$AC:$AC)</f>
        <v/>
      </c>
      <c r="L88" s="8">
        <f>I88-K88</f>
        <v/>
      </c>
      <c r="M88" s="8">
        <f>H88+J88+L88</f>
        <v/>
      </c>
    </row>
    <row r="89">
      <c r="A89" s="7" t="inlineStr">
        <is>
          <t>1.3.2.3.11.42</t>
        </is>
      </c>
      <c r="B89" s="7" t="inlineStr">
        <is>
          <t>OTROS RENDIMIENTOS FINANCIEROS IAT APROVECHAMIENTO RESIDUOS SOLIDOS 2026</t>
        </is>
      </c>
      <c r="C89" s="8">
        <f>SUMIF(INGRESOS!$R:$R,A89,INGRESOS!$L:$L)</f>
        <v/>
      </c>
      <c r="D89" s="8">
        <f>SUMIF(EGRESOS!$P:$P,A89,EGRESOS!$Y:$Y)</f>
        <v/>
      </c>
      <c r="E89" s="8">
        <f>C89-D89</f>
        <v/>
      </c>
      <c r="F89" s="8">
        <f>SUMIF(INGRESOS!$R:$R,A89,INGRESOS!$N:$N)</f>
        <v/>
      </c>
      <c r="G89" s="8">
        <f>SUMIF(EGRESOS!$P:$P,A89,EGRESOS!$AA:$AA)</f>
        <v/>
      </c>
      <c r="H89" s="8">
        <f>F89-G89</f>
        <v/>
      </c>
      <c r="I89" s="8">
        <f>SUMIF(EGRESOS!$P:$P,A89,EGRESOS!$AB:$AB)</f>
        <v/>
      </c>
      <c r="J89" s="8">
        <f>G89-I89</f>
        <v/>
      </c>
      <c r="K89" s="8">
        <f>SUMIF(EGRESOS!$P:$P,A89,EGRESOS!$AC:$AC)</f>
        <v/>
      </c>
      <c r="L89" s="8">
        <f>I89-K89</f>
        <v/>
      </c>
      <c r="M89" s="8">
        <f>H89+J89+L89</f>
        <v/>
      </c>
    </row>
    <row r="90">
      <c r="A90" s="7" t="inlineStr">
        <is>
          <t>1.2.3.3.01.01</t>
        </is>
      </c>
      <c r="B90" s="7" t="inlineStr">
        <is>
          <t>PARTICIPACIÓN DEL IMPUESTO AL DEGÜELLO DE GANADO MAYOR (EN LOS TÉRMINOS QUE LOS DEFINA LA ORDENANZA)</t>
        </is>
      </c>
      <c r="C90" s="8">
        <f>SUMIF(INGRESOS!$R:$R,A90,INGRESOS!$L:$L)</f>
        <v/>
      </c>
      <c r="D90" s="8">
        <f>SUMIF(EGRESOS!$P:$P,A90,EGRESOS!$Y:$Y)</f>
        <v/>
      </c>
      <c r="E90" s="8">
        <f>C90-D90</f>
        <v/>
      </c>
      <c r="F90" s="8">
        <f>SUMIF(INGRESOS!$R:$R,A90,INGRESOS!$N:$N)</f>
        <v/>
      </c>
      <c r="G90" s="8">
        <f>SUMIF(EGRESOS!$P:$P,A90,EGRESOS!$AA:$AA)</f>
        <v/>
      </c>
      <c r="H90" s="8">
        <f>F90-G90</f>
        <v/>
      </c>
      <c r="I90" s="8">
        <f>SUMIF(EGRESOS!$P:$P,A90,EGRESOS!$AB:$AB)</f>
        <v/>
      </c>
      <c r="J90" s="8">
        <f>G90-I90</f>
        <v/>
      </c>
      <c r="K90" s="8">
        <f>SUMIF(EGRESOS!$P:$P,A90,EGRESOS!$AC:$AC)</f>
        <v/>
      </c>
      <c r="L90" s="8">
        <f>I90-K90</f>
        <v/>
      </c>
      <c r="M90" s="8">
        <f>H90+J90+L90</f>
        <v/>
      </c>
    </row>
    <row r="91">
      <c r="A91" s="7" t="inlineStr">
        <is>
          <t>1.2.2.0.00.12</t>
        </is>
      </c>
      <c r="B91" s="7" t="inlineStr">
        <is>
          <t>10% SOBRETASA A LA GASOLINA PROYECTOS SOCIALES ATENCION INTEGRAL PRIMERA INFANCIA Y DE LA ADOLESCENCIA</t>
        </is>
      </c>
      <c r="C91" s="8">
        <f>SUMIF(INGRESOS!$R:$R,A91,INGRESOS!$L:$L)</f>
        <v/>
      </c>
      <c r="D91" s="8">
        <f>SUMIF(EGRESOS!$P:$P,A91,EGRESOS!$Y:$Y)</f>
        <v/>
      </c>
      <c r="E91" s="8">
        <f>C91-D91</f>
        <v/>
      </c>
      <c r="F91" s="8">
        <f>SUMIF(INGRESOS!$R:$R,A91,INGRESOS!$N:$N)</f>
        <v/>
      </c>
      <c r="G91" s="8">
        <f>SUMIF(EGRESOS!$P:$P,A91,EGRESOS!$AA:$AA)</f>
        <v/>
      </c>
      <c r="H91" s="8">
        <f>F91-G91</f>
        <v/>
      </c>
      <c r="I91" s="8">
        <f>SUMIF(EGRESOS!$P:$P,A91,EGRESOS!$AB:$AB)</f>
        <v/>
      </c>
      <c r="J91" s="8">
        <f>G91-I91</f>
        <v/>
      </c>
      <c r="K91" s="8">
        <f>SUMIF(EGRESOS!$P:$P,A91,EGRESOS!$AC:$AC)</f>
        <v/>
      </c>
      <c r="L91" s="8">
        <f>I91-K91</f>
        <v/>
      </c>
      <c r="M91" s="8">
        <f>H91+J91+L91</f>
        <v/>
      </c>
    </row>
    <row r="92">
      <c r="A92" s="7" t="inlineStr">
        <is>
          <t>1.3.2.3.11.26</t>
        </is>
      </c>
      <c r="B92" s="7" t="inlineStr">
        <is>
          <t>OTROS RENDIMIENTOS FINANCIEROS - DEGUELLO DE GANADO 2025</t>
        </is>
      </c>
      <c r="C92" s="8">
        <f>SUMIF(INGRESOS!$R:$R,A92,INGRESOS!$L:$L)</f>
        <v/>
      </c>
      <c r="D92" s="8">
        <f>SUMIF(EGRESOS!$P:$P,A92,EGRESOS!$Y:$Y)</f>
        <v/>
      </c>
      <c r="E92" s="8">
        <f>C92-D92</f>
        <v/>
      </c>
      <c r="F92" s="8">
        <f>SUMIF(INGRESOS!$R:$R,A92,INGRESOS!$N:$N)</f>
        <v/>
      </c>
      <c r="G92" s="8">
        <f>SUMIF(EGRESOS!$P:$P,A92,EGRESOS!$AA:$AA)</f>
        <v/>
      </c>
      <c r="H92" s="8">
        <f>F92-G92</f>
        <v/>
      </c>
      <c r="I92" s="8">
        <f>SUMIF(EGRESOS!$P:$P,A92,EGRESOS!$AB:$AB)</f>
        <v/>
      </c>
      <c r="J92" s="8">
        <f>G92-I92</f>
        <v/>
      </c>
      <c r="K92" s="8">
        <f>SUMIF(EGRESOS!$P:$P,A92,EGRESOS!$AC:$AC)</f>
        <v/>
      </c>
      <c r="L92" s="8">
        <f>I92-K92</f>
        <v/>
      </c>
      <c r="M92" s="8">
        <f>H92+J92+L92</f>
        <v/>
      </c>
    </row>
    <row r="93">
      <c r="A93" s="7" t="inlineStr">
        <is>
          <t>1.2.2.0.00.10</t>
        </is>
      </c>
      <c r="B93" s="7" t="inlineStr">
        <is>
          <t>10% SOBRETASA A LA GASOLINA POBLACION VULNERABLE ATENCION INTEGRAL ADULTO MAYOR</t>
        </is>
      </c>
      <c r="C93" s="8">
        <f>SUMIF(INGRESOS!$R:$R,A93,INGRESOS!$L:$L)</f>
        <v/>
      </c>
      <c r="D93" s="8">
        <f>SUMIF(EGRESOS!$P:$P,A93,EGRESOS!$Y:$Y)</f>
        <v/>
      </c>
      <c r="E93" s="8">
        <f>C93-D93</f>
        <v/>
      </c>
      <c r="F93" s="8">
        <f>SUMIF(INGRESOS!$R:$R,A93,INGRESOS!$N:$N)</f>
        <v/>
      </c>
      <c r="G93" s="8">
        <f>SUMIF(EGRESOS!$P:$P,A93,EGRESOS!$AA:$AA)</f>
        <v/>
      </c>
      <c r="H93" s="8">
        <f>F93-G93</f>
        <v/>
      </c>
      <c r="I93" s="8">
        <f>SUMIF(EGRESOS!$P:$P,A93,EGRESOS!$AB:$AB)</f>
        <v/>
      </c>
      <c r="J93" s="8">
        <f>G93-I93</f>
        <v/>
      </c>
      <c r="K93" s="8">
        <f>SUMIF(EGRESOS!$P:$P,A93,EGRESOS!$AC:$AC)</f>
        <v/>
      </c>
      <c r="L93" s="8">
        <f>I93-K93</f>
        <v/>
      </c>
      <c r="M93" s="8">
        <f>H93+J93+L93</f>
        <v/>
      </c>
    </row>
    <row r="94">
      <c r="A94" s="7" t="inlineStr">
        <is>
          <t>1.3.2.3.01.03</t>
        </is>
      </c>
      <c r="B94" s="7" t="inlineStr">
        <is>
          <t>R.F. DISTINTOS AL SGP - ESTAMPILLA PRO ADULTO MAYOR</t>
        </is>
      </c>
      <c r="C94" s="8">
        <f>SUMIF(INGRESOS!$R:$R,A94,INGRESOS!$L:$L)</f>
        <v/>
      </c>
      <c r="D94" s="8">
        <f>SUMIF(EGRESOS!$P:$P,A94,EGRESOS!$Y:$Y)</f>
        <v/>
      </c>
      <c r="E94" s="8">
        <f>C94-D94</f>
        <v/>
      </c>
      <c r="F94" s="8">
        <f>SUMIF(INGRESOS!$R:$R,A94,INGRESOS!$N:$N)</f>
        <v/>
      </c>
      <c r="G94" s="8">
        <f>SUMIF(EGRESOS!$P:$P,A94,EGRESOS!$AA:$AA)</f>
        <v/>
      </c>
      <c r="H94" s="8">
        <f>F94-G94</f>
        <v/>
      </c>
      <c r="I94" s="8">
        <f>SUMIF(EGRESOS!$P:$P,A94,EGRESOS!$AB:$AB)</f>
        <v/>
      </c>
      <c r="J94" s="8">
        <f>G94-I94</f>
        <v/>
      </c>
      <c r="K94" s="8">
        <f>SUMIF(EGRESOS!$P:$P,A94,EGRESOS!$AC:$AC)</f>
        <v/>
      </c>
      <c r="L94" s="8">
        <f>I94-K94</f>
        <v/>
      </c>
      <c r="M94" s="8">
        <f>H94+J94+L94</f>
        <v/>
      </c>
    </row>
    <row r="95">
      <c r="A95" s="7" t="inlineStr">
        <is>
          <t>1.3.3.5.01.01</t>
        </is>
      </c>
      <c r="B95" s="7" t="inlineStr">
        <is>
          <t>R.B. PARTICIPACIONES DISTINTAS DEL SGP - DEGUELLO DE GANADO MAYOR 2024</t>
        </is>
      </c>
      <c r="C95" s="8">
        <f>SUMIF(INGRESOS!$R:$R,A95,INGRESOS!$L:$L)</f>
        <v/>
      </c>
      <c r="D95" s="8">
        <f>SUMIF(EGRESOS!$P:$P,A95,EGRESOS!$Y:$Y)</f>
        <v/>
      </c>
      <c r="E95" s="8">
        <f>C95-D95</f>
        <v/>
      </c>
      <c r="F95" s="8">
        <f>SUMIF(INGRESOS!$R:$R,A95,INGRESOS!$N:$N)</f>
        <v/>
      </c>
      <c r="G95" s="8">
        <f>SUMIF(EGRESOS!$P:$P,A95,EGRESOS!$AA:$AA)</f>
        <v/>
      </c>
      <c r="H95" s="8">
        <f>F95-G95</f>
        <v/>
      </c>
      <c r="I95" s="8">
        <f>SUMIF(EGRESOS!$P:$P,A95,EGRESOS!$AB:$AB)</f>
        <v/>
      </c>
      <c r="J95" s="8">
        <f>G95-I95</f>
        <v/>
      </c>
      <c r="K95" s="8">
        <f>SUMIF(EGRESOS!$P:$P,A95,EGRESOS!$AC:$AC)</f>
        <v/>
      </c>
      <c r="L95" s="8">
        <f>I95-K95</f>
        <v/>
      </c>
      <c r="M95" s="8">
        <f>H95+J95+L95</f>
        <v/>
      </c>
    </row>
    <row r="96">
      <c r="A96" s="7" t="inlineStr">
        <is>
          <t>1.3.3.5.01.02</t>
        </is>
      </c>
      <c r="B96" s="7" t="inlineStr">
        <is>
          <t>R.B. PARTICIPACIONES DISTINTAS DEL SGP - DEGUELLO DE GANADO MAYOR 2025</t>
        </is>
      </c>
      <c r="C96" s="8">
        <f>SUMIF(INGRESOS!$R:$R,A96,INGRESOS!$L:$L)</f>
        <v/>
      </c>
      <c r="D96" s="8">
        <f>SUMIF(EGRESOS!$P:$P,A96,EGRESOS!$Y:$Y)</f>
        <v/>
      </c>
      <c r="E96" s="8">
        <f>C96-D96</f>
        <v/>
      </c>
      <c r="F96" s="8">
        <f>SUMIF(INGRESOS!$R:$R,A96,INGRESOS!$N:$N)</f>
        <v/>
      </c>
      <c r="G96" s="8">
        <f>SUMIF(EGRESOS!$P:$P,A96,EGRESOS!$AA:$AA)</f>
        <v/>
      </c>
      <c r="H96" s="8">
        <f>F96-G96</f>
        <v/>
      </c>
      <c r="I96" s="8">
        <f>SUMIF(EGRESOS!$P:$P,A96,EGRESOS!$AB:$AB)</f>
        <v/>
      </c>
      <c r="J96" s="8">
        <f>G96-I96</f>
        <v/>
      </c>
      <c r="K96" s="8">
        <f>SUMIF(EGRESOS!$P:$P,A96,EGRESOS!$AC:$AC)</f>
        <v/>
      </c>
      <c r="L96" s="8">
        <f>I96-K96</f>
        <v/>
      </c>
      <c r="M96" s="8">
        <f>H96+J96+L96</f>
        <v/>
      </c>
    </row>
    <row r="97">
      <c r="A97" s="7" t="inlineStr">
        <is>
          <t>1.3.2.2.11</t>
        </is>
      </c>
      <c r="B97" s="7" t="inlineStr">
        <is>
          <t>R.F. SGP - ASIGNACION ESPECIAL INTEGRAL DE LA PRIMERA INFANCIA</t>
        </is>
      </c>
      <c r="C97" s="8">
        <f>SUMIF(INGRESOS!$R:$R,A97,INGRESOS!$L:$L)</f>
        <v/>
      </c>
      <c r="D97" s="8">
        <f>SUMIF(EGRESOS!$P:$P,A97,EGRESOS!$Y:$Y)</f>
        <v/>
      </c>
      <c r="E97" s="8">
        <f>C97-D97</f>
        <v/>
      </c>
      <c r="F97" s="8">
        <f>SUMIF(INGRESOS!$R:$R,A97,INGRESOS!$N:$N)</f>
        <v/>
      </c>
      <c r="G97" s="8">
        <f>SUMIF(EGRESOS!$P:$P,A97,EGRESOS!$AA:$AA)</f>
        <v/>
      </c>
      <c r="H97" s="8">
        <f>F97-G97</f>
        <v/>
      </c>
      <c r="I97" s="8">
        <f>SUMIF(EGRESOS!$P:$P,A97,EGRESOS!$AB:$AB)</f>
        <v/>
      </c>
      <c r="J97" s="8">
        <f>G97-I97</f>
        <v/>
      </c>
      <c r="K97" s="8">
        <f>SUMIF(EGRESOS!$P:$P,A97,EGRESOS!$AC:$AC)</f>
        <v/>
      </c>
      <c r="L97" s="8">
        <f>I97-K97</f>
        <v/>
      </c>
      <c r="M97" s="8">
        <f>H97+J97+L97</f>
        <v/>
      </c>
    </row>
    <row r="98">
      <c r="A98" s="7" t="inlineStr">
        <is>
          <t>1.3.2.3.11.35</t>
        </is>
      </c>
      <c r="B98" s="7" t="inlineStr">
        <is>
          <t>OTROS RENDIMIENTOS FINANCIEROS - DEGUELLO DE GANADO MAYOR</t>
        </is>
      </c>
      <c r="C98" s="8">
        <f>SUMIF(INGRESOS!$R:$R,A98,INGRESOS!$L:$L)</f>
        <v/>
      </c>
      <c r="D98" s="8">
        <f>SUMIF(EGRESOS!$P:$P,A98,EGRESOS!$Y:$Y)</f>
        <v/>
      </c>
      <c r="E98" s="8">
        <f>C98-D98</f>
        <v/>
      </c>
      <c r="F98" s="8">
        <f>SUMIF(INGRESOS!$R:$R,A98,INGRESOS!$N:$N)</f>
        <v/>
      </c>
      <c r="G98" s="8">
        <f>SUMIF(EGRESOS!$P:$P,A98,EGRESOS!$AA:$AA)</f>
        <v/>
      </c>
      <c r="H98" s="8">
        <f>F98-G98</f>
        <v/>
      </c>
      <c r="I98" s="8">
        <f>SUMIF(EGRESOS!$P:$P,A98,EGRESOS!$AB:$AB)</f>
        <v/>
      </c>
      <c r="J98" s="8">
        <f>G98-I98</f>
        <v/>
      </c>
      <c r="K98" s="8">
        <f>SUMIF(EGRESOS!$P:$P,A98,EGRESOS!$AC:$AC)</f>
        <v/>
      </c>
      <c r="L98" s="8">
        <f>I98-K98</f>
        <v/>
      </c>
      <c r="M98" s="8">
        <f>H98+J98+L98</f>
        <v/>
      </c>
    </row>
    <row r="99">
      <c r="A99" s="7" t="inlineStr">
        <is>
          <t>1.3.3.3.20.12</t>
        </is>
      </c>
      <c r="B99" s="7" t="inlineStr">
        <is>
          <t>R.B. ESTAMPILLA PRO BIENESTAR DEL ADULTO MAYOR</t>
        </is>
      </c>
      <c r="C99" s="8">
        <f>SUMIF(INGRESOS!$R:$R,A99,INGRESOS!$L:$L)</f>
        <v/>
      </c>
      <c r="D99" s="8">
        <f>SUMIF(EGRESOS!$P:$P,A99,EGRESOS!$Y:$Y)</f>
        <v/>
      </c>
      <c r="E99" s="8">
        <f>C99-D99</f>
        <v/>
      </c>
      <c r="F99" s="8">
        <f>SUMIF(INGRESOS!$R:$R,A99,INGRESOS!$N:$N)</f>
        <v/>
      </c>
      <c r="G99" s="8">
        <f>SUMIF(EGRESOS!$P:$P,A99,EGRESOS!$AA:$AA)</f>
        <v/>
      </c>
      <c r="H99" s="8">
        <f>F99-G99</f>
        <v/>
      </c>
      <c r="I99" s="8">
        <f>SUMIF(EGRESOS!$P:$P,A99,EGRESOS!$AB:$AB)</f>
        <v/>
      </c>
      <c r="J99" s="8">
        <f>G99-I99</f>
        <v/>
      </c>
      <c r="K99" s="8">
        <f>SUMIF(EGRESOS!$P:$P,A99,EGRESOS!$AC:$AC)</f>
        <v/>
      </c>
      <c r="L99" s="8">
        <f>I99-K99</f>
        <v/>
      </c>
      <c r="M99" s="8">
        <f>H99+J99+L99</f>
        <v/>
      </c>
    </row>
    <row r="100">
      <c r="A100" s="7" t="inlineStr">
        <is>
          <t>1.3.2.3.11.40</t>
        </is>
      </c>
      <c r="B100" s="7" t="inlineStr">
        <is>
          <t>OTROS RENDIMIENTOS FINANCIEROS ESTAMPILLA ADULTO MAYOR</t>
        </is>
      </c>
      <c r="C100" s="8">
        <f>SUMIF(INGRESOS!$R:$R,A100,INGRESOS!$L:$L)</f>
        <v/>
      </c>
      <c r="D100" s="8">
        <f>SUMIF(EGRESOS!$P:$P,A100,EGRESOS!$Y:$Y)</f>
        <v/>
      </c>
      <c r="E100" s="8">
        <f>C100-D100</f>
        <v/>
      </c>
      <c r="F100" s="8">
        <f>SUMIF(INGRESOS!$R:$R,A100,INGRESOS!$N:$N)</f>
        <v/>
      </c>
      <c r="G100" s="8">
        <f>SUMIF(EGRESOS!$P:$P,A100,EGRESOS!$AA:$AA)</f>
        <v/>
      </c>
      <c r="H100" s="8">
        <f>F100-G100</f>
        <v/>
      </c>
      <c r="I100" s="8">
        <f>SUMIF(EGRESOS!$P:$P,A100,EGRESOS!$AB:$AB)</f>
        <v/>
      </c>
      <c r="J100" s="8">
        <f>G100-I100</f>
        <v/>
      </c>
      <c r="K100" s="8">
        <f>SUMIF(EGRESOS!$P:$P,A100,EGRESOS!$AC:$AC)</f>
        <v/>
      </c>
      <c r="L100" s="8">
        <f>I100-K100</f>
        <v/>
      </c>
      <c r="M100" s="8">
        <f>H100+J100+L100</f>
        <v/>
      </c>
    </row>
    <row r="101">
      <c r="A101" s="7" t="inlineStr">
        <is>
          <t>1.2.3.2.06</t>
        </is>
      </c>
      <c r="B101" s="7" t="inlineStr">
        <is>
          <t>CONTRIBUCION SOBRE CONTRATOS DE OBRA PUBLICA</t>
        </is>
      </c>
      <c r="C101" s="8">
        <f>SUMIF(INGRESOS!$R:$R,A101,INGRESOS!$L:$L)</f>
        <v/>
      </c>
      <c r="D101" s="8">
        <f>SUMIF(EGRESOS!$P:$P,A101,EGRESOS!$Y:$Y)</f>
        <v/>
      </c>
      <c r="E101" s="8">
        <f>C101-D101</f>
        <v/>
      </c>
      <c r="F101" s="8">
        <f>SUMIF(INGRESOS!$R:$R,A101,INGRESOS!$N:$N)</f>
        <v/>
      </c>
      <c r="G101" s="8">
        <f>SUMIF(EGRESOS!$P:$P,A101,EGRESOS!$AA:$AA)</f>
        <v/>
      </c>
      <c r="H101" s="8">
        <f>F101-G101</f>
        <v/>
      </c>
      <c r="I101" s="8">
        <f>SUMIF(EGRESOS!$P:$P,A101,EGRESOS!$AB:$AB)</f>
        <v/>
      </c>
      <c r="J101" s="8">
        <f>G101-I101</f>
        <v/>
      </c>
      <c r="K101" s="8">
        <f>SUMIF(EGRESOS!$P:$P,A101,EGRESOS!$AC:$AC)</f>
        <v/>
      </c>
      <c r="L101" s="8">
        <f>I101-K101</f>
        <v/>
      </c>
      <c r="M101" s="8">
        <f>H101+J101+L101</f>
        <v/>
      </c>
    </row>
    <row r="102">
      <c r="A102" s="7" t="inlineStr">
        <is>
          <t>1.3.3.4.01</t>
        </is>
      </c>
      <c r="B102" s="7" t="inlineStr">
        <is>
          <t>R.B. CONTRIBUCIÓN SOBRE CONTRATOS DE OBRA PUBLICA</t>
        </is>
      </c>
      <c r="C102" s="8">
        <f>SUMIF(INGRESOS!$R:$R,A102,INGRESOS!$L:$L)</f>
        <v/>
      </c>
      <c r="D102" s="8">
        <f>SUMIF(EGRESOS!$P:$P,A102,EGRESOS!$Y:$Y)</f>
        <v/>
      </c>
      <c r="E102" s="8">
        <f>C102-D102</f>
        <v/>
      </c>
      <c r="F102" s="8">
        <f>SUMIF(INGRESOS!$R:$R,A102,INGRESOS!$N:$N)</f>
        <v/>
      </c>
      <c r="G102" s="8">
        <f>SUMIF(EGRESOS!$P:$P,A102,EGRESOS!$AA:$AA)</f>
        <v/>
      </c>
      <c r="H102" s="8">
        <f>F102-G102</f>
        <v/>
      </c>
      <c r="I102" s="8">
        <f>SUMIF(EGRESOS!$P:$P,A102,EGRESOS!$AB:$AB)</f>
        <v/>
      </c>
      <c r="J102" s="8">
        <f>G102-I102</f>
        <v/>
      </c>
      <c r="K102" s="8">
        <f>SUMIF(EGRESOS!$P:$P,A102,EGRESOS!$AC:$AC)</f>
        <v/>
      </c>
      <c r="L102" s="8">
        <f>I102-K102</f>
        <v/>
      </c>
      <c r="M102" s="8">
        <f>H102+J102+L102</f>
        <v/>
      </c>
    </row>
    <row r="103">
      <c r="A103" s="7" t="inlineStr">
        <is>
          <t>1.3.2.1.09</t>
        </is>
      </c>
      <c r="B103" s="7" t="inlineStr">
        <is>
          <t>R.F. DE OTRAS CONTRIBUCIONES - CONTRIBUCION FONDO DE SEGURIDAD CIUDADANA</t>
        </is>
      </c>
      <c r="C103" s="8">
        <f>SUMIF(INGRESOS!$R:$R,A103,INGRESOS!$L:$L)</f>
        <v/>
      </c>
      <c r="D103" s="8">
        <f>SUMIF(EGRESOS!$P:$P,A103,EGRESOS!$Y:$Y)</f>
        <v/>
      </c>
      <c r="E103" s="8">
        <f>C103-D103</f>
        <v/>
      </c>
      <c r="F103" s="8">
        <f>SUMIF(INGRESOS!$R:$R,A103,INGRESOS!$N:$N)</f>
        <v/>
      </c>
      <c r="G103" s="8">
        <f>SUMIF(EGRESOS!$P:$P,A103,EGRESOS!$AA:$AA)</f>
        <v/>
      </c>
      <c r="H103" s="8">
        <f>F103-G103</f>
        <v/>
      </c>
      <c r="I103" s="8">
        <f>SUMIF(EGRESOS!$P:$P,A103,EGRESOS!$AB:$AB)</f>
        <v/>
      </c>
      <c r="J103" s="8">
        <f>G103-I103</f>
        <v/>
      </c>
      <c r="K103" s="8">
        <f>SUMIF(EGRESOS!$P:$P,A103,EGRESOS!$AC:$AC)</f>
        <v/>
      </c>
      <c r="L103" s="8">
        <f>I103-K103</f>
        <v/>
      </c>
      <c r="M103" s="8">
        <f>H103+J103+L103</f>
        <v/>
      </c>
    </row>
    <row r="104">
      <c r="A104" s="7" t="inlineStr">
        <is>
          <t>1.3.2.3.01.07</t>
        </is>
      </c>
      <c r="B104" s="7" t="inlineStr">
        <is>
          <t>R.F. DISTINTOS AL SGP - CODIGO DE POLICIA</t>
        </is>
      </c>
      <c r="C104" s="8">
        <f>SUMIF(INGRESOS!$R:$R,A104,INGRESOS!$L:$L)</f>
        <v/>
      </c>
      <c r="D104" s="8">
        <f>SUMIF(EGRESOS!$P:$P,A104,EGRESOS!$Y:$Y)</f>
        <v/>
      </c>
      <c r="E104" s="8">
        <f>C104-D104</f>
        <v/>
      </c>
      <c r="F104" s="8">
        <f>SUMIF(INGRESOS!$R:$R,A104,INGRESOS!$N:$N)</f>
        <v/>
      </c>
      <c r="G104" s="8">
        <f>SUMIF(EGRESOS!$P:$P,A104,EGRESOS!$AA:$AA)</f>
        <v/>
      </c>
      <c r="H104" s="8">
        <f>F104-G104</f>
        <v/>
      </c>
      <c r="I104" s="8">
        <f>SUMIF(EGRESOS!$P:$P,A104,EGRESOS!$AB:$AB)</f>
        <v/>
      </c>
      <c r="J104" s="8">
        <f>G104-I104</f>
        <v/>
      </c>
      <c r="K104" s="8">
        <f>SUMIF(EGRESOS!$P:$P,A104,EGRESOS!$AC:$AC)</f>
        <v/>
      </c>
      <c r="L104" s="8">
        <f>I104-K104</f>
        <v/>
      </c>
      <c r="M104" s="8">
        <f>H104+J104+L104</f>
        <v/>
      </c>
    </row>
    <row r="105">
      <c r="A105" s="7" t="inlineStr">
        <is>
          <t>1.3.2.3.11.20</t>
        </is>
      </c>
      <c r="B105" s="7" t="inlineStr">
        <is>
          <t>RENDIMIENTOS FINANCIEROS CONTRIBUCIÓN ESPECIAL SOBRE CONTRATOS DE OBRA PUBLICA 2024</t>
        </is>
      </c>
      <c r="C105" s="8">
        <f>SUMIF(INGRESOS!$R:$R,A105,INGRESOS!$L:$L)</f>
        <v/>
      </c>
      <c r="D105" s="8">
        <f>SUMIF(EGRESOS!$P:$P,A105,EGRESOS!$Y:$Y)</f>
        <v/>
      </c>
      <c r="E105" s="8">
        <f>C105-D105</f>
        <v/>
      </c>
      <c r="F105" s="8">
        <f>SUMIF(INGRESOS!$R:$R,A105,INGRESOS!$N:$N)</f>
        <v/>
      </c>
      <c r="G105" s="8">
        <f>SUMIF(EGRESOS!$P:$P,A105,EGRESOS!$AA:$AA)</f>
        <v/>
      </c>
      <c r="H105" s="8">
        <f>F105-G105</f>
        <v/>
      </c>
      <c r="I105" s="8">
        <f>SUMIF(EGRESOS!$P:$P,A105,EGRESOS!$AB:$AB)</f>
        <v/>
      </c>
      <c r="J105" s="8">
        <f>G105-I105</f>
        <v/>
      </c>
      <c r="K105" s="8">
        <f>SUMIF(EGRESOS!$P:$P,A105,EGRESOS!$AC:$AC)</f>
        <v/>
      </c>
      <c r="L105" s="8">
        <f>I105-K105</f>
        <v/>
      </c>
      <c r="M105" s="8">
        <f>H105+J105+L105</f>
        <v/>
      </c>
    </row>
    <row r="106">
      <c r="A106" s="7" t="inlineStr">
        <is>
          <t>1.3.2.2.08.03</t>
        </is>
      </c>
      <c r="B106" s="7" t="inlineStr">
        <is>
          <t>R.F. SGP -PROPOSITO GENERAL LIBRE DESTINACION</t>
        </is>
      </c>
      <c r="C106" s="8">
        <f>SUMIF(INGRESOS!$R:$R,A106,INGRESOS!$L:$L)</f>
        <v/>
      </c>
      <c r="D106" s="8">
        <f>SUMIF(EGRESOS!$P:$P,A106,EGRESOS!$Y:$Y)</f>
        <v/>
      </c>
      <c r="E106" s="8">
        <f>C106-D106</f>
        <v/>
      </c>
      <c r="F106" s="8">
        <f>SUMIF(INGRESOS!$R:$R,A106,INGRESOS!$N:$N)</f>
        <v/>
      </c>
      <c r="G106" s="8">
        <f>SUMIF(EGRESOS!$P:$P,A106,EGRESOS!$AA:$AA)</f>
        <v/>
      </c>
      <c r="H106" s="8">
        <f>F106-G106</f>
        <v/>
      </c>
      <c r="I106" s="8">
        <f>SUMIF(EGRESOS!$P:$P,A106,EGRESOS!$AB:$AB)</f>
        <v/>
      </c>
      <c r="J106" s="8">
        <f>G106-I106</f>
        <v/>
      </c>
      <c r="K106" s="8">
        <f>SUMIF(EGRESOS!$P:$P,A106,EGRESOS!$AC:$AC)</f>
        <v/>
      </c>
      <c r="L106" s="8">
        <f>I106-K106</f>
        <v/>
      </c>
      <c r="M106" s="8">
        <f>H106+J106+L106</f>
        <v/>
      </c>
    </row>
    <row r="107">
      <c r="A107" s="7" t="inlineStr">
        <is>
          <t>1.3.3.8.04</t>
        </is>
      </c>
      <c r="B107" s="7" t="inlineStr">
        <is>
          <t>R.B. SGP-PROPOSITO GENERAL - LIBRE DESTINACIÓN MUNICIPIOS CATEGORIAS 4, 5 Y 6</t>
        </is>
      </c>
      <c r="C107" s="8">
        <f>SUMIF(INGRESOS!$R:$R,A107,INGRESOS!$L:$L)</f>
        <v/>
      </c>
      <c r="D107" s="8">
        <f>SUMIF(EGRESOS!$P:$P,A107,EGRESOS!$Y:$Y)</f>
        <v/>
      </c>
      <c r="E107" s="8">
        <f>C107-D107</f>
        <v/>
      </c>
      <c r="F107" s="8">
        <f>SUMIF(INGRESOS!$R:$R,A107,INGRESOS!$N:$N)</f>
        <v/>
      </c>
      <c r="G107" s="8">
        <f>SUMIF(EGRESOS!$P:$P,A107,EGRESOS!$AA:$AA)</f>
        <v/>
      </c>
      <c r="H107" s="8">
        <f>F107-G107</f>
        <v/>
      </c>
      <c r="I107" s="8">
        <f>SUMIF(EGRESOS!$P:$P,A107,EGRESOS!$AB:$AB)</f>
        <v/>
      </c>
      <c r="J107" s="8">
        <f>G107-I107</f>
        <v/>
      </c>
      <c r="K107" s="8">
        <f>SUMIF(EGRESOS!$P:$P,A107,EGRESOS!$AC:$AC)</f>
        <v/>
      </c>
      <c r="L107" s="8">
        <f>I107-K107</f>
        <v/>
      </c>
      <c r="M107" s="8">
        <f>H107+J107+L107</f>
        <v/>
      </c>
    </row>
    <row r="108">
      <c r="A108" s="7" t="inlineStr">
        <is>
          <t>1.2.3.1.17.01</t>
        </is>
      </c>
      <c r="B108" s="7" t="inlineStr">
        <is>
          <t>SOBRETASA DE SOLIDARIDAD SERVICIOS PUBLICO ACUEDUCTO</t>
        </is>
      </c>
      <c r="C108" s="8">
        <f>SUMIF(INGRESOS!$R:$R,A108,INGRESOS!$L:$L)</f>
        <v/>
      </c>
      <c r="D108" s="8">
        <f>SUMIF(EGRESOS!$P:$P,A108,EGRESOS!$Y:$Y)</f>
        <v/>
      </c>
      <c r="E108" s="8">
        <f>C108-D108</f>
        <v/>
      </c>
      <c r="F108" s="8">
        <f>SUMIF(INGRESOS!$R:$R,A108,INGRESOS!$N:$N)</f>
        <v/>
      </c>
      <c r="G108" s="8">
        <f>SUMIF(EGRESOS!$P:$P,A108,EGRESOS!$AA:$AA)</f>
        <v/>
      </c>
      <c r="H108" s="8">
        <f>F108-G108</f>
        <v/>
      </c>
      <c r="I108" s="8">
        <f>SUMIF(EGRESOS!$P:$P,A108,EGRESOS!$AB:$AB)</f>
        <v/>
      </c>
      <c r="J108" s="8">
        <f>G108-I108</f>
        <v/>
      </c>
      <c r="K108" s="8">
        <f>SUMIF(EGRESOS!$P:$P,A108,EGRESOS!$AC:$AC)</f>
        <v/>
      </c>
      <c r="L108" s="8">
        <f>I108-K108</f>
        <v/>
      </c>
      <c r="M108" s="8">
        <f>H108+J108+L108</f>
        <v/>
      </c>
    </row>
    <row r="109">
      <c r="A109" s="7" t="inlineStr">
        <is>
          <t>1.2.3.1.17.03</t>
        </is>
      </c>
      <c r="B109" s="7" t="inlineStr">
        <is>
          <t>SOBRETASA DE SOLIDARIDAD SERVICIOS PUBLICO ALCANTARILLADO</t>
        </is>
      </c>
      <c r="C109" s="8">
        <f>SUMIF(INGRESOS!$R:$R,A109,INGRESOS!$L:$L)</f>
        <v/>
      </c>
      <c r="D109" s="8">
        <f>SUMIF(EGRESOS!$P:$P,A109,EGRESOS!$Y:$Y)</f>
        <v/>
      </c>
      <c r="E109" s="8">
        <f>C109-D109</f>
        <v/>
      </c>
      <c r="F109" s="8">
        <f>SUMIF(INGRESOS!$R:$R,A109,INGRESOS!$N:$N)</f>
        <v/>
      </c>
      <c r="G109" s="8">
        <f>SUMIF(EGRESOS!$P:$P,A109,EGRESOS!$AA:$AA)</f>
        <v/>
      </c>
      <c r="H109" s="8">
        <f>F109-G109</f>
        <v/>
      </c>
      <c r="I109" s="8">
        <f>SUMIF(EGRESOS!$P:$P,A109,EGRESOS!$AB:$AB)</f>
        <v/>
      </c>
      <c r="J109" s="8">
        <f>G109-I109</f>
        <v/>
      </c>
      <c r="K109" s="8">
        <f>SUMIF(EGRESOS!$P:$P,A109,EGRESOS!$AC:$AC)</f>
        <v/>
      </c>
      <c r="L109" s="8">
        <f>I109-K109</f>
        <v/>
      </c>
      <c r="M109" s="8">
        <f>H109+J109+L109</f>
        <v/>
      </c>
    </row>
    <row r="110">
      <c r="A110" s="7" t="inlineStr">
        <is>
          <t>1.2.3.1.17.02</t>
        </is>
      </c>
      <c r="B110" s="7" t="inlineStr">
        <is>
          <t>SOBRETASA DE SOLIDARIDAD SERVICIOS PUBLICO ASEO</t>
        </is>
      </c>
      <c r="C110" s="8">
        <f>SUMIF(INGRESOS!$R:$R,A110,INGRESOS!$L:$L)</f>
        <v/>
      </c>
      <c r="D110" s="8">
        <f>SUMIF(EGRESOS!$P:$P,A110,EGRESOS!$Y:$Y)</f>
        <v/>
      </c>
      <c r="E110" s="8">
        <f>C110-D110</f>
        <v/>
      </c>
      <c r="F110" s="8">
        <f>SUMIF(INGRESOS!$R:$R,A110,INGRESOS!$N:$N)</f>
        <v/>
      </c>
      <c r="G110" s="8">
        <f>SUMIF(EGRESOS!$P:$P,A110,EGRESOS!$AA:$AA)</f>
        <v/>
      </c>
      <c r="H110" s="8">
        <f>F110-G110</f>
        <v/>
      </c>
      <c r="I110" s="8">
        <f>SUMIF(EGRESOS!$P:$P,A110,EGRESOS!$AB:$AB)</f>
        <v/>
      </c>
      <c r="J110" s="8">
        <f>G110-I110</f>
        <v/>
      </c>
      <c r="K110" s="8">
        <f>SUMIF(EGRESOS!$P:$P,A110,EGRESOS!$AC:$AC)</f>
        <v/>
      </c>
      <c r="L110" s="8">
        <f>I110-K110</f>
        <v/>
      </c>
      <c r="M110" s="8">
        <f>H110+J110+L110</f>
        <v/>
      </c>
    </row>
    <row r="111">
      <c r="A111" s="7" t="inlineStr">
        <is>
          <t>1.3.2.3.01.02</t>
        </is>
      </c>
      <c r="B111" s="7" t="inlineStr">
        <is>
          <t>R.F. DISTINTOS AL SGP - TASA PRO DEPORTES Y RECREACION</t>
        </is>
      </c>
      <c r="C111" s="8">
        <f>SUMIF(INGRESOS!$R:$R,A111,INGRESOS!$L:$L)</f>
        <v/>
      </c>
      <c r="D111" s="8">
        <f>SUMIF(EGRESOS!$P:$P,A111,EGRESOS!$Y:$Y)</f>
        <v/>
      </c>
      <c r="E111" s="8">
        <f>C111-D111</f>
        <v/>
      </c>
      <c r="F111" s="8">
        <f>SUMIF(INGRESOS!$R:$R,A111,INGRESOS!$N:$N)</f>
        <v/>
      </c>
      <c r="G111" s="8">
        <f>SUMIF(EGRESOS!$P:$P,A111,EGRESOS!$AA:$AA)</f>
        <v/>
      </c>
      <c r="H111" s="8">
        <f>F111-G111</f>
        <v/>
      </c>
      <c r="I111" s="8">
        <f>SUMIF(EGRESOS!$P:$P,A111,EGRESOS!$AB:$AB)</f>
        <v/>
      </c>
      <c r="J111" s="8">
        <f>G111-I111</f>
        <v/>
      </c>
      <c r="K111" s="8">
        <f>SUMIF(EGRESOS!$P:$P,A111,EGRESOS!$AC:$AC)</f>
        <v/>
      </c>
      <c r="L111" s="8">
        <f>I111-K111</f>
        <v/>
      </c>
      <c r="M111" s="8">
        <f>H111+J111+L111</f>
        <v/>
      </c>
    </row>
    <row r="112">
      <c r="A112" s="7" t="inlineStr">
        <is>
          <t>1.3.2.2.08.02</t>
        </is>
      </c>
      <c r="B112" s="7" t="inlineStr">
        <is>
          <t>R.F. SGP - PROPOSITO GENERAL DEPORTE Y RECREACIÓN</t>
        </is>
      </c>
      <c r="C112" s="8">
        <f>SUMIF(INGRESOS!$R:$R,A112,INGRESOS!$L:$L)</f>
        <v/>
      </c>
      <c r="D112" s="8">
        <f>SUMIF(EGRESOS!$P:$P,A112,EGRESOS!$Y:$Y)</f>
        <v/>
      </c>
      <c r="E112" s="8">
        <f>C112-D112</f>
        <v/>
      </c>
      <c r="F112" s="8">
        <f>SUMIF(INGRESOS!$R:$R,A112,INGRESOS!$N:$N)</f>
        <v/>
      </c>
      <c r="G112" s="8">
        <f>SUMIF(EGRESOS!$P:$P,A112,EGRESOS!$AA:$AA)</f>
        <v/>
      </c>
      <c r="H112" s="8">
        <f>F112-G112</f>
        <v/>
      </c>
      <c r="I112" s="8">
        <f>SUMIF(EGRESOS!$P:$P,A112,EGRESOS!$AB:$AB)</f>
        <v/>
      </c>
      <c r="J112" s="8">
        <f>G112-I112</f>
        <v/>
      </c>
      <c r="K112" s="8">
        <f>SUMIF(EGRESOS!$P:$P,A112,EGRESOS!$AC:$AC)</f>
        <v/>
      </c>
      <c r="L112" s="8">
        <f>I112-K112</f>
        <v/>
      </c>
      <c r="M112" s="8">
        <f>H112+J112+L112</f>
        <v/>
      </c>
    </row>
    <row r="113">
      <c r="A113" s="7" t="inlineStr">
        <is>
          <t>1.3.3.3.19</t>
        </is>
      </c>
      <c r="B113" s="7" t="inlineStr">
        <is>
          <t>R.B. TASA PRO DEPORTE</t>
        </is>
      </c>
      <c r="C113" s="8">
        <f>SUMIF(INGRESOS!$R:$R,A113,INGRESOS!$L:$L)</f>
        <v/>
      </c>
      <c r="D113" s="8">
        <f>SUMIF(EGRESOS!$P:$P,A113,EGRESOS!$Y:$Y)</f>
        <v/>
      </c>
      <c r="E113" s="8">
        <f>C113-D113</f>
        <v/>
      </c>
      <c r="F113" s="8">
        <f>SUMIF(INGRESOS!$R:$R,A113,INGRESOS!$N:$N)</f>
        <v/>
      </c>
      <c r="G113" s="8">
        <f>SUMIF(EGRESOS!$P:$P,A113,EGRESOS!$AA:$AA)</f>
        <v/>
      </c>
      <c r="H113" s="8">
        <f>F113-G113</f>
        <v/>
      </c>
      <c r="I113" s="8">
        <f>SUMIF(EGRESOS!$P:$P,A113,EGRESOS!$AB:$AB)</f>
        <v/>
      </c>
      <c r="J113" s="8">
        <f>G113-I113</f>
        <v/>
      </c>
      <c r="K113" s="8">
        <f>SUMIF(EGRESOS!$P:$P,A113,EGRESOS!$AC:$AC)</f>
        <v/>
      </c>
      <c r="L113" s="8">
        <f>I113-K113</f>
        <v/>
      </c>
      <c r="M113" s="8">
        <f>H113+J113+L113</f>
        <v/>
      </c>
    </row>
    <row r="114">
      <c r="A114" s="7" t="inlineStr">
        <is>
          <t>1.3.3.8.01</t>
        </is>
      </c>
      <c r="B114" s="7" t="inlineStr">
        <is>
          <t>R.B. SGP - PROPOSITO GENERAL - DEPORTE Y RECREACIÓN</t>
        </is>
      </c>
      <c r="C114" s="8">
        <f>SUMIF(INGRESOS!$R:$R,A114,INGRESOS!$L:$L)</f>
        <v/>
      </c>
      <c r="D114" s="8">
        <f>SUMIF(EGRESOS!$P:$P,A114,EGRESOS!$Y:$Y)</f>
        <v/>
      </c>
      <c r="E114" s="8">
        <f>C114-D114</f>
        <v/>
      </c>
      <c r="F114" s="8">
        <f>SUMIF(INGRESOS!$R:$R,A114,INGRESOS!$N:$N)</f>
        <v/>
      </c>
      <c r="G114" s="8">
        <f>SUMIF(EGRESOS!$P:$P,A114,EGRESOS!$AA:$AA)</f>
        <v/>
      </c>
      <c r="H114" s="8">
        <f>F114-G114</f>
        <v/>
      </c>
      <c r="I114" s="8">
        <f>SUMIF(EGRESOS!$P:$P,A114,EGRESOS!$AB:$AB)</f>
        <v/>
      </c>
      <c r="J114" s="8">
        <f>G114-I114</f>
        <v/>
      </c>
      <c r="K114" s="8">
        <f>SUMIF(EGRESOS!$P:$P,A114,EGRESOS!$AC:$AC)</f>
        <v/>
      </c>
      <c r="L114" s="8">
        <f>I114-K114</f>
        <v/>
      </c>
      <c r="M114" s="8">
        <f>H114+J114+L114</f>
        <v/>
      </c>
    </row>
    <row r="115">
      <c r="A115" s="7" t="inlineStr">
        <is>
          <t>1.2.3.2.28.02</t>
        </is>
      </c>
      <c r="B115" s="7" t="inlineStr">
        <is>
          <t>DERECHOS POR LA EXPLOTACION DE JUEGOS DE SUERTE Y AZAR - CSF</t>
        </is>
      </c>
      <c r="C115" s="8">
        <f>SUMIF(INGRESOS!$R:$R,A115,INGRESOS!$L:$L)</f>
        <v/>
      </c>
      <c r="D115" s="8">
        <f>SUMIF(EGRESOS!$P:$P,A115,EGRESOS!$Y:$Y)</f>
        <v/>
      </c>
      <c r="E115" s="8">
        <f>C115-D115</f>
        <v/>
      </c>
      <c r="F115" s="8">
        <f>SUMIF(INGRESOS!$R:$R,A115,INGRESOS!$N:$N)</f>
        <v/>
      </c>
      <c r="G115" s="8">
        <f>SUMIF(EGRESOS!$P:$P,A115,EGRESOS!$AA:$AA)</f>
        <v/>
      </c>
      <c r="H115" s="8">
        <f>F115-G115</f>
        <v/>
      </c>
      <c r="I115" s="8">
        <f>SUMIF(EGRESOS!$P:$P,A115,EGRESOS!$AB:$AB)</f>
        <v/>
      </c>
      <c r="J115" s="8">
        <f>G115-I115</f>
        <v/>
      </c>
      <c r="K115" s="8">
        <f>SUMIF(EGRESOS!$P:$P,A115,EGRESOS!$AC:$AC)</f>
        <v/>
      </c>
      <c r="L115" s="8">
        <f>I115-K115</f>
        <v/>
      </c>
      <c r="M115" s="8">
        <f>H115+J115+L115</f>
        <v/>
      </c>
    </row>
    <row r="116">
      <c r="A116" s="7" t="inlineStr">
        <is>
          <t>1.2.3.2.28.01</t>
        </is>
      </c>
      <c r="B116" s="7" t="inlineStr">
        <is>
          <t>DERECHOS POR LA EXPLOTACION DE JUEGOS DE SUERTE Y AZAR - SSF</t>
        </is>
      </c>
      <c r="C116" s="8">
        <f>SUMIF(INGRESOS!$R:$R,A116,INGRESOS!$L:$L)</f>
        <v/>
      </c>
      <c r="D116" s="8">
        <f>SUMIF(EGRESOS!$P:$P,A116,EGRESOS!$Y:$Y)</f>
        <v/>
      </c>
      <c r="E116" s="8">
        <f>C116-D116</f>
        <v/>
      </c>
      <c r="F116" s="8">
        <f>SUMIF(INGRESOS!$R:$R,A116,INGRESOS!$N:$N)</f>
        <v/>
      </c>
      <c r="G116" s="8">
        <f>SUMIF(EGRESOS!$P:$P,A116,EGRESOS!$AA:$AA)</f>
        <v/>
      </c>
      <c r="H116" s="8">
        <f>F116-G116</f>
        <v/>
      </c>
      <c r="I116" s="8">
        <f>SUMIF(EGRESOS!$P:$P,A116,EGRESOS!$AB:$AB)</f>
        <v/>
      </c>
      <c r="J116" s="8">
        <f>G116-I116</f>
        <v/>
      </c>
      <c r="K116" s="8">
        <f>SUMIF(EGRESOS!$P:$P,A116,EGRESOS!$AC:$AC)</f>
        <v/>
      </c>
      <c r="L116" s="8">
        <f>I116-K116</f>
        <v/>
      </c>
      <c r="M116" s="8">
        <f>H116+J116+L116</f>
        <v/>
      </c>
    </row>
    <row r="117">
      <c r="A117" s="7" t="inlineStr">
        <is>
          <t>1.3.2.3.03</t>
        </is>
      </c>
      <c r="B117" s="7" t="inlineStr">
        <is>
          <t>R.F. DE SISTEMA GENERAL DE SEGURIDAD SOCIAL EN SALUD RECURSOS DE ENTIDADES TERRITORIALES</t>
        </is>
      </c>
      <c r="C117" s="8">
        <f>SUMIF(INGRESOS!$R:$R,A117,INGRESOS!$L:$L)</f>
        <v/>
      </c>
      <c r="D117" s="8">
        <f>SUMIF(EGRESOS!$P:$P,A117,EGRESOS!$Y:$Y)</f>
        <v/>
      </c>
      <c r="E117" s="8">
        <f>C117-D117</f>
        <v/>
      </c>
      <c r="F117" s="8">
        <f>SUMIF(INGRESOS!$R:$R,A117,INGRESOS!$N:$N)</f>
        <v/>
      </c>
      <c r="G117" s="8">
        <f>SUMIF(EGRESOS!$P:$P,A117,EGRESOS!$AA:$AA)</f>
        <v/>
      </c>
      <c r="H117" s="8">
        <f>F117-G117</f>
        <v/>
      </c>
      <c r="I117" s="8">
        <f>SUMIF(EGRESOS!$P:$P,A117,EGRESOS!$AB:$AB)</f>
        <v/>
      </c>
      <c r="J117" s="8">
        <f>G117-I117</f>
        <v/>
      </c>
      <c r="K117" s="8">
        <f>SUMIF(EGRESOS!$P:$P,A117,EGRESOS!$AC:$AC)</f>
        <v/>
      </c>
      <c r="L117" s="8">
        <f>I117-K117</f>
        <v/>
      </c>
      <c r="M117" s="8">
        <f>H117+J117+L117</f>
        <v/>
      </c>
    </row>
    <row r="118">
      <c r="A118" s="7" t="inlineStr">
        <is>
          <t>1.3.2.2.07</t>
        </is>
      </c>
      <c r="B118" s="7" t="inlineStr">
        <is>
          <t>R.F. SGP - SALUD-PRESTACION DEL SERVICIO DE SALUD</t>
        </is>
      </c>
      <c r="C118" s="8">
        <f>SUMIF(INGRESOS!$R:$R,A118,INGRESOS!$L:$L)</f>
        <v/>
      </c>
      <c r="D118" s="8">
        <f>SUMIF(EGRESOS!$P:$P,A118,EGRESOS!$Y:$Y)</f>
        <v/>
      </c>
      <c r="E118" s="8">
        <f>C118-D118</f>
        <v/>
      </c>
      <c r="F118" s="8">
        <f>SUMIF(INGRESOS!$R:$R,A118,INGRESOS!$N:$N)</f>
        <v/>
      </c>
      <c r="G118" s="8">
        <f>SUMIF(EGRESOS!$P:$P,A118,EGRESOS!$AA:$AA)</f>
        <v/>
      </c>
      <c r="H118" s="8">
        <f>F118-G118</f>
        <v/>
      </c>
      <c r="I118" s="8">
        <f>SUMIF(EGRESOS!$P:$P,A118,EGRESOS!$AB:$AB)</f>
        <v/>
      </c>
      <c r="J118" s="8">
        <f>G118-I118</f>
        <v/>
      </c>
      <c r="K118" s="8">
        <f>SUMIF(EGRESOS!$P:$P,A118,EGRESOS!$AC:$AC)</f>
        <v/>
      </c>
      <c r="L118" s="8">
        <f>I118-K118</f>
        <v/>
      </c>
      <c r="M118" s="8">
        <f>H118+J118+L118</f>
        <v/>
      </c>
    </row>
    <row r="119">
      <c r="A119" s="7" t="inlineStr">
        <is>
          <t>1.3.2.2.05</t>
        </is>
      </c>
      <c r="B119" s="7" t="inlineStr">
        <is>
          <t>R.F. SGP - SALUD-REGIMEN SUBSIDIADO</t>
        </is>
      </c>
      <c r="C119" s="8">
        <f>SUMIF(INGRESOS!$R:$R,A119,INGRESOS!$L:$L)</f>
        <v/>
      </c>
      <c r="D119" s="8">
        <f>SUMIF(EGRESOS!$P:$P,A119,EGRESOS!$Y:$Y)</f>
        <v/>
      </c>
      <c r="E119" s="8">
        <f>C119-D119</f>
        <v/>
      </c>
      <c r="F119" s="8">
        <f>SUMIF(INGRESOS!$R:$R,A119,INGRESOS!$N:$N)</f>
        <v/>
      </c>
      <c r="G119" s="8">
        <f>SUMIF(EGRESOS!$P:$P,A119,EGRESOS!$AA:$AA)</f>
        <v/>
      </c>
      <c r="H119" s="8">
        <f>F119-G119</f>
        <v/>
      </c>
      <c r="I119" s="8">
        <f>SUMIF(EGRESOS!$P:$P,A119,EGRESOS!$AB:$AB)</f>
        <v/>
      </c>
      <c r="J119" s="8">
        <f>G119-I119</f>
        <v/>
      </c>
      <c r="K119" s="8">
        <f>SUMIF(EGRESOS!$P:$P,A119,EGRESOS!$AC:$AC)</f>
        <v/>
      </c>
      <c r="L119" s="8">
        <f>I119-K119</f>
        <v/>
      </c>
      <c r="M119" s="8">
        <f>H119+J119+L119</f>
        <v/>
      </c>
    </row>
    <row r="120">
      <c r="A120" s="7" t="inlineStr">
        <is>
          <t>1.2.4.2.04</t>
        </is>
      </c>
      <c r="B120" s="7" t="inlineStr">
        <is>
          <t>SGP SUBSIDIO A LA OFERTA</t>
        </is>
      </c>
      <c r="C120" s="8">
        <f>SUMIF(INGRESOS!$R:$R,A120,INGRESOS!$L:$L)</f>
        <v/>
      </c>
      <c r="D120" s="8">
        <f>SUMIF(EGRESOS!$P:$P,A120,EGRESOS!$Y:$Y)</f>
        <v/>
      </c>
      <c r="E120" s="8">
        <f>C120-D120</f>
        <v/>
      </c>
      <c r="F120" s="8">
        <f>SUMIF(INGRESOS!$R:$R,A120,INGRESOS!$N:$N)</f>
        <v/>
      </c>
      <c r="G120" s="8">
        <f>SUMIF(EGRESOS!$P:$P,A120,EGRESOS!$AA:$AA)</f>
        <v/>
      </c>
      <c r="H120" s="8">
        <f>F120-G120</f>
        <v/>
      </c>
      <c r="I120" s="8">
        <f>SUMIF(EGRESOS!$P:$P,A120,EGRESOS!$AB:$AB)</f>
        <v/>
      </c>
      <c r="J120" s="8">
        <f>G120-I120</f>
        <v/>
      </c>
      <c r="K120" s="8">
        <f>SUMIF(EGRESOS!$P:$P,A120,EGRESOS!$AC:$AC)</f>
        <v/>
      </c>
      <c r="L120" s="8">
        <f>I120-K120</f>
        <v/>
      </c>
      <c r="M120" s="8">
        <f>H120+J120+L120</f>
        <v/>
      </c>
    </row>
    <row r="121">
      <c r="A121" s="7" t="inlineStr">
        <is>
          <t>1.2.4.2.01</t>
        </is>
      </c>
      <c r="B121" s="7" t="inlineStr">
        <is>
          <t>SGP-SALUD-REGIMEN SUBSIDIADO</t>
        </is>
      </c>
      <c r="C121" s="8">
        <f>SUMIF(INGRESOS!$R:$R,A121,INGRESOS!$L:$L)</f>
        <v/>
      </c>
      <c r="D121" s="8">
        <f>SUMIF(EGRESOS!$P:$P,A121,EGRESOS!$Y:$Y)</f>
        <v/>
      </c>
      <c r="E121" s="8">
        <f>C121-D121</f>
        <v/>
      </c>
      <c r="F121" s="8">
        <f>SUMIF(INGRESOS!$R:$R,A121,INGRESOS!$N:$N)</f>
        <v/>
      </c>
      <c r="G121" s="8">
        <f>SUMIF(EGRESOS!$P:$P,A121,EGRESOS!$AA:$AA)</f>
        <v/>
      </c>
      <c r="H121" s="8">
        <f>F121-G121</f>
        <v/>
      </c>
      <c r="I121" s="8">
        <f>SUMIF(EGRESOS!$P:$P,A121,EGRESOS!$AB:$AB)</f>
        <v/>
      </c>
      <c r="J121" s="8">
        <f>G121-I121</f>
        <v/>
      </c>
      <c r="K121" s="8">
        <f>SUMIF(EGRESOS!$P:$P,A121,EGRESOS!$AC:$AC)</f>
        <v/>
      </c>
      <c r="L121" s="8">
        <f>I121-K121</f>
        <v/>
      </c>
      <c r="M121" s="8">
        <f>H121+J121+L121</f>
        <v/>
      </c>
    </row>
    <row r="122">
      <c r="A122" s="7" t="inlineStr">
        <is>
          <t>1.2.3.3.07</t>
        </is>
      </c>
      <c r="B122" s="7" t="inlineStr">
        <is>
          <t>SISTEMA GENERAL DE SEGURIDAD SOCIAL EN SALUD - OTROS RECURSOS ADMINISTRADOS POR ADRES</t>
        </is>
      </c>
      <c r="C122" s="8">
        <f>SUMIF(INGRESOS!$R:$R,A122,INGRESOS!$L:$L)</f>
        <v/>
      </c>
      <c r="D122" s="8">
        <f>SUMIF(EGRESOS!$P:$P,A122,EGRESOS!$Y:$Y)</f>
        <v/>
      </c>
      <c r="E122" s="8">
        <f>C122-D122</f>
        <v/>
      </c>
      <c r="F122" s="8">
        <f>SUMIF(INGRESOS!$R:$R,A122,INGRESOS!$N:$N)</f>
        <v/>
      </c>
      <c r="G122" s="8">
        <f>SUMIF(EGRESOS!$P:$P,A122,EGRESOS!$AA:$AA)</f>
        <v/>
      </c>
      <c r="H122" s="8">
        <f>F122-G122</f>
        <v/>
      </c>
      <c r="I122" s="8">
        <f>SUMIF(EGRESOS!$P:$P,A122,EGRESOS!$AB:$AB)</f>
        <v/>
      </c>
      <c r="J122" s="8">
        <f>G122-I122</f>
        <v/>
      </c>
      <c r="K122" s="8">
        <f>SUMIF(EGRESOS!$P:$P,A122,EGRESOS!$AC:$AC)</f>
        <v/>
      </c>
      <c r="L122" s="8">
        <f>I122-K122</f>
        <v/>
      </c>
      <c r="M122" s="8">
        <f>H122+J122+L122</f>
        <v/>
      </c>
    </row>
    <row r="123">
      <c r="A123" s="7" t="inlineStr">
        <is>
          <t>1.2.3.3.08</t>
        </is>
      </c>
      <c r="B123" s="7" t="inlineStr">
        <is>
          <t>SISTEMA GENERAL DE SEGURIDAD SOCIAL EN SALUD - RECURSOS DE ENTIDADES TERRITORIALES</t>
        </is>
      </c>
      <c r="C123" s="8">
        <f>SUMIF(INGRESOS!$R:$R,A123,INGRESOS!$L:$L)</f>
        <v/>
      </c>
      <c r="D123" s="8">
        <f>SUMIF(EGRESOS!$P:$P,A123,EGRESOS!$Y:$Y)</f>
        <v/>
      </c>
      <c r="E123" s="8">
        <f>C123-D123</f>
        <v/>
      </c>
      <c r="F123" s="8">
        <f>SUMIF(INGRESOS!$R:$R,A123,INGRESOS!$N:$N)</f>
        <v/>
      </c>
      <c r="G123" s="8">
        <f>SUMIF(EGRESOS!$P:$P,A123,EGRESOS!$AA:$AA)</f>
        <v/>
      </c>
      <c r="H123" s="8">
        <f>F123-G123</f>
        <v/>
      </c>
      <c r="I123" s="8">
        <f>SUMIF(EGRESOS!$P:$P,A123,EGRESOS!$AB:$AB)</f>
        <v/>
      </c>
      <c r="J123" s="8">
        <f>G123-I123</f>
        <v/>
      </c>
      <c r="K123" s="8">
        <f>SUMIF(EGRESOS!$P:$P,A123,EGRESOS!$AC:$AC)</f>
        <v/>
      </c>
      <c r="L123" s="8">
        <f>I123-K123</f>
        <v/>
      </c>
      <c r="M123" s="8">
        <f>H123+J123+L123</f>
        <v/>
      </c>
    </row>
    <row r="124">
      <c r="A124" s="7" t="inlineStr">
        <is>
          <t>1.3.3.4.22</t>
        </is>
      </c>
      <c r="B124" s="7" t="inlineStr">
        <is>
          <t>R.B. DERECHOS POR LA EXPLOTACIÓN DE JUEGOS DE SUERTE Y AZAR</t>
        </is>
      </c>
      <c r="C124" s="8">
        <f>SUMIF(INGRESOS!$R:$R,A124,INGRESOS!$L:$L)</f>
        <v/>
      </c>
      <c r="D124" s="8">
        <f>SUMIF(EGRESOS!$P:$P,A124,EGRESOS!$Y:$Y)</f>
        <v/>
      </c>
      <c r="E124" s="8">
        <f>C124-D124</f>
        <v/>
      </c>
      <c r="F124" s="8">
        <f>SUMIF(INGRESOS!$R:$R,A124,INGRESOS!$N:$N)</f>
        <v/>
      </c>
      <c r="G124" s="8">
        <f>SUMIF(EGRESOS!$P:$P,A124,EGRESOS!$AA:$AA)</f>
        <v/>
      </c>
      <c r="H124" s="8">
        <f>F124-G124</f>
        <v/>
      </c>
      <c r="I124" s="8">
        <f>SUMIF(EGRESOS!$P:$P,A124,EGRESOS!$AB:$AB)</f>
        <v/>
      </c>
      <c r="J124" s="8">
        <f>G124-I124</f>
        <v/>
      </c>
      <c r="K124" s="8">
        <f>SUMIF(EGRESOS!$P:$P,A124,EGRESOS!$AC:$AC)</f>
        <v/>
      </c>
      <c r="L124" s="8">
        <f>I124-K124</f>
        <v/>
      </c>
      <c r="M124" s="8">
        <f>H124+J124+L124</f>
        <v/>
      </c>
    </row>
    <row r="125">
      <c r="A125" s="7" t="inlineStr">
        <is>
          <t>1.2.3.2.25.01</t>
        </is>
      </c>
      <c r="B125" s="7" t="inlineStr">
        <is>
          <t>OTRAS MULTAS ,SANCIONES E INTERESES DE MORA CON DESTINACIÓN ESPECIFICA LEGAL</t>
        </is>
      </c>
      <c r="C125" s="8">
        <f>SUMIF(INGRESOS!$R:$R,A125,INGRESOS!$L:$L)</f>
        <v/>
      </c>
      <c r="D125" s="8">
        <f>SUMIF(EGRESOS!$P:$P,A125,EGRESOS!$Y:$Y)</f>
        <v/>
      </c>
      <c r="E125" s="8">
        <f>C125-D125</f>
        <v/>
      </c>
      <c r="F125" s="8">
        <f>SUMIF(INGRESOS!$R:$R,A125,INGRESOS!$N:$N)</f>
        <v/>
      </c>
      <c r="G125" s="8">
        <f>SUMIF(EGRESOS!$P:$P,A125,EGRESOS!$AA:$AA)</f>
        <v/>
      </c>
      <c r="H125" s="8">
        <f>F125-G125</f>
        <v/>
      </c>
      <c r="I125" s="8">
        <f>SUMIF(EGRESOS!$P:$P,A125,EGRESOS!$AB:$AB)</f>
        <v/>
      </c>
      <c r="J125" s="8">
        <f>G125-I125</f>
        <v/>
      </c>
      <c r="K125" s="8">
        <f>SUMIF(EGRESOS!$P:$P,A125,EGRESOS!$AC:$AC)</f>
        <v/>
      </c>
      <c r="L125" s="8">
        <f>I125-K125</f>
        <v/>
      </c>
      <c r="M125" s="8">
        <f>H125+J125+L125</f>
        <v/>
      </c>
    </row>
    <row r="126">
      <c r="A126" s="7" t="inlineStr">
        <is>
          <t>1.3.2.3.11.10</t>
        </is>
      </c>
      <c r="B126" s="7" t="inlineStr">
        <is>
          <t>OTROS RENDIMIENTOS FINANCIEROS RECURSOS PROPIOS DEL F.L.S.</t>
        </is>
      </c>
      <c r="C126" s="8">
        <f>SUMIF(INGRESOS!$R:$R,A126,INGRESOS!$L:$L)</f>
        <v/>
      </c>
      <c r="D126" s="8">
        <f>SUMIF(EGRESOS!$P:$P,A126,EGRESOS!$Y:$Y)</f>
        <v/>
      </c>
      <c r="E126" s="8">
        <f>C126-D126</f>
        <v/>
      </c>
      <c r="F126" s="8">
        <f>SUMIF(INGRESOS!$R:$R,A126,INGRESOS!$N:$N)</f>
        <v/>
      </c>
      <c r="G126" s="8">
        <f>SUMIF(EGRESOS!$P:$P,A126,EGRESOS!$AA:$AA)</f>
        <v/>
      </c>
      <c r="H126" s="8">
        <f>F126-G126</f>
        <v/>
      </c>
      <c r="I126" s="8">
        <f>SUMIF(EGRESOS!$P:$P,A126,EGRESOS!$AB:$AB)</f>
        <v/>
      </c>
      <c r="J126" s="8">
        <f>G126-I126</f>
        <v/>
      </c>
      <c r="K126" s="8">
        <f>SUMIF(EGRESOS!$P:$P,A126,EGRESOS!$AC:$AC)</f>
        <v/>
      </c>
      <c r="L126" s="8">
        <f>I126-K126</f>
        <v/>
      </c>
      <c r="M126" s="8">
        <f>H126+J126+L126</f>
        <v/>
      </c>
    </row>
    <row r="127">
      <c r="A127" s="7" t="inlineStr">
        <is>
          <t>1.3.2.2.06</t>
        </is>
      </c>
      <c r="B127" s="7" t="inlineStr">
        <is>
          <t>R.F. SGP - SALUD-SALUD PUBLICA</t>
        </is>
      </c>
      <c r="C127" s="8">
        <f>SUMIF(INGRESOS!$R:$R,A127,INGRESOS!$L:$L)</f>
        <v/>
      </c>
      <c r="D127" s="8">
        <f>SUMIF(EGRESOS!$P:$P,A127,EGRESOS!$Y:$Y)</f>
        <v/>
      </c>
      <c r="E127" s="8">
        <f>C127-D127</f>
        <v/>
      </c>
      <c r="F127" s="8">
        <f>SUMIF(INGRESOS!$R:$R,A127,INGRESOS!$N:$N)</f>
        <v/>
      </c>
      <c r="G127" s="8">
        <f>SUMIF(EGRESOS!$P:$P,A127,EGRESOS!$AA:$AA)</f>
        <v/>
      </c>
      <c r="H127" s="8">
        <f>F127-G127</f>
        <v/>
      </c>
      <c r="I127" s="8">
        <f>SUMIF(EGRESOS!$P:$P,A127,EGRESOS!$AB:$AB)</f>
        <v/>
      </c>
      <c r="J127" s="8">
        <f>G127-I127</f>
        <v/>
      </c>
      <c r="K127" s="8">
        <f>SUMIF(EGRESOS!$P:$P,A127,EGRESOS!$AC:$AC)</f>
        <v/>
      </c>
      <c r="L127" s="8">
        <f>I127-K127</f>
        <v/>
      </c>
      <c r="M127" s="8">
        <f>H127+J127+L127</f>
        <v/>
      </c>
    </row>
    <row r="128">
      <c r="A128" s="7" t="inlineStr">
        <is>
          <t>1.2.4.2.02</t>
        </is>
      </c>
      <c r="B128" s="7" t="inlineStr">
        <is>
          <t>SGP-SALUD-SALUD PUBLICA</t>
        </is>
      </c>
      <c r="C128" s="8">
        <f>SUMIF(INGRESOS!$R:$R,A128,INGRESOS!$L:$L)</f>
        <v/>
      </c>
      <c r="D128" s="8">
        <f>SUMIF(EGRESOS!$P:$P,A128,EGRESOS!$Y:$Y)</f>
        <v/>
      </c>
      <c r="E128" s="8">
        <f>C128-D128</f>
        <v/>
      </c>
      <c r="F128" s="8">
        <f>SUMIF(INGRESOS!$R:$R,A128,INGRESOS!$N:$N)</f>
        <v/>
      </c>
      <c r="G128" s="8">
        <f>SUMIF(EGRESOS!$P:$P,A128,EGRESOS!$AA:$AA)</f>
        <v/>
      </c>
      <c r="H128" s="8">
        <f>F128-G128</f>
        <v/>
      </c>
      <c r="I128" s="8">
        <f>SUMIF(EGRESOS!$P:$P,A128,EGRESOS!$AB:$AB)</f>
        <v/>
      </c>
      <c r="J128" s="8">
        <f>G128-I128</f>
        <v/>
      </c>
      <c r="K128" s="8">
        <f>SUMIF(EGRESOS!$P:$P,A128,EGRESOS!$AC:$AC)</f>
        <v/>
      </c>
      <c r="L128" s="8">
        <f>I128-K128</f>
        <v/>
      </c>
      <c r="M128" s="8">
        <f>H128+J128+L128</f>
        <v/>
      </c>
    </row>
    <row r="129">
      <c r="A129" s="7" t="inlineStr">
        <is>
          <t>1.3.3.7.02</t>
        </is>
      </c>
      <c r="B129" s="7" t="inlineStr">
        <is>
          <t>R.B. SGP SALUD PUBLICA</t>
        </is>
      </c>
      <c r="C129" s="8">
        <f>SUMIF(INGRESOS!$R:$R,A129,INGRESOS!$L:$L)</f>
        <v/>
      </c>
      <c r="D129" s="8">
        <f>SUMIF(EGRESOS!$P:$P,A129,EGRESOS!$Y:$Y)</f>
        <v/>
      </c>
      <c r="E129" s="8">
        <f>C129-D129</f>
        <v/>
      </c>
      <c r="F129" s="8">
        <f>SUMIF(INGRESOS!$R:$R,A129,INGRESOS!$N:$N)</f>
        <v/>
      </c>
      <c r="G129" s="8">
        <f>SUMIF(EGRESOS!$P:$P,A129,EGRESOS!$AA:$AA)</f>
        <v/>
      </c>
      <c r="H129" s="8">
        <f>F129-G129</f>
        <v/>
      </c>
      <c r="I129" s="8">
        <f>SUMIF(EGRESOS!$P:$P,A129,EGRESOS!$AB:$AB)</f>
        <v/>
      </c>
      <c r="J129" s="8">
        <f>G129-I129</f>
        <v/>
      </c>
      <c r="K129" s="8">
        <f>SUMIF(EGRESOS!$P:$P,A129,EGRESOS!$AC:$AC)</f>
        <v/>
      </c>
      <c r="L129" s="8">
        <f>I129-K129</f>
        <v/>
      </c>
      <c r="M129" s="8">
        <f>H129+J129+L129</f>
        <v/>
      </c>
    </row>
    <row r="130">
      <c r="A130" s="7" t="inlineStr">
        <is>
          <t>1.3.3.2.00.09</t>
        </is>
      </c>
      <c r="B130" s="7" t="inlineStr">
        <is>
          <t>R.B. RECURSOS DE ESFUERZO PROPIO TERRITORIAL REG.SUBSIDIADO VIG.ANTERIORES</t>
        </is>
      </c>
      <c r="C130" s="8">
        <f>SUMIF(INGRESOS!$R:$R,A130,INGRESOS!$L:$L)</f>
        <v/>
      </c>
      <c r="D130" s="8">
        <f>SUMIF(EGRESOS!$P:$P,A130,EGRESOS!$Y:$Y)</f>
        <v/>
      </c>
      <c r="E130" s="8">
        <f>C130-D130</f>
        <v/>
      </c>
      <c r="F130" s="8">
        <f>SUMIF(INGRESOS!$R:$R,A130,INGRESOS!$N:$N)</f>
        <v/>
      </c>
      <c r="G130" s="8">
        <f>SUMIF(EGRESOS!$P:$P,A130,EGRESOS!$AA:$AA)</f>
        <v/>
      </c>
      <c r="H130" s="8">
        <f>F130-G130</f>
        <v/>
      </c>
      <c r="I130" s="8">
        <f>SUMIF(EGRESOS!$P:$P,A130,EGRESOS!$AB:$AB)</f>
        <v/>
      </c>
      <c r="J130" s="8">
        <f>G130-I130</f>
        <v/>
      </c>
      <c r="K130" s="8">
        <f>SUMIF(EGRESOS!$P:$P,A130,EGRESOS!$AC:$AC)</f>
        <v/>
      </c>
      <c r="L130" s="8">
        <f>I130-K130</f>
        <v/>
      </c>
      <c r="M130" s="8">
        <f>H130+J130+L130</f>
        <v/>
      </c>
    </row>
    <row r="131">
      <c r="A131" s="7" t="inlineStr">
        <is>
          <t>1.3.2.3.11.37</t>
        </is>
      </c>
      <c r="B131" s="7" t="inlineStr">
        <is>
          <t>OTROS RENDIMIENTOS FINANCIEROS RIFAS JUEGOS DE SUERTE Y AZAR</t>
        </is>
      </c>
      <c r="C131" s="8">
        <f>SUMIF(INGRESOS!$R:$R,A131,INGRESOS!$L:$L)</f>
        <v/>
      </c>
      <c r="D131" s="8">
        <f>SUMIF(EGRESOS!$P:$P,A131,EGRESOS!$Y:$Y)</f>
        <v/>
      </c>
      <c r="E131" s="8">
        <f>C131-D131</f>
        <v/>
      </c>
      <c r="F131" s="8">
        <f>SUMIF(INGRESOS!$R:$R,A131,INGRESOS!$N:$N)</f>
        <v/>
      </c>
      <c r="G131" s="8">
        <f>SUMIF(EGRESOS!$P:$P,A131,EGRESOS!$AA:$AA)</f>
        <v/>
      </c>
      <c r="H131" s="8">
        <f>F131-G131</f>
        <v/>
      </c>
      <c r="I131" s="8">
        <f>SUMIF(EGRESOS!$P:$P,A131,EGRESOS!$AB:$AB)</f>
        <v/>
      </c>
      <c r="J131" s="8">
        <f>G131-I131</f>
        <v/>
      </c>
      <c r="K131" s="8">
        <f>SUMIF(EGRESOS!$P:$P,A131,EGRESOS!$AC:$AC)</f>
        <v/>
      </c>
      <c r="L131" s="8">
        <f>I131-K131</f>
        <v/>
      </c>
      <c r="M131" s="8">
        <f>H131+J131+L131</f>
        <v/>
      </c>
    </row>
  </sheetData>
  <conditionalFormatting sqref="C2:M131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1" customWidth="1" min="1" max="1"/>
    <col width="45" customWidth="1" min="2" max="2"/>
    <col width="26" customWidth="1" min="3" max="3"/>
    <col width="17" customWidth="1" min="4" max="4"/>
  </cols>
  <sheetData>
    <row r="1">
      <c r="A1" s="9" t="inlineStr">
        <is>
          <t>FUENTE DE RECURSO</t>
        </is>
      </c>
      <c r="B1" s="9" t="inlineStr">
        <is>
          <t>NOMBRE DE FUENTE DE RECURSO</t>
        </is>
      </c>
      <c r="C1" s="9" t="inlineStr">
        <is>
          <t>PRESUPUESTO DEFINITIVO</t>
        </is>
      </c>
      <c r="D1" s="9" t="inlineStr">
        <is>
          <t>RECAUDOS</t>
        </is>
      </c>
    </row>
    <row r="2">
      <c r="A2" s="7" t="inlineStr">
        <is>
          <t>1.1.01.01.200</t>
        </is>
      </c>
      <c r="B2" s="7" t="inlineStr">
        <is>
          <t>Impuesto Predial Unificado</t>
        </is>
      </c>
      <c r="C2" s="8">
        <f>INGRESOS!L9</f>
        <v/>
      </c>
      <c r="D2" s="8">
        <f>INGRESOS!N9</f>
        <v/>
      </c>
    </row>
    <row r="3">
      <c r="A3" s="7" t="inlineStr">
        <is>
          <t>1.1.01.02.200</t>
        </is>
      </c>
      <c r="B3" s="7" t="inlineStr">
        <is>
          <t>Impuesto de industria y comercio</t>
        </is>
      </c>
      <c r="C3" s="8">
        <f>INGRESOS!L14</f>
        <v/>
      </c>
      <c r="D3" s="8">
        <f>INGRESOS!N14</f>
        <v/>
      </c>
    </row>
    <row r="4">
      <c r="A4" s="7" t="inlineStr">
        <is>
          <t>1.1.01.02.204</t>
        </is>
      </c>
      <c r="B4" s="7" t="inlineStr">
        <is>
          <t>Impuesto de delineación</t>
        </is>
      </c>
      <c r="C4" s="8">
        <f>INGRESOS!L18</f>
        <v/>
      </c>
      <c r="D4" s="8">
        <f>INGRESOS!N18</f>
        <v/>
      </c>
    </row>
    <row r="5">
      <c r="A5" s="7" t="inlineStr">
        <is>
          <t>1.1.01.02.218</t>
        </is>
      </c>
      <c r="B5" s="7" t="inlineStr">
        <is>
          <t>Tasa prodeporte y recreación</t>
        </is>
      </c>
      <c r="C5" s="8">
        <f>INGRESOS!L27</f>
        <v/>
      </c>
      <c r="D5" s="8">
        <f>INGRESOS!N27</f>
        <v/>
      </c>
    </row>
    <row r="6">
      <c r="A6" s="7" t="inlineStr">
        <is>
          <t>1.1.01.02.300.01</t>
        </is>
      </c>
      <c r="B6" s="7" t="inlineStr">
        <is>
          <t>Estampilla para el bienestar del adulto mayor</t>
        </is>
      </c>
      <c r="C6" s="8">
        <f>INGRESOS!L29</f>
        <v/>
      </c>
      <c r="D6" s="8">
        <f>INGRESOS!N29</f>
        <v/>
      </c>
    </row>
    <row r="7">
      <c r="A7" s="7" t="inlineStr">
        <is>
          <t>1.1.01.02.300.55</t>
        </is>
      </c>
      <c r="B7" s="7" t="inlineStr">
        <is>
          <t>Estampilla pro cultura</t>
        </is>
      </c>
      <c r="C7" s="8">
        <f>INGRESOS!L30</f>
        <v/>
      </c>
      <c r="D7" s="8">
        <f>INGRESOS!N30</f>
        <v/>
      </c>
    </row>
    <row r="8">
      <c r="A8" s="7" t="inlineStr">
        <is>
          <t>1.1.01.02.300.61</t>
        </is>
      </c>
      <c r="B8" s="7" t="inlineStr">
        <is>
          <t>Estampilla para la justicia familiar</t>
        </is>
      </c>
      <c r="C8" s="8">
        <f>INGRESOS!L31</f>
        <v/>
      </c>
      <c r="D8" s="8">
        <f>INGRESOS!N31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</cols>
  <sheetData>
    <row r="1">
      <c r="A1" s="7" t="inlineStr">
        <is>
          <t>CONCEPTO</t>
        </is>
      </c>
      <c r="B1" s="7" t="inlineStr">
        <is>
          <t>VALOR</t>
        </is>
      </c>
    </row>
    <row r="2">
      <c r="A2" s="7" t="inlineStr">
        <is>
          <t>Recaudo hoja INGRESOS</t>
        </is>
      </c>
      <c r="B2" s="8">
        <f>INGRESOS!N2</f>
        <v/>
      </c>
    </row>
    <row r="3">
      <c r="A3" s="7" t="inlineStr">
        <is>
          <t>Suma recaudo hoja CRUCE INFORMACION</t>
        </is>
      </c>
      <c r="B3" s="8">
        <f>SUM('CRUCE INFORMACION'!F:F)</f>
        <v/>
      </c>
    </row>
    <row r="4">
      <c r="A4" s="7" t="inlineStr">
        <is>
          <t>Diferencia</t>
        </is>
      </c>
      <c r="B4" s="8">
        <f>B2-B3</f>
        <v/>
      </c>
    </row>
    <row r="5">
      <c r="A5" s="7" t="inlineStr">
        <is>
          <t>Resultado</t>
        </is>
      </c>
      <c r="B5" s="7">
        <f>IF(ABS(B4)&lt;0.01,"Los datos coinciden","Los datos no coinciden, faltan productos")</f>
        <v/>
      </c>
    </row>
    <row r="8">
      <c r="A8" s="7" t="inlineStr">
        <is>
          <t>VALIDACION PRESUPUESTO DEFINITIVO</t>
        </is>
      </c>
      <c r="B8" s="7" t="inlineStr">
        <is>
          <t>VALOR</t>
        </is>
      </c>
    </row>
    <row r="9">
      <c r="A9" s="7" t="inlineStr">
        <is>
          <t>Presupuesto Definitivo INGRESOS</t>
        </is>
      </c>
      <c r="B9" s="8">
        <f>INGRESOS!L2</f>
        <v/>
      </c>
    </row>
    <row r="10">
      <c r="A10" s="7" t="inlineStr">
        <is>
          <t>Suma Presupuesto Definitivo CRUCE</t>
        </is>
      </c>
      <c r="B10" s="8">
        <f>SUM('CRUCE INFORMACION'!C:C)</f>
        <v/>
      </c>
    </row>
    <row r="11">
      <c r="A11" s="7" t="inlineStr">
        <is>
          <t>Diferencia</t>
        </is>
      </c>
      <c r="B11" s="8">
        <f>B9-B10</f>
        <v/>
      </c>
    </row>
    <row r="12">
      <c r="A12" s="7" t="inlineStr">
        <is>
          <t>Resultado</t>
        </is>
      </c>
      <c r="B12" s="7">
        <f>IF(ABS(B11)&lt;0.01,"Los datos coinciden","Los datos no coinciden, falta un producto")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2026-06-12T23:06:49Z</dcterms:created>
  <dcterms:modified xsi:type="dcterms:W3CDTF">2026-06-12T23:06:50Z</dcterms:modified>
</cp:coreProperties>
</file>